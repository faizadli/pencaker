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BID. PENEMPATAN\IPK\IPK 2025\"/>
    </mc:Choice>
  </mc:AlternateContent>
  <xr:revisionPtr revIDLastSave="0" documentId="13_ncr:1_{379835EE-19BD-4E35-A2E0-44EE7084DD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k3.1" sheetId="1" r:id="rId1"/>
    <sheet name="ipk3.2" sheetId="2" r:id="rId2"/>
    <sheet name="ipk3.3" sheetId="3" r:id="rId3"/>
    <sheet name="ipk3.4" sheetId="4" r:id="rId4"/>
    <sheet name="ipk3.5" sheetId="5" r:id="rId5"/>
    <sheet name="ipk.3.6" sheetId="6" r:id="rId6"/>
    <sheet name="ipk.3.7" sheetId="7" r:id="rId7"/>
    <sheet name="ipk.3.8" sheetId="8" r:id="rId8"/>
  </sheets>
  <definedNames>
    <definedName name="_xlnm.Print_Area" localSheetId="1">'ipk3.2'!$A$1:$L$494</definedName>
    <definedName name="_xlnm.Print_Area" localSheetId="2">'ipk3.3'!$A$1:$L$393</definedName>
    <definedName name="_xlnm.Print_Area" localSheetId="3">'ipk3.4'!$A$1:$L$494</definedName>
    <definedName name="_xlnm.Print_Area" localSheetId="4">'ipk3.5'!$A$1:$L$393</definedName>
    <definedName name="_xlnm.Print_Titles" localSheetId="5">'ipk.3.6'!$5:$6</definedName>
    <definedName name="_xlnm.Print_Titles" localSheetId="1">'ipk3.2'!$5:$6</definedName>
    <definedName name="_xlnm.Print_Titles" localSheetId="2">'ipk3.3'!$5:$6</definedName>
    <definedName name="_xlnm.Print_Titles" localSheetId="3">'ipk3.4'!$5:$6</definedName>
    <definedName name="_xlnm.Print_Titles" localSheetId="4">'ipk3.5'!$5:$6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L38" i="5"/>
  <c r="E393" i="3"/>
  <c r="F393" i="3"/>
  <c r="G393" i="3"/>
  <c r="H393" i="3"/>
  <c r="I393" i="3"/>
  <c r="J393" i="3"/>
  <c r="K179" i="5" l="1"/>
  <c r="J266" i="6" l="1"/>
  <c r="I266" i="6"/>
  <c r="J393" i="5"/>
  <c r="E494" i="4"/>
  <c r="G494" i="4"/>
  <c r="K9" i="5" l="1"/>
  <c r="K9" i="3" l="1"/>
  <c r="C393" i="3" l="1"/>
  <c r="B9" i="1" l="1"/>
  <c r="K208" i="5"/>
  <c r="L385" i="5" l="1"/>
  <c r="K14" i="2" l="1"/>
  <c r="K20" i="2" l="1"/>
  <c r="K22" i="6" l="1"/>
  <c r="E32" i="8"/>
  <c r="E34" i="8"/>
  <c r="E35" i="8"/>
  <c r="E31" i="8"/>
  <c r="E30" i="8"/>
  <c r="E13" i="8"/>
  <c r="E14" i="8"/>
  <c r="E15" i="8"/>
  <c r="E16" i="8"/>
  <c r="E17" i="8"/>
  <c r="E18" i="8"/>
  <c r="E19" i="8"/>
  <c r="E20" i="8"/>
  <c r="E21" i="8"/>
  <c r="E22" i="8"/>
  <c r="E23" i="8"/>
  <c r="E12" i="8"/>
  <c r="E11" i="8"/>
  <c r="E25" i="8" l="1"/>
  <c r="C494" i="2"/>
  <c r="J37" i="8"/>
  <c r="I37" i="8"/>
  <c r="G37" i="8"/>
  <c r="F37" i="8"/>
  <c r="M35" i="8"/>
  <c r="L35" i="8"/>
  <c r="K35" i="8"/>
  <c r="H35" i="8"/>
  <c r="M34" i="8"/>
  <c r="L34" i="8"/>
  <c r="K34" i="8"/>
  <c r="H34" i="8"/>
  <c r="K33" i="8"/>
  <c r="H33" i="8"/>
  <c r="M32" i="8"/>
  <c r="L32" i="8"/>
  <c r="K32" i="8"/>
  <c r="H32" i="8"/>
  <c r="M31" i="8"/>
  <c r="L31" i="8"/>
  <c r="K31" i="8"/>
  <c r="H31" i="8"/>
  <c r="M30" i="8"/>
  <c r="L30" i="8"/>
  <c r="K30" i="8"/>
  <c r="H30" i="8"/>
  <c r="J25" i="8"/>
  <c r="I25" i="8"/>
  <c r="G25" i="8"/>
  <c r="F25" i="8"/>
  <c r="D25" i="8"/>
  <c r="D33" i="8" s="1"/>
  <c r="M33" i="8" s="1"/>
  <c r="C25" i="8"/>
  <c r="C33" i="8" s="1"/>
  <c r="M23" i="8"/>
  <c r="L23" i="8"/>
  <c r="K23" i="8"/>
  <c r="H23" i="8"/>
  <c r="M22" i="8"/>
  <c r="L22" i="8"/>
  <c r="K22" i="8"/>
  <c r="H22" i="8"/>
  <c r="M21" i="8"/>
  <c r="L21" i="8"/>
  <c r="K21" i="8"/>
  <c r="H21" i="8"/>
  <c r="M20" i="8"/>
  <c r="L20" i="8"/>
  <c r="K20" i="8"/>
  <c r="H20" i="8"/>
  <c r="M19" i="8"/>
  <c r="L19" i="8"/>
  <c r="K19" i="8"/>
  <c r="H19" i="8"/>
  <c r="M18" i="8"/>
  <c r="L18" i="8"/>
  <c r="K18" i="8"/>
  <c r="H18" i="8"/>
  <c r="M17" i="8"/>
  <c r="L17" i="8"/>
  <c r="K17" i="8"/>
  <c r="H17" i="8"/>
  <c r="M16" i="8"/>
  <c r="L16" i="8"/>
  <c r="K16" i="8"/>
  <c r="H16" i="8"/>
  <c r="M15" i="8"/>
  <c r="L15" i="8"/>
  <c r="K15" i="8"/>
  <c r="H15" i="8"/>
  <c r="M14" i="8"/>
  <c r="L14" i="8"/>
  <c r="K14" i="8"/>
  <c r="H14" i="8"/>
  <c r="M13" i="8"/>
  <c r="L13" i="8"/>
  <c r="K13" i="8"/>
  <c r="H13" i="8"/>
  <c r="M12" i="8"/>
  <c r="L12" i="8"/>
  <c r="K12" i="8"/>
  <c r="H12" i="8"/>
  <c r="M11" i="8"/>
  <c r="L11" i="8"/>
  <c r="K11" i="8"/>
  <c r="H11" i="8"/>
  <c r="N677" i="7"/>
  <c r="M677" i="7"/>
  <c r="L677" i="7"/>
  <c r="K677" i="7"/>
  <c r="J677" i="7"/>
  <c r="I677" i="7"/>
  <c r="H677" i="7"/>
  <c r="G677" i="7"/>
  <c r="F677" i="7"/>
  <c r="E677" i="7"/>
  <c r="D677" i="7"/>
  <c r="C677" i="7"/>
  <c r="Q676" i="7"/>
  <c r="P676" i="7"/>
  <c r="O676" i="7"/>
  <c r="Q675" i="7"/>
  <c r="P675" i="7"/>
  <c r="O675" i="7"/>
  <c r="Q674" i="7"/>
  <c r="P674" i="7"/>
  <c r="O674" i="7"/>
  <c r="Q673" i="7"/>
  <c r="P673" i="7"/>
  <c r="O673" i="7"/>
  <c r="Q672" i="7"/>
  <c r="P672" i="7"/>
  <c r="O672" i="7"/>
  <c r="Q671" i="7"/>
  <c r="P671" i="7"/>
  <c r="O671" i="7"/>
  <c r="Q670" i="7"/>
  <c r="P670" i="7"/>
  <c r="O670" i="7"/>
  <c r="Q669" i="7"/>
  <c r="P669" i="7"/>
  <c r="O669" i="7"/>
  <c r="Q668" i="7"/>
  <c r="P668" i="7"/>
  <c r="O668" i="7"/>
  <c r="Q667" i="7"/>
  <c r="P667" i="7"/>
  <c r="O667" i="7"/>
  <c r="Q666" i="7"/>
  <c r="P666" i="7"/>
  <c r="O666" i="7"/>
  <c r="Q665" i="7"/>
  <c r="P665" i="7"/>
  <c r="O665" i="7"/>
  <c r="Q664" i="7"/>
  <c r="P664" i="7"/>
  <c r="O664" i="7"/>
  <c r="Q663" i="7"/>
  <c r="P663" i="7"/>
  <c r="O663" i="7"/>
  <c r="Q662" i="7"/>
  <c r="P662" i="7"/>
  <c r="O662" i="7"/>
  <c r="Q661" i="7"/>
  <c r="P661" i="7"/>
  <c r="O661" i="7"/>
  <c r="Q660" i="7"/>
  <c r="P660" i="7"/>
  <c r="O660" i="7"/>
  <c r="Q659" i="7"/>
  <c r="P659" i="7"/>
  <c r="O659" i="7"/>
  <c r="Q658" i="7"/>
  <c r="P658" i="7"/>
  <c r="O658" i="7"/>
  <c r="Q657" i="7"/>
  <c r="P657" i="7"/>
  <c r="O657" i="7"/>
  <c r="Q656" i="7"/>
  <c r="P656" i="7"/>
  <c r="O656" i="7"/>
  <c r="Q655" i="7"/>
  <c r="P655" i="7"/>
  <c r="O655" i="7"/>
  <c r="Q654" i="7"/>
  <c r="P654" i="7"/>
  <c r="O654" i="7"/>
  <c r="Q653" i="7"/>
  <c r="P653" i="7"/>
  <c r="O653" i="7"/>
  <c r="Q652" i="7"/>
  <c r="P652" i="7"/>
  <c r="O652" i="7"/>
  <c r="Q651" i="7"/>
  <c r="P651" i="7"/>
  <c r="O651" i="7"/>
  <c r="Q650" i="7"/>
  <c r="P650" i="7"/>
  <c r="O650" i="7"/>
  <c r="Q649" i="7"/>
  <c r="P649" i="7"/>
  <c r="O649" i="7"/>
  <c r="Q648" i="7"/>
  <c r="P648" i="7"/>
  <c r="O648" i="7"/>
  <c r="Q647" i="7"/>
  <c r="P647" i="7"/>
  <c r="O647" i="7"/>
  <c r="Q646" i="7"/>
  <c r="P646" i="7"/>
  <c r="O646" i="7"/>
  <c r="Q645" i="7"/>
  <c r="P645" i="7"/>
  <c r="O645" i="7"/>
  <c r="Q644" i="7"/>
  <c r="P644" i="7"/>
  <c r="O644" i="7"/>
  <c r="Q643" i="7"/>
  <c r="P643" i="7"/>
  <c r="O643" i="7"/>
  <c r="Q642" i="7"/>
  <c r="P642" i="7"/>
  <c r="O642" i="7"/>
  <c r="Q641" i="7"/>
  <c r="P641" i="7"/>
  <c r="O641" i="7"/>
  <c r="Q640" i="7"/>
  <c r="P640" i="7"/>
  <c r="O640" i="7"/>
  <c r="Q639" i="7"/>
  <c r="P639" i="7"/>
  <c r="O639" i="7"/>
  <c r="Q638" i="7"/>
  <c r="P638" i="7"/>
  <c r="O638" i="7"/>
  <c r="Q637" i="7"/>
  <c r="P637" i="7"/>
  <c r="O637" i="7"/>
  <c r="Q636" i="7"/>
  <c r="P636" i="7"/>
  <c r="O636" i="7"/>
  <c r="Q635" i="7"/>
  <c r="P635" i="7"/>
  <c r="O635" i="7"/>
  <c r="Q634" i="7"/>
  <c r="P634" i="7"/>
  <c r="O634" i="7"/>
  <c r="Q633" i="7"/>
  <c r="P633" i="7"/>
  <c r="O633" i="7"/>
  <c r="Q632" i="7"/>
  <c r="P632" i="7"/>
  <c r="O632" i="7"/>
  <c r="Q630" i="7"/>
  <c r="P630" i="7"/>
  <c r="O630" i="7"/>
  <c r="Q629" i="7"/>
  <c r="P629" i="7"/>
  <c r="O629" i="7"/>
  <c r="Q628" i="7"/>
  <c r="P628" i="7"/>
  <c r="O628" i="7"/>
  <c r="Q627" i="7"/>
  <c r="P627" i="7"/>
  <c r="O627" i="7"/>
  <c r="Q626" i="7"/>
  <c r="P626" i="7"/>
  <c r="O626" i="7"/>
  <c r="Q625" i="7"/>
  <c r="P625" i="7"/>
  <c r="O625" i="7"/>
  <c r="Q624" i="7"/>
  <c r="P624" i="7"/>
  <c r="O624" i="7"/>
  <c r="Q623" i="7"/>
  <c r="P623" i="7"/>
  <c r="O623" i="7"/>
  <c r="Q622" i="7"/>
  <c r="P622" i="7"/>
  <c r="O622" i="7"/>
  <c r="Q621" i="7"/>
  <c r="P621" i="7"/>
  <c r="O621" i="7"/>
  <c r="Q620" i="7"/>
  <c r="P620" i="7"/>
  <c r="O620" i="7"/>
  <c r="Q619" i="7"/>
  <c r="P619" i="7"/>
  <c r="O619" i="7"/>
  <c r="Q618" i="7"/>
  <c r="P618" i="7"/>
  <c r="O618" i="7"/>
  <c r="Q617" i="7"/>
  <c r="P617" i="7"/>
  <c r="O617" i="7"/>
  <c r="Q616" i="7"/>
  <c r="P616" i="7"/>
  <c r="O616" i="7"/>
  <c r="Q615" i="7"/>
  <c r="P615" i="7"/>
  <c r="O615" i="7"/>
  <c r="Q614" i="7"/>
  <c r="P614" i="7"/>
  <c r="O614" i="7"/>
  <c r="Q613" i="7"/>
  <c r="P613" i="7"/>
  <c r="O613" i="7"/>
  <c r="Q612" i="7"/>
  <c r="P612" i="7"/>
  <c r="O612" i="7"/>
  <c r="Q611" i="7"/>
  <c r="P611" i="7"/>
  <c r="O611" i="7"/>
  <c r="Q610" i="7"/>
  <c r="P610" i="7"/>
  <c r="O610" i="7"/>
  <c r="Q609" i="7"/>
  <c r="P609" i="7"/>
  <c r="O609" i="7"/>
  <c r="Q608" i="7"/>
  <c r="P608" i="7"/>
  <c r="O608" i="7"/>
  <c r="Q607" i="7"/>
  <c r="P607" i="7"/>
  <c r="O607" i="7"/>
  <c r="Q606" i="7"/>
  <c r="P606" i="7"/>
  <c r="O606" i="7"/>
  <c r="Q605" i="7"/>
  <c r="P605" i="7"/>
  <c r="O605" i="7"/>
  <c r="Q604" i="7"/>
  <c r="P604" i="7"/>
  <c r="O604" i="7"/>
  <c r="Q603" i="7"/>
  <c r="P603" i="7"/>
  <c r="O603" i="7"/>
  <c r="Q602" i="7"/>
  <c r="P602" i="7"/>
  <c r="O602" i="7"/>
  <c r="Q601" i="7"/>
  <c r="P601" i="7"/>
  <c r="O601" i="7"/>
  <c r="Q600" i="7"/>
  <c r="P600" i="7"/>
  <c r="O600" i="7"/>
  <c r="Q599" i="7"/>
  <c r="P599" i="7"/>
  <c r="O599" i="7"/>
  <c r="Q598" i="7"/>
  <c r="P598" i="7"/>
  <c r="O598" i="7"/>
  <c r="Q597" i="7"/>
  <c r="P597" i="7"/>
  <c r="O597" i="7"/>
  <c r="Q596" i="7"/>
  <c r="P596" i="7"/>
  <c r="O596" i="7"/>
  <c r="Q595" i="7"/>
  <c r="P595" i="7"/>
  <c r="O595" i="7"/>
  <c r="Q593" i="7"/>
  <c r="P593" i="7"/>
  <c r="O593" i="7"/>
  <c r="Q592" i="7"/>
  <c r="P592" i="7"/>
  <c r="O592" i="7"/>
  <c r="Q591" i="7"/>
  <c r="P591" i="7"/>
  <c r="O591" i="7"/>
  <c r="Q590" i="7"/>
  <c r="P590" i="7"/>
  <c r="O590" i="7"/>
  <c r="Q589" i="7"/>
  <c r="P589" i="7"/>
  <c r="O589" i="7"/>
  <c r="Q588" i="7"/>
  <c r="P588" i="7"/>
  <c r="O588" i="7"/>
  <c r="Q587" i="7"/>
  <c r="P587" i="7"/>
  <c r="O587" i="7"/>
  <c r="Q586" i="7"/>
  <c r="P586" i="7"/>
  <c r="O586" i="7"/>
  <c r="Q585" i="7"/>
  <c r="P585" i="7"/>
  <c r="O585" i="7"/>
  <c r="Q584" i="7"/>
  <c r="P584" i="7"/>
  <c r="O584" i="7"/>
  <c r="Q582" i="7"/>
  <c r="P582" i="7"/>
  <c r="O582" i="7"/>
  <c r="Q581" i="7"/>
  <c r="P581" i="7"/>
  <c r="O581" i="7"/>
  <c r="Q580" i="7"/>
  <c r="P580" i="7"/>
  <c r="O580" i="7"/>
  <c r="Q579" i="7"/>
  <c r="P579" i="7"/>
  <c r="O579" i="7"/>
  <c r="Q578" i="7"/>
  <c r="P578" i="7"/>
  <c r="O578" i="7"/>
  <c r="Q577" i="7"/>
  <c r="P577" i="7"/>
  <c r="O577" i="7"/>
  <c r="Q576" i="7"/>
  <c r="P576" i="7"/>
  <c r="O576" i="7"/>
  <c r="Q575" i="7"/>
  <c r="P575" i="7"/>
  <c r="O575" i="7"/>
  <c r="Q574" i="7"/>
  <c r="P574" i="7"/>
  <c r="O574" i="7"/>
  <c r="Q573" i="7"/>
  <c r="P573" i="7"/>
  <c r="O573" i="7"/>
  <c r="Q572" i="7"/>
  <c r="P572" i="7"/>
  <c r="O572" i="7"/>
  <c r="Q571" i="7"/>
  <c r="P571" i="7"/>
  <c r="O571" i="7"/>
  <c r="Q569" i="7"/>
  <c r="P569" i="7"/>
  <c r="O569" i="7"/>
  <c r="Q568" i="7"/>
  <c r="P568" i="7"/>
  <c r="O568" i="7"/>
  <c r="Q567" i="7"/>
  <c r="P567" i="7"/>
  <c r="O567" i="7"/>
  <c r="Q566" i="7"/>
  <c r="P566" i="7"/>
  <c r="O566" i="7"/>
  <c r="Q565" i="7"/>
  <c r="P565" i="7"/>
  <c r="O565" i="7"/>
  <c r="Q564" i="7"/>
  <c r="P564" i="7"/>
  <c r="O564" i="7"/>
  <c r="Q563" i="7"/>
  <c r="P563" i="7"/>
  <c r="O563" i="7"/>
  <c r="Q562" i="7"/>
  <c r="P562" i="7"/>
  <c r="O562" i="7"/>
  <c r="Q561" i="7"/>
  <c r="P561" i="7"/>
  <c r="O561" i="7"/>
  <c r="Q560" i="7"/>
  <c r="P560" i="7"/>
  <c r="O560" i="7"/>
  <c r="Q559" i="7"/>
  <c r="P559" i="7"/>
  <c r="O559" i="7"/>
  <c r="Q558" i="7"/>
  <c r="P558" i="7"/>
  <c r="O558" i="7"/>
  <c r="Q557" i="7"/>
  <c r="P557" i="7"/>
  <c r="O557" i="7"/>
  <c r="Q556" i="7"/>
  <c r="P556" i="7"/>
  <c r="O556" i="7"/>
  <c r="Q555" i="7"/>
  <c r="P555" i="7"/>
  <c r="O555" i="7"/>
  <c r="Q554" i="7"/>
  <c r="P554" i="7"/>
  <c r="O554" i="7"/>
  <c r="Q553" i="7"/>
  <c r="P553" i="7"/>
  <c r="O553" i="7"/>
  <c r="Q552" i="7"/>
  <c r="P552" i="7"/>
  <c r="O552" i="7"/>
  <c r="Q551" i="7"/>
  <c r="P551" i="7"/>
  <c r="O551" i="7"/>
  <c r="Q549" i="7"/>
  <c r="P549" i="7"/>
  <c r="O549" i="7"/>
  <c r="Q548" i="7"/>
  <c r="P548" i="7"/>
  <c r="O548" i="7"/>
  <c r="Q547" i="7"/>
  <c r="P547" i="7"/>
  <c r="O547" i="7"/>
  <c r="Q546" i="7"/>
  <c r="P546" i="7"/>
  <c r="O546" i="7"/>
  <c r="Q545" i="7"/>
  <c r="P545" i="7"/>
  <c r="O545" i="7"/>
  <c r="Q544" i="7"/>
  <c r="P544" i="7"/>
  <c r="O544" i="7"/>
  <c r="Q543" i="7"/>
  <c r="P543" i="7"/>
  <c r="O543" i="7"/>
  <c r="Q542" i="7"/>
  <c r="P542" i="7"/>
  <c r="O542" i="7"/>
  <c r="Q541" i="7"/>
  <c r="P541" i="7"/>
  <c r="O541" i="7"/>
  <c r="Q540" i="7"/>
  <c r="P540" i="7"/>
  <c r="O540" i="7"/>
  <c r="Q539" i="7"/>
  <c r="P539" i="7"/>
  <c r="O539" i="7"/>
  <c r="Q538" i="7"/>
  <c r="P538" i="7"/>
  <c r="O538" i="7"/>
  <c r="Q535" i="7"/>
  <c r="P535" i="7"/>
  <c r="O535" i="7"/>
  <c r="Q534" i="7"/>
  <c r="P534" i="7"/>
  <c r="O534" i="7"/>
  <c r="Q533" i="7"/>
  <c r="P533" i="7"/>
  <c r="O533" i="7"/>
  <c r="Q532" i="7"/>
  <c r="P532" i="7"/>
  <c r="O532" i="7"/>
  <c r="Q531" i="7"/>
  <c r="P531" i="7"/>
  <c r="O531" i="7"/>
  <c r="Q530" i="7"/>
  <c r="P530" i="7"/>
  <c r="O530" i="7"/>
  <c r="Q529" i="7"/>
  <c r="P529" i="7"/>
  <c r="O529" i="7"/>
  <c r="Q528" i="7"/>
  <c r="P528" i="7"/>
  <c r="O528" i="7"/>
  <c r="Q527" i="7"/>
  <c r="P527" i="7"/>
  <c r="O527" i="7"/>
  <c r="Q526" i="7"/>
  <c r="P526" i="7"/>
  <c r="O526" i="7"/>
  <c r="Q525" i="7"/>
  <c r="P525" i="7"/>
  <c r="O525" i="7"/>
  <c r="Q524" i="7"/>
  <c r="P524" i="7"/>
  <c r="O524" i="7"/>
  <c r="Q523" i="7"/>
  <c r="P523" i="7"/>
  <c r="O523" i="7"/>
  <c r="Q522" i="7"/>
  <c r="P522" i="7"/>
  <c r="O522" i="7"/>
  <c r="Q521" i="7"/>
  <c r="P521" i="7"/>
  <c r="O521" i="7"/>
  <c r="Q520" i="7"/>
  <c r="P520" i="7"/>
  <c r="O520" i="7"/>
  <c r="Q519" i="7"/>
  <c r="P519" i="7"/>
  <c r="O519" i="7"/>
  <c r="Q518" i="7"/>
  <c r="P518" i="7"/>
  <c r="O518" i="7"/>
  <c r="Q517" i="7"/>
  <c r="P517" i="7"/>
  <c r="O517" i="7"/>
  <c r="Q516" i="7"/>
  <c r="P516" i="7"/>
  <c r="O516" i="7"/>
  <c r="Q515" i="7"/>
  <c r="P515" i="7"/>
  <c r="O515" i="7"/>
  <c r="Q514" i="7"/>
  <c r="P514" i="7"/>
  <c r="O514" i="7"/>
  <c r="Q513" i="7"/>
  <c r="P513" i="7"/>
  <c r="O513" i="7"/>
  <c r="Q512" i="7"/>
  <c r="P512" i="7"/>
  <c r="O512" i="7"/>
  <c r="Q511" i="7"/>
  <c r="P511" i="7"/>
  <c r="O511" i="7"/>
  <c r="Q510" i="7"/>
  <c r="P510" i="7"/>
  <c r="O510" i="7"/>
  <c r="Q509" i="7"/>
  <c r="P509" i="7"/>
  <c r="O509" i="7"/>
  <c r="Q508" i="7"/>
  <c r="P508" i="7"/>
  <c r="O508" i="7"/>
  <c r="Q507" i="7"/>
  <c r="P507" i="7"/>
  <c r="O507" i="7"/>
  <c r="Q506" i="7"/>
  <c r="P506" i="7"/>
  <c r="O506" i="7"/>
  <c r="Q505" i="7"/>
  <c r="P505" i="7"/>
  <c r="O505" i="7"/>
  <c r="Q504" i="7"/>
  <c r="P504" i="7"/>
  <c r="O504" i="7"/>
  <c r="Q503" i="7"/>
  <c r="P503" i="7"/>
  <c r="O503" i="7"/>
  <c r="Q502" i="7"/>
  <c r="P502" i="7"/>
  <c r="O502" i="7"/>
  <c r="Q501" i="7"/>
  <c r="P501" i="7"/>
  <c r="O501" i="7"/>
  <c r="Q500" i="7"/>
  <c r="P500" i="7"/>
  <c r="O500" i="7"/>
  <c r="Q499" i="7"/>
  <c r="P499" i="7"/>
  <c r="O499" i="7"/>
  <c r="Q498" i="7"/>
  <c r="P498" i="7"/>
  <c r="O498" i="7"/>
  <c r="Q497" i="7"/>
  <c r="P497" i="7"/>
  <c r="O497" i="7"/>
  <c r="Q496" i="7"/>
  <c r="P496" i="7"/>
  <c r="O496" i="7"/>
  <c r="Q494" i="7"/>
  <c r="P494" i="7"/>
  <c r="O494" i="7"/>
  <c r="Q493" i="7"/>
  <c r="P493" i="7"/>
  <c r="O493" i="7"/>
  <c r="Q492" i="7"/>
  <c r="P492" i="7"/>
  <c r="O492" i="7"/>
  <c r="Q491" i="7"/>
  <c r="P491" i="7"/>
  <c r="O491" i="7"/>
  <c r="Q490" i="7"/>
  <c r="P490" i="7"/>
  <c r="O490" i="7"/>
  <c r="Q489" i="7"/>
  <c r="P489" i="7"/>
  <c r="O489" i="7"/>
  <c r="Q488" i="7"/>
  <c r="P488" i="7"/>
  <c r="O488" i="7"/>
  <c r="Q487" i="7"/>
  <c r="P487" i="7"/>
  <c r="O487" i="7"/>
  <c r="Q486" i="7"/>
  <c r="P486" i="7"/>
  <c r="O486" i="7"/>
  <c r="Q485" i="7"/>
  <c r="P485" i="7"/>
  <c r="O485" i="7"/>
  <c r="Q484" i="7"/>
  <c r="P484" i="7"/>
  <c r="O484" i="7"/>
  <c r="Q483" i="7"/>
  <c r="P483" i="7"/>
  <c r="O483" i="7"/>
  <c r="Q482" i="7"/>
  <c r="P482" i="7"/>
  <c r="O482" i="7"/>
  <c r="Q481" i="7"/>
  <c r="P481" i="7"/>
  <c r="O481" i="7"/>
  <c r="Q480" i="7"/>
  <c r="P480" i="7"/>
  <c r="O480" i="7"/>
  <c r="Q479" i="7"/>
  <c r="P479" i="7"/>
  <c r="O479" i="7"/>
  <c r="Q478" i="7"/>
  <c r="P478" i="7"/>
  <c r="O478" i="7"/>
  <c r="Q477" i="7"/>
  <c r="P477" i="7"/>
  <c r="O477" i="7"/>
  <c r="Q476" i="7"/>
  <c r="P476" i="7"/>
  <c r="O476" i="7"/>
  <c r="Q475" i="7"/>
  <c r="P475" i="7"/>
  <c r="O475" i="7"/>
  <c r="Q474" i="7"/>
  <c r="P474" i="7"/>
  <c r="O474" i="7"/>
  <c r="Q473" i="7"/>
  <c r="P473" i="7"/>
  <c r="O473" i="7"/>
  <c r="Q472" i="7"/>
  <c r="P472" i="7"/>
  <c r="O472" i="7"/>
  <c r="Q471" i="7"/>
  <c r="P471" i="7"/>
  <c r="O471" i="7"/>
  <c r="Q470" i="7"/>
  <c r="P470" i="7"/>
  <c r="O470" i="7"/>
  <c r="Q469" i="7"/>
  <c r="P469" i="7"/>
  <c r="O469" i="7"/>
  <c r="Q468" i="7"/>
  <c r="P468" i="7"/>
  <c r="O468" i="7"/>
  <c r="Q467" i="7"/>
  <c r="P467" i="7"/>
  <c r="O467" i="7"/>
  <c r="Q466" i="7"/>
  <c r="P466" i="7"/>
  <c r="O466" i="7"/>
  <c r="Q465" i="7"/>
  <c r="P465" i="7"/>
  <c r="O465" i="7"/>
  <c r="Q463" i="7"/>
  <c r="P463" i="7"/>
  <c r="O463" i="7"/>
  <c r="Q462" i="7"/>
  <c r="P462" i="7"/>
  <c r="O462" i="7"/>
  <c r="Q461" i="7"/>
  <c r="P461" i="7"/>
  <c r="O461" i="7"/>
  <c r="Q460" i="7"/>
  <c r="P460" i="7"/>
  <c r="O460" i="7"/>
  <c r="Q459" i="7"/>
  <c r="P459" i="7"/>
  <c r="O459" i="7"/>
  <c r="Q457" i="7"/>
  <c r="P457" i="7"/>
  <c r="O457" i="7"/>
  <c r="Q456" i="7"/>
  <c r="P456" i="7"/>
  <c r="O456" i="7"/>
  <c r="Q455" i="7"/>
  <c r="P455" i="7"/>
  <c r="O455" i="7"/>
  <c r="Q454" i="7"/>
  <c r="P454" i="7"/>
  <c r="O454" i="7"/>
  <c r="Q453" i="7"/>
  <c r="P453" i="7"/>
  <c r="O453" i="7"/>
  <c r="Q452" i="7"/>
  <c r="P452" i="7"/>
  <c r="O452" i="7"/>
  <c r="Q451" i="7"/>
  <c r="P451" i="7"/>
  <c r="O451" i="7"/>
  <c r="Q450" i="7"/>
  <c r="P450" i="7"/>
  <c r="O450" i="7"/>
  <c r="Q449" i="7"/>
  <c r="P449" i="7"/>
  <c r="O449" i="7"/>
  <c r="Q448" i="7"/>
  <c r="P448" i="7"/>
  <c r="O448" i="7"/>
  <c r="Q447" i="7"/>
  <c r="P447" i="7"/>
  <c r="O447" i="7"/>
  <c r="Q446" i="7"/>
  <c r="P446" i="7"/>
  <c r="O446" i="7"/>
  <c r="Q444" i="7"/>
  <c r="P444" i="7"/>
  <c r="O444" i="7"/>
  <c r="Q443" i="7"/>
  <c r="P443" i="7"/>
  <c r="O443" i="7"/>
  <c r="Q442" i="7"/>
  <c r="P442" i="7"/>
  <c r="O442" i="7"/>
  <c r="Q441" i="7"/>
  <c r="P441" i="7"/>
  <c r="O441" i="7"/>
  <c r="Q440" i="7"/>
  <c r="P440" i="7"/>
  <c r="O440" i="7"/>
  <c r="Q439" i="7"/>
  <c r="P439" i="7"/>
  <c r="O439" i="7"/>
  <c r="Q438" i="7"/>
  <c r="P438" i="7"/>
  <c r="O438" i="7"/>
  <c r="Q437" i="7"/>
  <c r="P437" i="7"/>
  <c r="O437" i="7"/>
  <c r="Q436" i="7"/>
  <c r="P436" i="7"/>
  <c r="O436" i="7"/>
  <c r="Q435" i="7"/>
  <c r="P435" i="7"/>
  <c r="O435" i="7"/>
  <c r="Q434" i="7"/>
  <c r="P434" i="7"/>
  <c r="O434" i="7"/>
  <c r="Q433" i="7"/>
  <c r="P433" i="7"/>
  <c r="O433" i="7"/>
  <c r="Q432" i="7"/>
  <c r="P432" i="7"/>
  <c r="O432" i="7"/>
  <c r="Q431" i="7"/>
  <c r="P431" i="7"/>
  <c r="O431" i="7"/>
  <c r="Q430" i="7"/>
  <c r="P430" i="7"/>
  <c r="O430" i="7"/>
  <c r="Q429" i="7"/>
  <c r="P429" i="7"/>
  <c r="O429" i="7"/>
  <c r="Q428" i="7"/>
  <c r="P428" i="7"/>
  <c r="O428" i="7"/>
  <c r="Q427" i="7"/>
  <c r="P427" i="7"/>
  <c r="O427" i="7"/>
  <c r="Q426" i="7"/>
  <c r="P426" i="7"/>
  <c r="O426" i="7"/>
  <c r="Q425" i="7"/>
  <c r="P425" i="7"/>
  <c r="O425" i="7"/>
  <c r="Q424" i="7"/>
  <c r="P424" i="7"/>
  <c r="O424" i="7"/>
  <c r="Q423" i="7"/>
  <c r="P423" i="7"/>
  <c r="O423" i="7"/>
  <c r="Q422" i="7"/>
  <c r="P422" i="7"/>
  <c r="O422" i="7"/>
  <c r="Q420" i="7"/>
  <c r="P420" i="7"/>
  <c r="O420" i="7"/>
  <c r="Q419" i="7"/>
  <c r="P419" i="7"/>
  <c r="O419" i="7"/>
  <c r="Q418" i="7"/>
  <c r="P418" i="7"/>
  <c r="O418" i="7"/>
  <c r="Q417" i="7"/>
  <c r="P417" i="7"/>
  <c r="O417" i="7"/>
  <c r="Q416" i="7"/>
  <c r="P416" i="7"/>
  <c r="O416" i="7"/>
  <c r="Q415" i="7"/>
  <c r="P415" i="7"/>
  <c r="O415" i="7"/>
  <c r="Q414" i="7"/>
  <c r="P414" i="7"/>
  <c r="O414" i="7"/>
  <c r="Q413" i="7"/>
  <c r="P413" i="7"/>
  <c r="O413" i="7"/>
  <c r="Q412" i="7"/>
  <c r="P412" i="7"/>
  <c r="O412" i="7"/>
  <c r="Q411" i="7"/>
  <c r="P411" i="7"/>
  <c r="O411" i="7"/>
  <c r="Q408" i="7"/>
  <c r="P408" i="7"/>
  <c r="O408" i="7"/>
  <c r="Q407" i="7"/>
  <c r="P407" i="7"/>
  <c r="O407" i="7"/>
  <c r="Q406" i="7"/>
  <c r="P406" i="7"/>
  <c r="O406" i="7"/>
  <c r="Q405" i="7"/>
  <c r="P405" i="7"/>
  <c r="O405" i="7"/>
  <c r="Q404" i="7"/>
  <c r="P404" i="7"/>
  <c r="O404" i="7"/>
  <c r="Q403" i="7"/>
  <c r="P403" i="7"/>
  <c r="O403" i="7"/>
  <c r="Q402" i="7"/>
  <c r="P402" i="7"/>
  <c r="O402" i="7"/>
  <c r="Q401" i="7"/>
  <c r="P401" i="7"/>
  <c r="O401" i="7"/>
  <c r="Q400" i="7"/>
  <c r="P400" i="7"/>
  <c r="O400" i="7"/>
  <c r="Q399" i="7"/>
  <c r="P399" i="7"/>
  <c r="O399" i="7"/>
  <c r="Q398" i="7"/>
  <c r="P398" i="7"/>
  <c r="O398" i="7"/>
  <c r="Q397" i="7"/>
  <c r="P397" i="7"/>
  <c r="O397" i="7"/>
  <c r="Q396" i="7"/>
  <c r="P396" i="7"/>
  <c r="O396" i="7"/>
  <c r="Q395" i="7"/>
  <c r="P395" i="7"/>
  <c r="O395" i="7"/>
  <c r="Q394" i="7"/>
  <c r="P394" i="7"/>
  <c r="O394" i="7"/>
  <c r="Q393" i="7"/>
  <c r="P393" i="7"/>
  <c r="O393" i="7"/>
  <c r="Q392" i="7"/>
  <c r="P392" i="7"/>
  <c r="O392" i="7"/>
  <c r="Q391" i="7"/>
  <c r="P391" i="7"/>
  <c r="O391" i="7"/>
  <c r="Q390" i="7"/>
  <c r="P390" i="7"/>
  <c r="O390" i="7"/>
  <c r="Q389" i="7"/>
  <c r="P389" i="7"/>
  <c r="O389" i="7"/>
  <c r="Q388" i="7"/>
  <c r="P388" i="7"/>
  <c r="O388" i="7"/>
  <c r="Q387" i="7"/>
  <c r="P387" i="7"/>
  <c r="O387" i="7"/>
  <c r="Q386" i="7"/>
  <c r="P386" i="7"/>
  <c r="O386" i="7"/>
  <c r="Q385" i="7"/>
  <c r="P385" i="7"/>
  <c r="O385" i="7"/>
  <c r="Q384" i="7"/>
  <c r="P384" i="7"/>
  <c r="O384" i="7"/>
  <c r="Q383" i="7"/>
  <c r="P383" i="7"/>
  <c r="O383" i="7"/>
  <c r="Q382" i="7"/>
  <c r="P382" i="7"/>
  <c r="O382" i="7"/>
  <c r="Q381" i="7"/>
  <c r="P381" i="7"/>
  <c r="O381" i="7"/>
  <c r="Q380" i="7"/>
  <c r="P380" i="7"/>
  <c r="O380" i="7"/>
  <c r="Q379" i="7"/>
  <c r="P379" i="7"/>
  <c r="O379" i="7"/>
  <c r="Q378" i="7"/>
  <c r="P378" i="7"/>
  <c r="O378" i="7"/>
  <c r="Q377" i="7"/>
  <c r="P377" i="7"/>
  <c r="O377" i="7"/>
  <c r="Q376" i="7"/>
  <c r="P376" i="7"/>
  <c r="O376" i="7"/>
  <c r="Q375" i="7"/>
  <c r="P375" i="7"/>
  <c r="O375" i="7"/>
  <c r="Q374" i="7"/>
  <c r="P374" i="7"/>
  <c r="O374" i="7"/>
  <c r="Q373" i="7"/>
  <c r="P373" i="7"/>
  <c r="O373" i="7"/>
  <c r="Q372" i="7"/>
  <c r="P372" i="7"/>
  <c r="O372" i="7"/>
  <c r="Q371" i="7"/>
  <c r="P371" i="7"/>
  <c r="O371" i="7"/>
  <c r="Q370" i="7"/>
  <c r="P370" i="7"/>
  <c r="O370" i="7"/>
  <c r="Q369" i="7"/>
  <c r="P369" i="7"/>
  <c r="O369" i="7"/>
  <c r="Q367" i="7"/>
  <c r="P367" i="7"/>
  <c r="O367" i="7"/>
  <c r="Q366" i="7"/>
  <c r="P366" i="7"/>
  <c r="O366" i="7"/>
  <c r="Q365" i="7"/>
  <c r="P365" i="7"/>
  <c r="O365" i="7"/>
  <c r="Q364" i="7"/>
  <c r="P364" i="7"/>
  <c r="O364" i="7"/>
  <c r="Q363" i="7"/>
  <c r="P363" i="7"/>
  <c r="O363" i="7"/>
  <c r="Q362" i="7"/>
  <c r="P362" i="7"/>
  <c r="O362" i="7"/>
  <c r="Q361" i="7"/>
  <c r="P361" i="7"/>
  <c r="O361" i="7"/>
  <c r="Q360" i="7"/>
  <c r="P360" i="7"/>
  <c r="O360" i="7"/>
  <c r="Q359" i="7"/>
  <c r="P359" i="7"/>
  <c r="O359" i="7"/>
  <c r="Q358" i="7"/>
  <c r="P358" i="7"/>
  <c r="O358" i="7"/>
  <c r="Q357" i="7"/>
  <c r="P357" i="7"/>
  <c r="O357" i="7"/>
  <c r="Q356" i="7"/>
  <c r="P356" i="7"/>
  <c r="O356" i="7"/>
  <c r="Q355" i="7"/>
  <c r="P355" i="7"/>
  <c r="O355" i="7"/>
  <c r="Q354" i="7"/>
  <c r="P354" i="7"/>
  <c r="O354" i="7"/>
  <c r="Q353" i="7"/>
  <c r="P353" i="7"/>
  <c r="O353" i="7"/>
  <c r="Q352" i="7"/>
  <c r="P352" i="7"/>
  <c r="O352" i="7"/>
  <c r="Q351" i="7"/>
  <c r="P351" i="7"/>
  <c r="O351" i="7"/>
  <c r="Q350" i="7"/>
  <c r="P350" i="7"/>
  <c r="O350" i="7"/>
  <c r="Q349" i="7"/>
  <c r="P349" i="7"/>
  <c r="O349" i="7"/>
  <c r="Q348" i="7"/>
  <c r="P348" i="7"/>
  <c r="O348" i="7"/>
  <c r="Q347" i="7"/>
  <c r="P347" i="7"/>
  <c r="O347" i="7"/>
  <c r="Q346" i="7"/>
  <c r="P346" i="7"/>
  <c r="O346" i="7"/>
  <c r="Q345" i="7"/>
  <c r="P345" i="7"/>
  <c r="O345" i="7"/>
  <c r="Q344" i="7"/>
  <c r="P344" i="7"/>
  <c r="O344" i="7"/>
  <c r="Q343" i="7"/>
  <c r="P343" i="7"/>
  <c r="O343" i="7"/>
  <c r="Q342" i="7"/>
  <c r="P342" i="7"/>
  <c r="O342" i="7"/>
  <c r="Q341" i="7"/>
  <c r="P341" i="7"/>
  <c r="O341" i="7"/>
  <c r="Q340" i="7"/>
  <c r="P340" i="7"/>
  <c r="O340" i="7"/>
  <c r="Q339" i="7"/>
  <c r="P339" i="7"/>
  <c r="O339" i="7"/>
  <c r="Q338" i="7"/>
  <c r="P338" i="7"/>
  <c r="O338" i="7"/>
  <c r="Q336" i="7"/>
  <c r="P336" i="7"/>
  <c r="O336" i="7"/>
  <c r="Q335" i="7"/>
  <c r="P335" i="7"/>
  <c r="O335" i="7"/>
  <c r="Q334" i="7"/>
  <c r="P334" i="7"/>
  <c r="O334" i="7"/>
  <c r="Q333" i="7"/>
  <c r="P333" i="7"/>
  <c r="O333" i="7"/>
  <c r="Q332" i="7"/>
  <c r="P332" i="7"/>
  <c r="O332" i="7"/>
  <c r="Q330" i="7"/>
  <c r="P330" i="7"/>
  <c r="O330" i="7"/>
  <c r="Q329" i="7"/>
  <c r="P329" i="7"/>
  <c r="O329" i="7"/>
  <c r="Q328" i="7"/>
  <c r="P328" i="7"/>
  <c r="O328" i="7"/>
  <c r="Q327" i="7"/>
  <c r="P327" i="7"/>
  <c r="O327" i="7"/>
  <c r="Q326" i="7"/>
  <c r="P326" i="7"/>
  <c r="O326" i="7"/>
  <c r="Q325" i="7"/>
  <c r="P325" i="7"/>
  <c r="O325" i="7"/>
  <c r="Q324" i="7"/>
  <c r="P324" i="7"/>
  <c r="O324" i="7"/>
  <c r="Q323" i="7"/>
  <c r="P323" i="7"/>
  <c r="O323" i="7"/>
  <c r="Q322" i="7"/>
  <c r="P322" i="7"/>
  <c r="O322" i="7"/>
  <c r="Q321" i="7"/>
  <c r="P321" i="7"/>
  <c r="O321" i="7"/>
  <c r="Q320" i="7"/>
  <c r="P320" i="7"/>
  <c r="O320" i="7"/>
  <c r="Q319" i="7"/>
  <c r="P319" i="7"/>
  <c r="O319" i="7"/>
  <c r="Q317" i="7"/>
  <c r="P317" i="7"/>
  <c r="O317" i="7"/>
  <c r="Q316" i="7"/>
  <c r="P316" i="7"/>
  <c r="O316" i="7"/>
  <c r="Q315" i="7"/>
  <c r="P315" i="7"/>
  <c r="O315" i="7"/>
  <c r="Q314" i="7"/>
  <c r="P314" i="7"/>
  <c r="O314" i="7"/>
  <c r="Q313" i="7"/>
  <c r="P313" i="7"/>
  <c r="O313" i="7"/>
  <c r="Q312" i="7"/>
  <c r="P312" i="7"/>
  <c r="O312" i="7"/>
  <c r="Q311" i="7"/>
  <c r="P311" i="7"/>
  <c r="O311" i="7"/>
  <c r="Q310" i="7"/>
  <c r="P310" i="7"/>
  <c r="O310" i="7"/>
  <c r="Q309" i="7"/>
  <c r="P309" i="7"/>
  <c r="O309" i="7"/>
  <c r="Q308" i="7"/>
  <c r="P308" i="7"/>
  <c r="O308" i="7"/>
  <c r="Q307" i="7"/>
  <c r="P307" i="7"/>
  <c r="O307" i="7"/>
  <c r="Q306" i="7"/>
  <c r="P306" i="7"/>
  <c r="O306" i="7"/>
  <c r="Q305" i="7"/>
  <c r="P305" i="7"/>
  <c r="O305" i="7"/>
  <c r="Q304" i="7"/>
  <c r="P304" i="7"/>
  <c r="O304" i="7"/>
  <c r="Q303" i="7"/>
  <c r="P303" i="7"/>
  <c r="O303" i="7"/>
  <c r="Q302" i="7"/>
  <c r="P302" i="7"/>
  <c r="O302" i="7"/>
  <c r="Q301" i="7"/>
  <c r="P301" i="7"/>
  <c r="O301" i="7"/>
  <c r="Q300" i="7"/>
  <c r="P300" i="7"/>
  <c r="O300" i="7"/>
  <c r="Q299" i="7"/>
  <c r="P299" i="7"/>
  <c r="O299" i="7"/>
  <c r="Q298" i="7"/>
  <c r="P298" i="7"/>
  <c r="O298" i="7"/>
  <c r="Q297" i="7"/>
  <c r="P297" i="7"/>
  <c r="O297" i="7"/>
  <c r="Q296" i="7"/>
  <c r="P296" i="7"/>
  <c r="O296" i="7"/>
  <c r="Q295" i="7"/>
  <c r="P295" i="7"/>
  <c r="O295" i="7"/>
  <c r="Q293" i="7"/>
  <c r="P293" i="7"/>
  <c r="O293" i="7"/>
  <c r="Q292" i="7"/>
  <c r="P292" i="7"/>
  <c r="O292" i="7"/>
  <c r="Q291" i="7"/>
  <c r="P291" i="7"/>
  <c r="O291" i="7"/>
  <c r="Q290" i="7"/>
  <c r="P290" i="7"/>
  <c r="O290" i="7"/>
  <c r="Q289" i="7"/>
  <c r="P289" i="7"/>
  <c r="O289" i="7"/>
  <c r="Q288" i="7"/>
  <c r="P288" i="7"/>
  <c r="O288" i="7"/>
  <c r="Q287" i="7"/>
  <c r="P287" i="7"/>
  <c r="O287" i="7"/>
  <c r="Q286" i="7"/>
  <c r="P286" i="7"/>
  <c r="O286" i="7"/>
  <c r="Q285" i="7"/>
  <c r="P285" i="7"/>
  <c r="O285" i="7"/>
  <c r="Q284" i="7"/>
  <c r="P284" i="7"/>
  <c r="O284" i="7"/>
  <c r="Q281" i="7"/>
  <c r="P281" i="7"/>
  <c r="O281" i="7"/>
  <c r="Q280" i="7"/>
  <c r="P280" i="7"/>
  <c r="O280" i="7"/>
  <c r="Q279" i="7"/>
  <c r="P279" i="7"/>
  <c r="O279" i="7"/>
  <c r="Q278" i="7"/>
  <c r="P278" i="7"/>
  <c r="O278" i="7"/>
  <c r="Q277" i="7"/>
  <c r="P277" i="7"/>
  <c r="O277" i="7"/>
  <c r="Q276" i="7"/>
  <c r="P276" i="7"/>
  <c r="O276" i="7"/>
  <c r="Q275" i="7"/>
  <c r="P275" i="7"/>
  <c r="O275" i="7"/>
  <c r="Q274" i="7"/>
  <c r="P274" i="7"/>
  <c r="O274" i="7"/>
  <c r="Q273" i="7"/>
  <c r="P273" i="7"/>
  <c r="O273" i="7"/>
  <c r="Q272" i="7"/>
  <c r="P272" i="7"/>
  <c r="O272" i="7"/>
  <c r="Q271" i="7"/>
  <c r="P271" i="7"/>
  <c r="O271" i="7"/>
  <c r="Q270" i="7"/>
  <c r="P270" i="7"/>
  <c r="O270" i="7"/>
  <c r="Q269" i="7"/>
  <c r="P269" i="7"/>
  <c r="O269" i="7"/>
  <c r="Q268" i="7"/>
  <c r="P268" i="7"/>
  <c r="O268" i="7"/>
  <c r="Q267" i="7"/>
  <c r="P267" i="7"/>
  <c r="O267" i="7"/>
  <c r="Q266" i="7"/>
  <c r="P266" i="7"/>
  <c r="O266" i="7"/>
  <c r="Q265" i="7"/>
  <c r="P265" i="7"/>
  <c r="O265" i="7"/>
  <c r="Q264" i="7"/>
  <c r="P264" i="7"/>
  <c r="O264" i="7"/>
  <c r="Q263" i="7"/>
  <c r="P263" i="7"/>
  <c r="O263" i="7"/>
  <c r="Q262" i="7"/>
  <c r="P262" i="7"/>
  <c r="O262" i="7"/>
  <c r="Q261" i="7"/>
  <c r="P261" i="7"/>
  <c r="O261" i="7"/>
  <c r="Q260" i="7"/>
  <c r="P260" i="7"/>
  <c r="O260" i="7"/>
  <c r="Q259" i="7"/>
  <c r="P259" i="7"/>
  <c r="O259" i="7"/>
  <c r="Q258" i="7"/>
  <c r="P258" i="7"/>
  <c r="O258" i="7"/>
  <c r="Q257" i="7"/>
  <c r="P257" i="7"/>
  <c r="O257" i="7"/>
  <c r="Q256" i="7"/>
  <c r="P256" i="7"/>
  <c r="O256" i="7"/>
  <c r="Q255" i="7"/>
  <c r="P255" i="7"/>
  <c r="O255" i="7"/>
  <c r="Q254" i="7"/>
  <c r="P254" i="7"/>
  <c r="O254" i="7"/>
  <c r="Q253" i="7"/>
  <c r="P253" i="7"/>
  <c r="O253" i="7"/>
  <c r="Q252" i="7"/>
  <c r="P252" i="7"/>
  <c r="O252" i="7"/>
  <c r="Q251" i="7"/>
  <c r="P251" i="7"/>
  <c r="O251" i="7"/>
  <c r="Q250" i="7"/>
  <c r="P250" i="7"/>
  <c r="O250" i="7"/>
  <c r="Q249" i="7"/>
  <c r="P249" i="7"/>
  <c r="O249" i="7"/>
  <c r="Q248" i="7"/>
  <c r="P248" i="7"/>
  <c r="O248" i="7"/>
  <c r="Q247" i="7"/>
  <c r="P247" i="7"/>
  <c r="O247" i="7"/>
  <c r="Q246" i="7"/>
  <c r="P246" i="7"/>
  <c r="O246" i="7"/>
  <c r="Q245" i="7"/>
  <c r="P245" i="7"/>
  <c r="O245" i="7"/>
  <c r="Q244" i="7"/>
  <c r="P244" i="7"/>
  <c r="O244" i="7"/>
  <c r="Q243" i="7"/>
  <c r="P243" i="7"/>
  <c r="O243" i="7"/>
  <c r="Q242" i="7"/>
  <c r="P242" i="7"/>
  <c r="O242" i="7"/>
  <c r="Q241" i="7"/>
  <c r="P241" i="7"/>
  <c r="O241" i="7"/>
  <c r="Q240" i="7"/>
  <c r="P240" i="7"/>
  <c r="O240" i="7"/>
  <c r="Q239" i="7"/>
  <c r="P239" i="7"/>
  <c r="O239" i="7"/>
  <c r="Q238" i="7"/>
  <c r="P238" i="7"/>
  <c r="O238" i="7"/>
  <c r="Q237" i="7"/>
  <c r="P237" i="7"/>
  <c r="O237" i="7"/>
  <c r="Q236" i="7"/>
  <c r="P236" i="7"/>
  <c r="O236" i="7"/>
  <c r="Q234" i="7"/>
  <c r="P234" i="7"/>
  <c r="O234" i="7"/>
  <c r="Q233" i="7"/>
  <c r="P233" i="7"/>
  <c r="O233" i="7"/>
  <c r="Q232" i="7"/>
  <c r="P232" i="7"/>
  <c r="O232" i="7"/>
  <c r="Q231" i="7"/>
  <c r="P231" i="7"/>
  <c r="O231" i="7"/>
  <c r="Q230" i="7"/>
  <c r="P230" i="7"/>
  <c r="O230" i="7"/>
  <c r="Q229" i="7"/>
  <c r="P229" i="7"/>
  <c r="O229" i="7"/>
  <c r="Q228" i="7"/>
  <c r="P228" i="7"/>
  <c r="O228" i="7"/>
  <c r="Q227" i="7"/>
  <c r="P227" i="7"/>
  <c r="O227" i="7"/>
  <c r="Q226" i="7"/>
  <c r="P226" i="7"/>
  <c r="O226" i="7"/>
  <c r="Q225" i="7"/>
  <c r="P225" i="7"/>
  <c r="O225" i="7"/>
  <c r="Q224" i="7"/>
  <c r="P224" i="7"/>
  <c r="O224" i="7"/>
  <c r="Q223" i="7"/>
  <c r="P223" i="7"/>
  <c r="O223" i="7"/>
  <c r="Q222" i="7"/>
  <c r="P222" i="7"/>
  <c r="O222" i="7"/>
  <c r="Q221" i="7"/>
  <c r="P221" i="7"/>
  <c r="O221" i="7"/>
  <c r="Q220" i="7"/>
  <c r="P220" i="7"/>
  <c r="O220" i="7"/>
  <c r="Q219" i="7"/>
  <c r="P219" i="7"/>
  <c r="O219" i="7"/>
  <c r="Q218" i="7"/>
  <c r="P218" i="7"/>
  <c r="O218" i="7"/>
  <c r="Q217" i="7"/>
  <c r="P217" i="7"/>
  <c r="O217" i="7"/>
  <c r="Q216" i="7"/>
  <c r="P216" i="7"/>
  <c r="O216" i="7"/>
  <c r="Q215" i="7"/>
  <c r="P215" i="7"/>
  <c r="O215" i="7"/>
  <c r="Q214" i="7"/>
  <c r="P214" i="7"/>
  <c r="O214" i="7"/>
  <c r="Q213" i="7"/>
  <c r="P213" i="7"/>
  <c r="O213" i="7"/>
  <c r="Q212" i="7"/>
  <c r="P212" i="7"/>
  <c r="O212" i="7"/>
  <c r="Q211" i="7"/>
  <c r="P211" i="7"/>
  <c r="O211" i="7"/>
  <c r="Q210" i="7"/>
  <c r="P210" i="7"/>
  <c r="O210" i="7"/>
  <c r="Q209" i="7"/>
  <c r="P209" i="7"/>
  <c r="O209" i="7"/>
  <c r="Q208" i="7"/>
  <c r="P208" i="7"/>
  <c r="O208" i="7"/>
  <c r="Q207" i="7"/>
  <c r="P207" i="7"/>
  <c r="O207" i="7"/>
  <c r="Q206" i="7"/>
  <c r="P206" i="7"/>
  <c r="O206" i="7"/>
  <c r="Q205" i="7"/>
  <c r="P205" i="7"/>
  <c r="O205" i="7"/>
  <c r="Q204" i="7"/>
  <c r="P204" i="7"/>
  <c r="O204" i="7"/>
  <c r="Q203" i="7"/>
  <c r="P203" i="7"/>
  <c r="O203" i="7"/>
  <c r="Q202" i="7"/>
  <c r="P202" i="7"/>
  <c r="O202" i="7"/>
  <c r="Q201" i="7"/>
  <c r="P201" i="7"/>
  <c r="O201" i="7"/>
  <c r="Q200" i="7"/>
  <c r="P200" i="7"/>
  <c r="O200" i="7"/>
  <c r="Q199" i="7"/>
  <c r="P199" i="7"/>
  <c r="O199" i="7"/>
  <c r="Q197" i="7"/>
  <c r="P197" i="7"/>
  <c r="O197" i="7"/>
  <c r="Q196" i="7"/>
  <c r="P196" i="7"/>
  <c r="O196" i="7"/>
  <c r="Q195" i="7"/>
  <c r="P195" i="7"/>
  <c r="O195" i="7"/>
  <c r="Q194" i="7"/>
  <c r="P194" i="7"/>
  <c r="O194" i="7"/>
  <c r="Q193" i="7"/>
  <c r="P193" i="7"/>
  <c r="O193" i="7"/>
  <c r="Q192" i="7"/>
  <c r="P192" i="7"/>
  <c r="O192" i="7"/>
  <c r="Q191" i="7"/>
  <c r="P191" i="7"/>
  <c r="O191" i="7"/>
  <c r="Q190" i="7"/>
  <c r="P190" i="7"/>
  <c r="O190" i="7"/>
  <c r="Q189" i="7"/>
  <c r="P189" i="7"/>
  <c r="O189" i="7"/>
  <c r="Q188" i="7"/>
  <c r="P188" i="7"/>
  <c r="O188" i="7"/>
  <c r="Q187" i="7"/>
  <c r="P187" i="7"/>
  <c r="O187" i="7"/>
  <c r="Q185" i="7"/>
  <c r="P185" i="7"/>
  <c r="O185" i="7"/>
  <c r="Q184" i="7"/>
  <c r="P184" i="7"/>
  <c r="O184" i="7"/>
  <c r="Q183" i="7"/>
  <c r="P183" i="7"/>
  <c r="O183" i="7"/>
  <c r="Q182" i="7"/>
  <c r="P182" i="7"/>
  <c r="O182" i="7"/>
  <c r="Q181" i="7"/>
  <c r="P181" i="7"/>
  <c r="O181" i="7"/>
  <c r="Q180" i="7"/>
  <c r="P180" i="7"/>
  <c r="O180" i="7"/>
  <c r="Q179" i="7"/>
  <c r="P179" i="7"/>
  <c r="O179" i="7"/>
  <c r="Q178" i="7"/>
  <c r="P178" i="7"/>
  <c r="O178" i="7"/>
  <c r="Q177" i="7"/>
  <c r="P177" i="7"/>
  <c r="O177" i="7"/>
  <c r="Q176" i="7"/>
  <c r="P176" i="7"/>
  <c r="O176" i="7"/>
  <c r="Q175" i="7"/>
  <c r="P175" i="7"/>
  <c r="O175" i="7"/>
  <c r="Q174" i="7"/>
  <c r="P174" i="7"/>
  <c r="O174" i="7"/>
  <c r="Q172" i="7"/>
  <c r="P172" i="7"/>
  <c r="O172" i="7"/>
  <c r="Q171" i="7"/>
  <c r="P171" i="7"/>
  <c r="O171" i="7"/>
  <c r="Q170" i="7"/>
  <c r="P170" i="7"/>
  <c r="O170" i="7"/>
  <c r="Q169" i="7"/>
  <c r="P169" i="7"/>
  <c r="O169" i="7"/>
  <c r="Q168" i="7"/>
  <c r="P168" i="7"/>
  <c r="O168" i="7"/>
  <c r="Q167" i="7"/>
  <c r="P167" i="7"/>
  <c r="O167" i="7"/>
  <c r="Q166" i="7"/>
  <c r="P166" i="7"/>
  <c r="O166" i="7"/>
  <c r="Q165" i="7"/>
  <c r="P165" i="7"/>
  <c r="O165" i="7"/>
  <c r="Q164" i="7"/>
  <c r="P164" i="7"/>
  <c r="O164" i="7"/>
  <c r="Q163" i="7"/>
  <c r="P163" i="7"/>
  <c r="O163" i="7"/>
  <c r="Q162" i="7"/>
  <c r="P162" i="7"/>
  <c r="O162" i="7"/>
  <c r="Q161" i="7"/>
  <c r="P161" i="7"/>
  <c r="O161" i="7"/>
  <c r="Q160" i="7"/>
  <c r="P160" i="7"/>
  <c r="O160" i="7"/>
  <c r="Q159" i="7"/>
  <c r="P159" i="7"/>
  <c r="O159" i="7"/>
  <c r="Q158" i="7"/>
  <c r="P158" i="7"/>
  <c r="O158" i="7"/>
  <c r="Q157" i="7"/>
  <c r="P157" i="7"/>
  <c r="O157" i="7"/>
  <c r="Q156" i="7"/>
  <c r="P156" i="7"/>
  <c r="O156" i="7"/>
  <c r="Q155" i="7"/>
  <c r="P155" i="7"/>
  <c r="O155" i="7"/>
  <c r="Q154" i="7"/>
  <c r="P154" i="7"/>
  <c r="O154" i="7"/>
  <c r="Q153" i="7"/>
  <c r="P153" i="7"/>
  <c r="O153" i="7"/>
  <c r="Q152" i="7"/>
  <c r="P152" i="7"/>
  <c r="O152" i="7"/>
  <c r="Q151" i="7"/>
  <c r="P151" i="7"/>
  <c r="O151" i="7"/>
  <c r="Q149" i="7"/>
  <c r="P149" i="7"/>
  <c r="O149" i="7"/>
  <c r="Q148" i="7"/>
  <c r="P148" i="7"/>
  <c r="O148" i="7"/>
  <c r="Q147" i="7"/>
  <c r="P147" i="7"/>
  <c r="O147" i="7"/>
  <c r="Q146" i="7"/>
  <c r="P146" i="7"/>
  <c r="O146" i="7"/>
  <c r="Q145" i="7"/>
  <c r="P145" i="7"/>
  <c r="O145" i="7"/>
  <c r="Q144" i="7"/>
  <c r="P144" i="7"/>
  <c r="O144" i="7"/>
  <c r="Q143" i="7"/>
  <c r="P143" i="7"/>
  <c r="O143" i="7"/>
  <c r="Q142" i="7"/>
  <c r="P142" i="7"/>
  <c r="O142" i="7"/>
  <c r="Q141" i="7"/>
  <c r="P141" i="7"/>
  <c r="O141" i="7"/>
  <c r="Q140" i="7"/>
  <c r="P140" i="7"/>
  <c r="O140" i="7"/>
  <c r="Q139" i="7"/>
  <c r="P139" i="7"/>
  <c r="O139" i="7"/>
  <c r="Q138" i="7"/>
  <c r="P138" i="7"/>
  <c r="O138" i="7"/>
  <c r="Q135" i="7"/>
  <c r="P135" i="7"/>
  <c r="O135" i="7"/>
  <c r="Q134" i="7"/>
  <c r="P134" i="7"/>
  <c r="O134" i="7"/>
  <c r="Q133" i="7"/>
  <c r="P133" i="7"/>
  <c r="O133" i="7"/>
  <c r="Q132" i="7"/>
  <c r="P132" i="7"/>
  <c r="O132" i="7"/>
  <c r="Q131" i="7"/>
  <c r="P131" i="7"/>
  <c r="O131" i="7"/>
  <c r="Q130" i="7"/>
  <c r="P130" i="7"/>
  <c r="O130" i="7"/>
  <c r="Q129" i="7"/>
  <c r="P129" i="7"/>
  <c r="O129" i="7"/>
  <c r="Q128" i="7"/>
  <c r="P128" i="7"/>
  <c r="O128" i="7"/>
  <c r="Q127" i="7"/>
  <c r="P127" i="7"/>
  <c r="O127" i="7"/>
  <c r="Q126" i="7"/>
  <c r="P126" i="7"/>
  <c r="O126" i="7"/>
  <c r="Q125" i="7"/>
  <c r="P125" i="7"/>
  <c r="O125" i="7"/>
  <c r="Q124" i="7"/>
  <c r="P124" i="7"/>
  <c r="O124" i="7"/>
  <c r="Q123" i="7"/>
  <c r="P123" i="7"/>
  <c r="O123" i="7"/>
  <c r="Q122" i="7"/>
  <c r="P122" i="7"/>
  <c r="O122" i="7"/>
  <c r="Q121" i="7"/>
  <c r="P121" i="7"/>
  <c r="O121" i="7"/>
  <c r="Q120" i="7"/>
  <c r="P120" i="7"/>
  <c r="O120" i="7"/>
  <c r="Q119" i="7"/>
  <c r="P119" i="7"/>
  <c r="O119" i="7"/>
  <c r="Q118" i="7"/>
  <c r="P118" i="7"/>
  <c r="O118" i="7"/>
  <c r="Q117" i="7"/>
  <c r="P117" i="7"/>
  <c r="O117" i="7"/>
  <c r="Q116" i="7"/>
  <c r="P116" i="7"/>
  <c r="O116" i="7"/>
  <c r="Q115" i="7"/>
  <c r="P115" i="7"/>
  <c r="O115" i="7"/>
  <c r="Q114" i="7"/>
  <c r="P114" i="7"/>
  <c r="O114" i="7"/>
  <c r="Q113" i="7"/>
  <c r="P113" i="7"/>
  <c r="O113" i="7"/>
  <c r="Q112" i="7"/>
  <c r="P112" i="7"/>
  <c r="O112" i="7"/>
  <c r="Q111" i="7"/>
  <c r="P111" i="7"/>
  <c r="O111" i="7"/>
  <c r="Q110" i="7"/>
  <c r="P110" i="7"/>
  <c r="O110" i="7"/>
  <c r="Q109" i="7"/>
  <c r="P109" i="7"/>
  <c r="O109" i="7"/>
  <c r="Q108" i="7"/>
  <c r="P108" i="7"/>
  <c r="O108" i="7"/>
  <c r="Q107" i="7"/>
  <c r="P107" i="7"/>
  <c r="O107" i="7"/>
  <c r="Q106" i="7"/>
  <c r="P106" i="7"/>
  <c r="O106" i="7"/>
  <c r="Q105" i="7"/>
  <c r="P105" i="7"/>
  <c r="O105" i="7"/>
  <c r="Q103" i="7"/>
  <c r="P103" i="7"/>
  <c r="O103" i="7"/>
  <c r="Q102" i="7"/>
  <c r="P102" i="7"/>
  <c r="O102" i="7"/>
  <c r="Q101" i="7"/>
  <c r="P101" i="7"/>
  <c r="O101" i="7"/>
  <c r="Q100" i="7"/>
  <c r="P100" i="7"/>
  <c r="O100" i="7"/>
  <c r="Q99" i="7"/>
  <c r="P99" i="7"/>
  <c r="O99" i="7"/>
  <c r="Q98" i="7"/>
  <c r="P98" i="7"/>
  <c r="O98" i="7"/>
  <c r="Q97" i="7"/>
  <c r="P97" i="7"/>
  <c r="O97" i="7"/>
  <c r="Q96" i="7"/>
  <c r="P96" i="7"/>
  <c r="O96" i="7"/>
  <c r="Q95" i="7"/>
  <c r="P95" i="7"/>
  <c r="O95" i="7"/>
  <c r="Q94" i="7"/>
  <c r="P94" i="7"/>
  <c r="O94" i="7"/>
  <c r="Q93" i="7"/>
  <c r="P93" i="7"/>
  <c r="O93" i="7"/>
  <c r="Q92" i="7"/>
  <c r="P92" i="7"/>
  <c r="O92" i="7"/>
  <c r="Q91" i="7"/>
  <c r="P91" i="7"/>
  <c r="O91" i="7"/>
  <c r="Q90" i="7"/>
  <c r="P90" i="7"/>
  <c r="O90" i="7"/>
  <c r="Q89" i="7"/>
  <c r="P89" i="7"/>
  <c r="O89" i="7"/>
  <c r="Q88" i="7"/>
  <c r="P88" i="7"/>
  <c r="O88" i="7"/>
  <c r="Q87" i="7"/>
  <c r="P87" i="7"/>
  <c r="O87" i="7"/>
  <c r="Q86" i="7"/>
  <c r="P86" i="7"/>
  <c r="O86" i="7"/>
  <c r="Q85" i="7"/>
  <c r="P85" i="7"/>
  <c r="O85" i="7"/>
  <c r="Q84" i="7"/>
  <c r="P84" i="7"/>
  <c r="O84" i="7"/>
  <c r="Q83" i="7"/>
  <c r="P83" i="7"/>
  <c r="O83" i="7"/>
  <c r="Q82" i="7"/>
  <c r="P82" i="7"/>
  <c r="O82" i="7"/>
  <c r="Q81" i="7"/>
  <c r="P81" i="7"/>
  <c r="O81" i="7"/>
  <c r="Q80" i="7"/>
  <c r="P80" i="7"/>
  <c r="O80" i="7"/>
  <c r="Q79" i="7"/>
  <c r="P79" i="7"/>
  <c r="O79" i="7"/>
  <c r="Q78" i="7"/>
  <c r="P78" i="7"/>
  <c r="O78" i="7"/>
  <c r="Q77" i="7"/>
  <c r="P77" i="7"/>
  <c r="O77" i="7"/>
  <c r="Q76" i="7"/>
  <c r="P76" i="7"/>
  <c r="O76" i="7"/>
  <c r="Q75" i="7"/>
  <c r="P75" i="7"/>
  <c r="O75" i="7"/>
  <c r="Q74" i="7"/>
  <c r="P74" i="7"/>
  <c r="O74" i="7"/>
  <c r="Q72" i="7"/>
  <c r="P72" i="7"/>
  <c r="O72" i="7"/>
  <c r="Q71" i="7"/>
  <c r="P71" i="7"/>
  <c r="O71" i="7"/>
  <c r="Q69" i="7"/>
  <c r="P69" i="7"/>
  <c r="O69" i="7"/>
  <c r="Q68" i="7"/>
  <c r="P68" i="7"/>
  <c r="O68" i="7"/>
  <c r="Q67" i="7"/>
  <c r="P67" i="7"/>
  <c r="O67" i="7"/>
  <c r="Q65" i="7"/>
  <c r="P65" i="7"/>
  <c r="O65" i="7"/>
  <c r="Q64" i="7"/>
  <c r="P64" i="7"/>
  <c r="O64" i="7"/>
  <c r="Q63" i="7"/>
  <c r="P63" i="7"/>
  <c r="O63" i="7"/>
  <c r="Q62" i="7"/>
  <c r="P62" i="7"/>
  <c r="O62" i="7"/>
  <c r="Q61" i="7"/>
  <c r="P61" i="7"/>
  <c r="O61" i="7"/>
  <c r="Q60" i="7"/>
  <c r="P60" i="7"/>
  <c r="O60" i="7"/>
  <c r="Q59" i="7"/>
  <c r="P59" i="7"/>
  <c r="O59" i="7"/>
  <c r="Q57" i="7"/>
  <c r="P57" i="7"/>
  <c r="O57" i="7"/>
  <c r="Q56" i="7"/>
  <c r="P56" i="7"/>
  <c r="O56" i="7"/>
  <c r="Q55" i="7"/>
  <c r="P55" i="7"/>
  <c r="O55" i="7"/>
  <c r="Q54" i="7"/>
  <c r="P54" i="7"/>
  <c r="O54" i="7"/>
  <c r="Q53" i="7"/>
  <c r="P53" i="7"/>
  <c r="O53" i="7"/>
  <c r="Q52" i="7"/>
  <c r="P52" i="7"/>
  <c r="O52" i="7"/>
  <c r="Q51" i="7"/>
  <c r="P51" i="7"/>
  <c r="O51" i="7"/>
  <c r="Q49" i="7"/>
  <c r="P49" i="7"/>
  <c r="O49" i="7"/>
  <c r="Q48" i="7"/>
  <c r="P48" i="7"/>
  <c r="O48" i="7"/>
  <c r="Q46" i="7"/>
  <c r="P46" i="7"/>
  <c r="O46" i="7"/>
  <c r="Q45" i="7"/>
  <c r="P45" i="7"/>
  <c r="O45" i="7"/>
  <c r="Q44" i="7"/>
  <c r="P44" i="7"/>
  <c r="O44" i="7"/>
  <c r="Q42" i="7"/>
  <c r="P42" i="7"/>
  <c r="O42" i="7"/>
  <c r="Q41" i="7"/>
  <c r="P41" i="7"/>
  <c r="O41" i="7"/>
  <c r="Q40" i="7"/>
  <c r="P40" i="7"/>
  <c r="O40" i="7"/>
  <c r="Q39" i="7"/>
  <c r="P39" i="7"/>
  <c r="O39" i="7"/>
  <c r="Q38" i="7"/>
  <c r="P38" i="7"/>
  <c r="O38" i="7"/>
  <c r="Q37" i="7"/>
  <c r="P37" i="7"/>
  <c r="O37" i="7"/>
  <c r="Q36" i="7"/>
  <c r="P36" i="7"/>
  <c r="O36" i="7"/>
  <c r="Q35" i="7"/>
  <c r="P35" i="7"/>
  <c r="O35" i="7"/>
  <c r="Q34" i="7"/>
  <c r="P34" i="7"/>
  <c r="O34" i="7"/>
  <c r="Q33" i="7"/>
  <c r="P33" i="7"/>
  <c r="O33" i="7"/>
  <c r="Q32" i="7"/>
  <c r="P32" i="7"/>
  <c r="O32" i="7"/>
  <c r="Q31" i="7"/>
  <c r="P31" i="7"/>
  <c r="O31" i="7"/>
  <c r="Q30" i="7"/>
  <c r="P30" i="7"/>
  <c r="O30" i="7"/>
  <c r="Q29" i="7"/>
  <c r="P29" i="7"/>
  <c r="O29" i="7"/>
  <c r="Q28" i="7"/>
  <c r="P28" i="7"/>
  <c r="O28" i="7"/>
  <c r="Q27" i="7"/>
  <c r="P27" i="7"/>
  <c r="O27" i="7"/>
  <c r="Q26" i="7"/>
  <c r="P26" i="7"/>
  <c r="O26" i="7"/>
  <c r="Q25" i="7"/>
  <c r="P25" i="7"/>
  <c r="O25" i="7"/>
  <c r="Q24" i="7"/>
  <c r="P24" i="7"/>
  <c r="O24" i="7"/>
  <c r="Q21" i="7"/>
  <c r="P21" i="7"/>
  <c r="O21" i="7"/>
  <c r="Q20" i="7"/>
  <c r="P20" i="7"/>
  <c r="O20" i="7"/>
  <c r="Q18" i="7"/>
  <c r="P18" i="7"/>
  <c r="O18" i="7"/>
  <c r="Q16" i="7"/>
  <c r="P16" i="7"/>
  <c r="O16" i="7"/>
  <c r="Q14" i="7"/>
  <c r="P14" i="7"/>
  <c r="O14" i="7"/>
  <c r="Q12" i="7"/>
  <c r="P12" i="7"/>
  <c r="O12" i="7"/>
  <c r="Q11" i="7"/>
  <c r="P11" i="7"/>
  <c r="O11" i="7"/>
  <c r="Q9" i="7"/>
  <c r="P9" i="7"/>
  <c r="O9" i="7"/>
  <c r="H266" i="6"/>
  <c r="G266" i="6"/>
  <c r="F266" i="6"/>
  <c r="E266" i="6"/>
  <c r="D266" i="6"/>
  <c r="C266" i="6"/>
  <c r="L265" i="6"/>
  <c r="K265" i="6"/>
  <c r="L263" i="6"/>
  <c r="K263" i="6"/>
  <c r="L262" i="6"/>
  <c r="K262" i="6"/>
  <c r="L261" i="6"/>
  <c r="K261" i="6"/>
  <c r="L259" i="6"/>
  <c r="K259" i="6"/>
  <c r="L258" i="6"/>
  <c r="K258" i="6"/>
  <c r="L257" i="6"/>
  <c r="K257" i="6"/>
  <c r="L256" i="6"/>
  <c r="K256" i="6"/>
  <c r="L255" i="6"/>
  <c r="K255" i="6"/>
  <c r="L254" i="6"/>
  <c r="K254" i="6"/>
  <c r="L252" i="6"/>
  <c r="K252" i="6"/>
  <c r="L251" i="6"/>
  <c r="K251" i="6"/>
  <c r="L250" i="6"/>
  <c r="K250" i="6"/>
  <c r="L249" i="6"/>
  <c r="K249" i="6"/>
  <c r="L248" i="6"/>
  <c r="K248" i="6"/>
  <c r="L246" i="6"/>
  <c r="K246" i="6"/>
  <c r="L245" i="6"/>
  <c r="K245" i="6"/>
  <c r="L244" i="6"/>
  <c r="K244" i="6"/>
  <c r="L243" i="6"/>
  <c r="K243" i="6"/>
  <c r="L242" i="6"/>
  <c r="K242" i="6"/>
  <c r="L241" i="6"/>
  <c r="K241" i="6"/>
  <c r="L240" i="6"/>
  <c r="K240" i="6"/>
  <c r="L238" i="6"/>
  <c r="K238" i="6"/>
  <c r="L237" i="6"/>
  <c r="K237" i="6"/>
  <c r="L236" i="6"/>
  <c r="K236" i="6"/>
  <c r="L235" i="6"/>
  <c r="K235" i="6"/>
  <c r="L234" i="6"/>
  <c r="K234" i="6"/>
  <c r="L233" i="6"/>
  <c r="K233" i="6"/>
  <c r="L231" i="6"/>
  <c r="K231" i="6"/>
  <c r="L230" i="6"/>
  <c r="K230" i="6"/>
  <c r="L229" i="6"/>
  <c r="K229" i="6"/>
  <c r="L227" i="6"/>
  <c r="K227" i="6"/>
  <c r="L226" i="6"/>
  <c r="K226" i="6"/>
  <c r="L225" i="6"/>
  <c r="K225" i="6"/>
  <c r="L224" i="6"/>
  <c r="K224" i="6"/>
  <c r="L223" i="6"/>
  <c r="K223" i="6"/>
  <c r="L222" i="6"/>
  <c r="K222" i="6"/>
  <c r="L221" i="6"/>
  <c r="K221" i="6"/>
  <c r="L220" i="6"/>
  <c r="K220" i="6"/>
  <c r="L219" i="6"/>
  <c r="K219" i="6"/>
  <c r="L218" i="6"/>
  <c r="K218" i="6"/>
  <c r="L217" i="6"/>
  <c r="K217" i="6"/>
  <c r="L216" i="6"/>
  <c r="K216" i="6"/>
  <c r="L215" i="6"/>
  <c r="K215" i="6"/>
  <c r="L214" i="6"/>
  <c r="K214" i="6"/>
  <c r="L213" i="6"/>
  <c r="K213" i="6"/>
  <c r="L212" i="6"/>
  <c r="K212" i="6"/>
  <c r="L211" i="6"/>
  <c r="K211" i="6"/>
  <c r="L210" i="6"/>
  <c r="K210" i="6"/>
  <c r="L209" i="6"/>
  <c r="K209" i="6"/>
  <c r="L207" i="6"/>
  <c r="K207" i="6"/>
  <c r="L206" i="6"/>
  <c r="K206" i="6"/>
  <c r="L205" i="6"/>
  <c r="K205" i="6"/>
  <c r="L204" i="6"/>
  <c r="K204" i="6"/>
  <c r="L203" i="6"/>
  <c r="K203" i="6"/>
  <c r="L202" i="6"/>
  <c r="K202" i="6"/>
  <c r="L201" i="6"/>
  <c r="K201" i="6"/>
  <c r="L200" i="6"/>
  <c r="K200" i="6"/>
  <c r="L199" i="6"/>
  <c r="K199" i="6"/>
  <c r="L198" i="6"/>
  <c r="K198" i="6"/>
  <c r="L197" i="6"/>
  <c r="K197" i="6"/>
  <c r="L196" i="6"/>
  <c r="K196" i="6"/>
  <c r="L195" i="6"/>
  <c r="K195" i="6"/>
  <c r="L194" i="6"/>
  <c r="K194" i="6"/>
  <c r="L192" i="6"/>
  <c r="K192" i="6"/>
  <c r="L191" i="6"/>
  <c r="K191" i="6"/>
  <c r="L189" i="6"/>
  <c r="K189" i="6"/>
  <c r="L188" i="6"/>
  <c r="K188" i="6"/>
  <c r="L187" i="6"/>
  <c r="K187" i="6"/>
  <c r="L186" i="6"/>
  <c r="K186" i="6"/>
  <c r="L185" i="6"/>
  <c r="K185" i="6"/>
  <c r="L184" i="6"/>
  <c r="K184" i="6"/>
  <c r="L183" i="6"/>
  <c r="K183" i="6"/>
  <c r="L182" i="6"/>
  <c r="K182" i="6"/>
  <c r="L181" i="6"/>
  <c r="K181" i="6"/>
  <c r="L180" i="6"/>
  <c r="K180" i="6"/>
  <c r="L178" i="6"/>
  <c r="K178" i="6"/>
  <c r="L177" i="6"/>
  <c r="K177" i="6"/>
  <c r="L176" i="6"/>
  <c r="K176" i="6"/>
  <c r="L175" i="6"/>
  <c r="K175" i="6"/>
  <c r="L174" i="6"/>
  <c r="K174" i="6"/>
  <c r="L173" i="6"/>
  <c r="K173" i="6"/>
  <c r="L172" i="6"/>
  <c r="K172" i="6"/>
  <c r="L171" i="6"/>
  <c r="K171" i="6"/>
  <c r="L170" i="6"/>
  <c r="K170" i="6"/>
  <c r="L169" i="6"/>
  <c r="K169" i="6"/>
  <c r="L168" i="6"/>
  <c r="K168" i="6"/>
  <c r="L167" i="6"/>
  <c r="K167" i="6"/>
  <c r="L166" i="6"/>
  <c r="K166" i="6"/>
  <c r="L164" i="6"/>
  <c r="K164" i="6"/>
  <c r="L163" i="6"/>
  <c r="K163" i="6"/>
  <c r="L162" i="6"/>
  <c r="K162" i="6"/>
  <c r="L161" i="6"/>
  <c r="K161" i="6"/>
  <c r="L160" i="6"/>
  <c r="K160" i="6"/>
  <c r="L158" i="6"/>
  <c r="K158" i="6"/>
  <c r="L157" i="6"/>
  <c r="K157" i="6"/>
  <c r="L156" i="6"/>
  <c r="K156" i="6"/>
  <c r="L155" i="6"/>
  <c r="K155" i="6"/>
  <c r="L154" i="6"/>
  <c r="K154" i="6"/>
  <c r="L153" i="6"/>
  <c r="K153" i="6"/>
  <c r="L152" i="6"/>
  <c r="K152" i="6"/>
  <c r="L151" i="6"/>
  <c r="K151" i="6"/>
  <c r="L150" i="6"/>
  <c r="K150" i="6"/>
  <c r="L149" i="6"/>
  <c r="K149" i="6"/>
  <c r="L148" i="6"/>
  <c r="K148" i="6"/>
  <c r="L147" i="6"/>
  <c r="K147" i="6"/>
  <c r="L145" i="6"/>
  <c r="K145" i="6"/>
  <c r="L144" i="6"/>
  <c r="K144" i="6"/>
  <c r="L143" i="6"/>
  <c r="K143" i="6"/>
  <c r="L142" i="6"/>
  <c r="K142" i="6"/>
  <c r="L141" i="6"/>
  <c r="K141" i="6"/>
  <c r="L140" i="6"/>
  <c r="K140" i="6"/>
  <c r="L139" i="6"/>
  <c r="K139" i="6"/>
  <c r="L138" i="6"/>
  <c r="K138" i="6"/>
  <c r="L137" i="6"/>
  <c r="K137" i="6"/>
  <c r="L136" i="6"/>
  <c r="K136" i="6"/>
  <c r="L135" i="6"/>
  <c r="K135" i="6"/>
  <c r="L134" i="6"/>
  <c r="K134" i="6"/>
  <c r="L133" i="6"/>
  <c r="K133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6" i="6"/>
  <c r="K126" i="6"/>
  <c r="L124" i="6"/>
  <c r="K124" i="6"/>
  <c r="L123" i="6"/>
  <c r="K123" i="6"/>
  <c r="L122" i="6"/>
  <c r="K122" i="6"/>
  <c r="L121" i="6"/>
  <c r="K121" i="6"/>
  <c r="L120" i="6"/>
  <c r="K120" i="6"/>
  <c r="L119" i="6"/>
  <c r="K119" i="6"/>
  <c r="L118" i="6"/>
  <c r="K118" i="6"/>
  <c r="L117" i="6"/>
  <c r="K117" i="6"/>
  <c r="L115" i="6"/>
  <c r="K115" i="6"/>
  <c r="L114" i="6"/>
  <c r="K114" i="6"/>
  <c r="L113" i="6"/>
  <c r="K113" i="6"/>
  <c r="L112" i="6"/>
  <c r="K112" i="6"/>
  <c r="L111" i="6"/>
  <c r="K111" i="6"/>
  <c r="L110" i="6"/>
  <c r="K110" i="6"/>
  <c r="L108" i="6"/>
  <c r="K108" i="6"/>
  <c r="L107" i="6"/>
  <c r="K107" i="6"/>
  <c r="L106" i="6"/>
  <c r="K106" i="6"/>
  <c r="L104" i="6"/>
  <c r="K104" i="6"/>
  <c r="L103" i="6"/>
  <c r="K103" i="6"/>
  <c r="L102" i="6"/>
  <c r="K102" i="6"/>
  <c r="L101" i="6"/>
  <c r="K101" i="6"/>
  <c r="L100" i="6"/>
  <c r="K100" i="6"/>
  <c r="L99" i="6"/>
  <c r="K99" i="6"/>
  <c r="L98" i="6"/>
  <c r="K98" i="6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K89" i="6"/>
  <c r="L88" i="6"/>
  <c r="K88" i="6"/>
  <c r="L87" i="6"/>
  <c r="K87" i="6"/>
  <c r="L86" i="6"/>
  <c r="K86" i="6"/>
  <c r="L85" i="6"/>
  <c r="K85" i="6"/>
  <c r="L84" i="6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I393" i="5"/>
  <c r="H393" i="5"/>
  <c r="G393" i="5"/>
  <c r="F393" i="5"/>
  <c r="E393" i="5"/>
  <c r="L392" i="5"/>
  <c r="K392" i="5"/>
  <c r="L391" i="5"/>
  <c r="K391" i="5"/>
  <c r="L390" i="5"/>
  <c r="K390" i="5"/>
  <c r="L389" i="5"/>
  <c r="K389" i="5"/>
  <c r="L388" i="5"/>
  <c r="K388" i="5"/>
  <c r="L387" i="5"/>
  <c r="K387" i="5"/>
  <c r="L386" i="5"/>
  <c r="K386" i="5"/>
  <c r="K385" i="5"/>
  <c r="L384" i="5"/>
  <c r="K384" i="5"/>
  <c r="L383" i="5"/>
  <c r="K383" i="5"/>
  <c r="L382" i="5"/>
  <c r="K382" i="5"/>
  <c r="L381" i="5"/>
  <c r="K381" i="5"/>
  <c r="L380" i="5"/>
  <c r="K380" i="5"/>
  <c r="L379" i="5"/>
  <c r="K379" i="5"/>
  <c r="L378" i="5"/>
  <c r="K378" i="5"/>
  <c r="L377" i="5"/>
  <c r="K377" i="5"/>
  <c r="L376" i="5"/>
  <c r="K376" i="5"/>
  <c r="L375" i="5"/>
  <c r="K375" i="5"/>
  <c r="L374" i="5"/>
  <c r="K374" i="5"/>
  <c r="L373" i="5"/>
  <c r="K373" i="5"/>
  <c r="L372" i="5"/>
  <c r="K372" i="5"/>
  <c r="L371" i="5"/>
  <c r="K371" i="5"/>
  <c r="L370" i="5"/>
  <c r="K370" i="5"/>
  <c r="L369" i="5"/>
  <c r="K369" i="5"/>
  <c r="L367" i="5"/>
  <c r="K367" i="5"/>
  <c r="L366" i="5"/>
  <c r="K366" i="5"/>
  <c r="L365" i="5"/>
  <c r="K365" i="5"/>
  <c r="L364" i="5"/>
  <c r="K364" i="5"/>
  <c r="L363" i="5"/>
  <c r="K363" i="5"/>
  <c r="L362" i="5"/>
  <c r="K362" i="5"/>
  <c r="L361" i="5"/>
  <c r="K361" i="5"/>
  <c r="L360" i="5"/>
  <c r="K360" i="5"/>
  <c r="L359" i="5"/>
  <c r="K359" i="5"/>
  <c r="L358" i="5"/>
  <c r="K358" i="5"/>
  <c r="L357" i="5"/>
  <c r="K357" i="5"/>
  <c r="L356" i="5"/>
  <c r="K356" i="5"/>
  <c r="L355" i="5"/>
  <c r="K355" i="5"/>
  <c r="L354" i="5"/>
  <c r="K354" i="5"/>
  <c r="L353" i="5"/>
  <c r="K353" i="5"/>
  <c r="L352" i="5"/>
  <c r="K352" i="5"/>
  <c r="L351" i="5"/>
  <c r="K351" i="5"/>
  <c r="L350" i="5"/>
  <c r="K350" i="5"/>
  <c r="L349" i="5"/>
  <c r="K349" i="5"/>
  <c r="L348" i="5"/>
  <c r="K348" i="5"/>
  <c r="L347" i="5"/>
  <c r="K347" i="5"/>
  <c r="L346" i="5"/>
  <c r="K346" i="5"/>
  <c r="L345" i="5"/>
  <c r="K345" i="5"/>
  <c r="L344" i="5"/>
  <c r="K344" i="5"/>
  <c r="L343" i="5"/>
  <c r="K343" i="5"/>
  <c r="L342" i="5"/>
  <c r="K342" i="5"/>
  <c r="L341" i="5"/>
  <c r="K341" i="5"/>
  <c r="L340" i="5"/>
  <c r="K340" i="5"/>
  <c r="L339" i="5"/>
  <c r="K339" i="5"/>
  <c r="L338" i="5"/>
  <c r="K338" i="5"/>
  <c r="L337" i="5"/>
  <c r="K337" i="5"/>
  <c r="L336" i="5"/>
  <c r="K336" i="5"/>
  <c r="L335" i="5"/>
  <c r="K335" i="5"/>
  <c r="L334" i="5"/>
  <c r="K334" i="5"/>
  <c r="L333" i="5"/>
  <c r="K333" i="5"/>
  <c r="L332" i="5"/>
  <c r="K332" i="5"/>
  <c r="L331" i="5"/>
  <c r="K331" i="5"/>
  <c r="L330" i="5"/>
  <c r="K330" i="5"/>
  <c r="L329" i="5"/>
  <c r="K329" i="5"/>
  <c r="L328" i="5"/>
  <c r="K328" i="5"/>
  <c r="L327" i="5"/>
  <c r="K327" i="5"/>
  <c r="L326" i="5"/>
  <c r="K326" i="5"/>
  <c r="L325" i="5"/>
  <c r="K325" i="5"/>
  <c r="L324" i="5"/>
  <c r="K324" i="5"/>
  <c r="L323" i="5"/>
  <c r="K323" i="5"/>
  <c r="L322" i="5"/>
  <c r="K322" i="5"/>
  <c r="L321" i="5"/>
  <c r="K321" i="5"/>
  <c r="L320" i="5"/>
  <c r="K320" i="5"/>
  <c r="L319" i="5"/>
  <c r="K319" i="5"/>
  <c r="L318" i="5"/>
  <c r="K318" i="5"/>
  <c r="L317" i="5"/>
  <c r="K317" i="5"/>
  <c r="L316" i="5"/>
  <c r="K316" i="5"/>
  <c r="L315" i="5"/>
  <c r="K315" i="5"/>
  <c r="L314" i="5"/>
  <c r="K314" i="5"/>
  <c r="L313" i="5"/>
  <c r="K313" i="5"/>
  <c r="L312" i="5"/>
  <c r="K312" i="5"/>
  <c r="L311" i="5"/>
  <c r="K311" i="5"/>
  <c r="L310" i="5"/>
  <c r="K310" i="5"/>
  <c r="L309" i="5"/>
  <c r="K309" i="5"/>
  <c r="L308" i="5"/>
  <c r="K308" i="5"/>
  <c r="L307" i="5"/>
  <c r="K307" i="5"/>
  <c r="L306" i="5"/>
  <c r="K306" i="5"/>
  <c r="L305" i="5"/>
  <c r="K305" i="5"/>
  <c r="L304" i="5"/>
  <c r="K304" i="5"/>
  <c r="L303" i="5"/>
  <c r="K303" i="5"/>
  <c r="L302" i="5"/>
  <c r="K302" i="5"/>
  <c r="L301" i="5"/>
  <c r="K301" i="5"/>
  <c r="L300" i="5"/>
  <c r="K300" i="5"/>
  <c r="L299" i="5"/>
  <c r="K299" i="5"/>
  <c r="L297" i="5"/>
  <c r="K297" i="5"/>
  <c r="L296" i="5"/>
  <c r="K296" i="5"/>
  <c r="L295" i="5"/>
  <c r="K295" i="5"/>
  <c r="L294" i="5"/>
  <c r="K294" i="5"/>
  <c r="L293" i="5"/>
  <c r="K293" i="5"/>
  <c r="L292" i="5"/>
  <c r="K292" i="5"/>
  <c r="L291" i="5"/>
  <c r="K291" i="5"/>
  <c r="L290" i="5"/>
  <c r="K290" i="5"/>
  <c r="L289" i="5"/>
  <c r="K289" i="5"/>
  <c r="L288" i="5"/>
  <c r="K288" i="5"/>
  <c r="L287" i="5"/>
  <c r="K287" i="5"/>
  <c r="L286" i="5"/>
  <c r="K286" i="5"/>
  <c r="L285" i="5"/>
  <c r="K285" i="5"/>
  <c r="L284" i="5"/>
  <c r="K284" i="5"/>
  <c r="L283" i="5"/>
  <c r="K283" i="5"/>
  <c r="L282" i="5"/>
  <c r="K282" i="5"/>
  <c r="L281" i="5"/>
  <c r="K281" i="5"/>
  <c r="L280" i="5"/>
  <c r="K280" i="5"/>
  <c r="L279" i="5"/>
  <c r="K279" i="5"/>
  <c r="L278" i="5"/>
  <c r="K278" i="5"/>
  <c r="L277" i="5"/>
  <c r="K277" i="5"/>
  <c r="L276" i="5"/>
  <c r="K276" i="5"/>
  <c r="L275" i="5"/>
  <c r="K275" i="5"/>
  <c r="L274" i="5"/>
  <c r="K274" i="5"/>
  <c r="L273" i="5"/>
  <c r="K273" i="5"/>
  <c r="L272" i="5"/>
  <c r="K272" i="5"/>
  <c r="L271" i="5"/>
  <c r="K271" i="5"/>
  <c r="L270" i="5"/>
  <c r="K270" i="5"/>
  <c r="L269" i="5"/>
  <c r="K269" i="5"/>
  <c r="L268" i="5"/>
  <c r="K268" i="5"/>
  <c r="L267" i="5"/>
  <c r="K267" i="5"/>
  <c r="L266" i="5"/>
  <c r="K266" i="5"/>
  <c r="L265" i="5"/>
  <c r="K265" i="5"/>
  <c r="L264" i="5"/>
  <c r="K264" i="5"/>
  <c r="L263" i="5"/>
  <c r="K263" i="5"/>
  <c r="L262" i="5"/>
  <c r="K262" i="5"/>
  <c r="L261" i="5"/>
  <c r="K261" i="5"/>
  <c r="L260" i="5"/>
  <c r="K260" i="5"/>
  <c r="L259" i="5"/>
  <c r="K259" i="5"/>
  <c r="L258" i="5"/>
  <c r="K258" i="5"/>
  <c r="L257" i="5"/>
  <c r="K257" i="5"/>
  <c r="L256" i="5"/>
  <c r="K256" i="5"/>
  <c r="L255" i="5"/>
  <c r="K255" i="5"/>
  <c r="L254" i="5"/>
  <c r="K254" i="5"/>
  <c r="L253" i="5"/>
  <c r="K253" i="5"/>
  <c r="L252" i="5"/>
  <c r="K252" i="5"/>
  <c r="L251" i="5"/>
  <c r="K251" i="5"/>
  <c r="L250" i="5"/>
  <c r="K250" i="5"/>
  <c r="L249" i="5"/>
  <c r="K249" i="5"/>
  <c r="L248" i="5"/>
  <c r="K248" i="5"/>
  <c r="L247" i="5"/>
  <c r="K247" i="5"/>
  <c r="L246" i="5"/>
  <c r="K246" i="5"/>
  <c r="L245" i="5"/>
  <c r="K245" i="5"/>
  <c r="L244" i="5"/>
  <c r="K244" i="5"/>
  <c r="L243" i="5"/>
  <c r="K243" i="5"/>
  <c r="L242" i="5"/>
  <c r="K242" i="5"/>
  <c r="L241" i="5"/>
  <c r="K241" i="5"/>
  <c r="L240" i="5"/>
  <c r="K240" i="5"/>
  <c r="L239" i="5"/>
  <c r="K239" i="5"/>
  <c r="L238" i="5"/>
  <c r="K238" i="5"/>
  <c r="L237" i="5"/>
  <c r="K237" i="5"/>
  <c r="L236" i="5"/>
  <c r="K236" i="5"/>
  <c r="L235" i="5"/>
  <c r="K235" i="5"/>
  <c r="L234" i="5"/>
  <c r="K234" i="5"/>
  <c r="L233" i="5"/>
  <c r="K233" i="5"/>
  <c r="L232" i="5"/>
  <c r="K232" i="5"/>
  <c r="L231" i="5"/>
  <c r="K231" i="5"/>
  <c r="L230" i="5"/>
  <c r="K230" i="5"/>
  <c r="L229" i="5"/>
  <c r="K229" i="5"/>
  <c r="L228" i="5"/>
  <c r="K228" i="5"/>
  <c r="L226" i="5"/>
  <c r="K226" i="5"/>
  <c r="L225" i="5"/>
  <c r="K225" i="5"/>
  <c r="L224" i="5"/>
  <c r="K224" i="5"/>
  <c r="L223" i="5"/>
  <c r="K223" i="5"/>
  <c r="L222" i="5"/>
  <c r="K222" i="5"/>
  <c r="L221" i="5"/>
  <c r="K221" i="5"/>
  <c r="L220" i="5"/>
  <c r="K220" i="5"/>
  <c r="L219" i="5"/>
  <c r="K219" i="5"/>
  <c r="L218" i="5"/>
  <c r="K218" i="5"/>
  <c r="L217" i="5"/>
  <c r="K217" i="5"/>
  <c r="L216" i="5"/>
  <c r="K216" i="5"/>
  <c r="L215" i="5"/>
  <c r="K215" i="5"/>
  <c r="L214" i="5"/>
  <c r="K214" i="5"/>
  <c r="L213" i="5"/>
  <c r="K213" i="5"/>
  <c r="L212" i="5"/>
  <c r="K212" i="5"/>
  <c r="L211" i="5"/>
  <c r="K211" i="5"/>
  <c r="L209" i="5"/>
  <c r="K209" i="5"/>
  <c r="L208" i="5"/>
  <c r="L207" i="5"/>
  <c r="K207" i="5"/>
  <c r="L206" i="5"/>
  <c r="K206" i="5"/>
  <c r="L205" i="5"/>
  <c r="K205" i="5"/>
  <c r="L204" i="5"/>
  <c r="K204" i="5"/>
  <c r="L203" i="5"/>
  <c r="K203" i="5"/>
  <c r="L202" i="5"/>
  <c r="K202" i="5"/>
  <c r="L201" i="5"/>
  <c r="K201" i="5"/>
  <c r="L200" i="5"/>
  <c r="K200" i="5"/>
  <c r="L199" i="5"/>
  <c r="K199" i="5"/>
  <c r="L198" i="5"/>
  <c r="K198" i="5"/>
  <c r="L197" i="5"/>
  <c r="K197" i="5"/>
  <c r="L196" i="5"/>
  <c r="K196" i="5"/>
  <c r="L195" i="5"/>
  <c r="K195" i="5"/>
  <c r="L194" i="5"/>
  <c r="K194" i="5"/>
  <c r="L193" i="5"/>
  <c r="K193" i="5"/>
  <c r="L192" i="5"/>
  <c r="K192" i="5"/>
  <c r="L191" i="5"/>
  <c r="K191" i="5"/>
  <c r="L190" i="5"/>
  <c r="K190" i="5"/>
  <c r="L189" i="5"/>
  <c r="K189" i="5"/>
  <c r="L188" i="5"/>
  <c r="K188" i="5"/>
  <c r="L186" i="5"/>
  <c r="K186" i="5"/>
  <c r="L185" i="5"/>
  <c r="K185" i="5"/>
  <c r="L184" i="5"/>
  <c r="K184" i="5"/>
  <c r="L183" i="5"/>
  <c r="K183" i="5"/>
  <c r="L182" i="5"/>
  <c r="K182" i="5"/>
  <c r="L181" i="5"/>
  <c r="K181" i="5"/>
  <c r="L180" i="5"/>
  <c r="K180" i="5"/>
  <c r="L179" i="5"/>
  <c r="L178" i="5"/>
  <c r="K178" i="5"/>
  <c r="L177" i="5"/>
  <c r="K177" i="5"/>
  <c r="L176" i="5"/>
  <c r="K176" i="5"/>
  <c r="L175" i="5"/>
  <c r="K175" i="5"/>
  <c r="L174" i="5"/>
  <c r="K174" i="5"/>
  <c r="L173" i="5"/>
  <c r="K173" i="5"/>
  <c r="L172" i="5"/>
  <c r="K172" i="5"/>
  <c r="L171" i="5"/>
  <c r="K171" i="5"/>
  <c r="L170" i="5"/>
  <c r="K170" i="5"/>
  <c r="L169" i="5"/>
  <c r="K169" i="5"/>
  <c r="L168" i="5"/>
  <c r="K168" i="5"/>
  <c r="L167" i="5"/>
  <c r="K167" i="5"/>
  <c r="L166" i="5"/>
  <c r="K166" i="5"/>
  <c r="L165" i="5"/>
  <c r="K165" i="5"/>
  <c r="L163" i="5"/>
  <c r="K163" i="5"/>
  <c r="L162" i="5"/>
  <c r="K162" i="5"/>
  <c r="L161" i="5"/>
  <c r="K161" i="5"/>
  <c r="L160" i="5"/>
  <c r="K160" i="5"/>
  <c r="L159" i="5"/>
  <c r="K159" i="5"/>
  <c r="L158" i="5"/>
  <c r="K158" i="5"/>
  <c r="L157" i="5"/>
  <c r="K157" i="5"/>
  <c r="L156" i="5"/>
  <c r="K156" i="5"/>
  <c r="L155" i="5"/>
  <c r="K155" i="5"/>
  <c r="L154" i="5"/>
  <c r="K154" i="5"/>
  <c r="L153" i="5"/>
  <c r="K153" i="5"/>
  <c r="L152" i="5"/>
  <c r="K152" i="5"/>
  <c r="L151" i="5"/>
  <c r="K151" i="5"/>
  <c r="L150" i="5"/>
  <c r="K150" i="5"/>
  <c r="L149" i="5"/>
  <c r="K149" i="5"/>
  <c r="L148" i="5"/>
  <c r="K148" i="5"/>
  <c r="L147" i="5"/>
  <c r="K147" i="5"/>
  <c r="L146" i="5"/>
  <c r="K146" i="5"/>
  <c r="L145" i="5"/>
  <c r="K145" i="5"/>
  <c r="L144" i="5"/>
  <c r="K144" i="5"/>
  <c r="L143" i="5"/>
  <c r="K143" i="5"/>
  <c r="L142" i="5"/>
  <c r="K142" i="5"/>
  <c r="L141" i="5"/>
  <c r="K141" i="5"/>
  <c r="L140" i="5"/>
  <c r="K140" i="5"/>
  <c r="L139" i="5"/>
  <c r="K139" i="5"/>
  <c r="L138" i="5"/>
  <c r="K138" i="5"/>
  <c r="L137" i="5"/>
  <c r="K137" i="5"/>
  <c r="L136" i="5"/>
  <c r="K136" i="5"/>
  <c r="L135" i="5"/>
  <c r="K135" i="5"/>
  <c r="L134" i="5"/>
  <c r="K134" i="5"/>
  <c r="L133" i="5"/>
  <c r="K133" i="5"/>
  <c r="L132" i="5"/>
  <c r="K132" i="5"/>
  <c r="L131" i="5"/>
  <c r="K131" i="5"/>
  <c r="L130" i="5"/>
  <c r="K130" i="5"/>
  <c r="L129" i="5"/>
  <c r="K129" i="5"/>
  <c r="L128" i="5"/>
  <c r="K128" i="5"/>
  <c r="L127" i="5"/>
  <c r="K127" i="5"/>
  <c r="L126" i="5"/>
  <c r="K126" i="5"/>
  <c r="L125" i="5"/>
  <c r="K125" i="5"/>
  <c r="L124" i="5"/>
  <c r="K124" i="5"/>
  <c r="L123" i="5"/>
  <c r="K123" i="5"/>
  <c r="L122" i="5"/>
  <c r="K122" i="5"/>
  <c r="L121" i="5"/>
  <c r="K121" i="5"/>
  <c r="L120" i="5"/>
  <c r="K120" i="5"/>
  <c r="L119" i="5"/>
  <c r="K119" i="5"/>
  <c r="L118" i="5"/>
  <c r="K118" i="5"/>
  <c r="L117" i="5"/>
  <c r="K117" i="5"/>
  <c r="L116" i="5"/>
  <c r="K116" i="5"/>
  <c r="L115" i="5"/>
  <c r="K115" i="5"/>
  <c r="L114" i="5"/>
  <c r="K114" i="5"/>
  <c r="L113" i="5"/>
  <c r="K113" i="5"/>
  <c r="L112" i="5"/>
  <c r="K112" i="5"/>
  <c r="L111" i="5"/>
  <c r="K111" i="5"/>
  <c r="L110" i="5"/>
  <c r="K110" i="5"/>
  <c r="L109" i="5"/>
  <c r="K109" i="5"/>
  <c r="L108" i="5"/>
  <c r="K108" i="5"/>
  <c r="L107" i="5"/>
  <c r="K107" i="5"/>
  <c r="L106" i="5"/>
  <c r="K106" i="5"/>
  <c r="L105" i="5"/>
  <c r="K105" i="5"/>
  <c r="L104" i="5"/>
  <c r="K104" i="5"/>
  <c r="L103" i="5"/>
  <c r="K103" i="5"/>
  <c r="L102" i="5"/>
  <c r="K102" i="5"/>
  <c r="L101" i="5"/>
  <c r="K101" i="5"/>
  <c r="L100" i="5"/>
  <c r="K100" i="5"/>
  <c r="L99" i="5"/>
  <c r="K99" i="5"/>
  <c r="L98" i="5"/>
  <c r="K98" i="5"/>
  <c r="L97" i="5"/>
  <c r="K97" i="5"/>
  <c r="L96" i="5"/>
  <c r="K96" i="5"/>
  <c r="L95" i="5"/>
  <c r="K95" i="5"/>
  <c r="L94" i="5"/>
  <c r="K94" i="5"/>
  <c r="L92" i="5"/>
  <c r="K92" i="5"/>
  <c r="L91" i="5"/>
  <c r="K91" i="5"/>
  <c r="L90" i="5"/>
  <c r="K90" i="5"/>
  <c r="L89" i="5"/>
  <c r="K89" i="5"/>
  <c r="L88" i="5"/>
  <c r="K88" i="5"/>
  <c r="L87" i="5"/>
  <c r="K87" i="5"/>
  <c r="L86" i="5"/>
  <c r="K86" i="5"/>
  <c r="L85" i="5"/>
  <c r="K85" i="5"/>
  <c r="L84" i="5"/>
  <c r="K84" i="5"/>
  <c r="L83" i="5"/>
  <c r="K83" i="5"/>
  <c r="L82" i="5"/>
  <c r="K82" i="5"/>
  <c r="L81" i="5"/>
  <c r="K81" i="5"/>
  <c r="L80" i="5"/>
  <c r="K80" i="5"/>
  <c r="L79" i="5"/>
  <c r="K79" i="5"/>
  <c r="L78" i="5"/>
  <c r="K78" i="5"/>
  <c r="L77" i="5"/>
  <c r="K77" i="5"/>
  <c r="L76" i="5"/>
  <c r="K76" i="5"/>
  <c r="L75" i="5"/>
  <c r="K75" i="5"/>
  <c r="L74" i="5"/>
  <c r="K74" i="5"/>
  <c r="L73" i="5"/>
  <c r="K73" i="5"/>
  <c r="L72" i="5"/>
  <c r="K72" i="5"/>
  <c r="L71" i="5"/>
  <c r="K71" i="5"/>
  <c r="L70" i="5"/>
  <c r="K70" i="5"/>
  <c r="L69" i="5"/>
  <c r="K69" i="5"/>
  <c r="L68" i="5"/>
  <c r="K68" i="5"/>
  <c r="L67" i="5"/>
  <c r="K67" i="5"/>
  <c r="L66" i="5"/>
  <c r="K66" i="5"/>
  <c r="L65" i="5"/>
  <c r="K65" i="5"/>
  <c r="L64" i="5"/>
  <c r="K64" i="5"/>
  <c r="L63" i="5"/>
  <c r="K63" i="5"/>
  <c r="L62" i="5"/>
  <c r="K62" i="5"/>
  <c r="L61" i="5"/>
  <c r="K61" i="5"/>
  <c r="L60" i="5"/>
  <c r="K60" i="5"/>
  <c r="L59" i="5"/>
  <c r="K59" i="5"/>
  <c r="L58" i="5"/>
  <c r="K58" i="5"/>
  <c r="L57" i="5"/>
  <c r="K57" i="5"/>
  <c r="L56" i="5"/>
  <c r="K56" i="5"/>
  <c r="L55" i="5"/>
  <c r="K55" i="5"/>
  <c r="L54" i="5"/>
  <c r="K54" i="5"/>
  <c r="L53" i="5"/>
  <c r="K53" i="5"/>
  <c r="L52" i="5"/>
  <c r="K52" i="5"/>
  <c r="L51" i="5"/>
  <c r="K51" i="5"/>
  <c r="L50" i="5"/>
  <c r="K50" i="5"/>
  <c r="L49" i="5"/>
  <c r="K49" i="5"/>
  <c r="L48" i="5"/>
  <c r="K48" i="5"/>
  <c r="L47" i="5"/>
  <c r="K47" i="5"/>
  <c r="L46" i="5"/>
  <c r="K46" i="5"/>
  <c r="L45" i="5"/>
  <c r="K45" i="5"/>
  <c r="L44" i="5"/>
  <c r="K44" i="5"/>
  <c r="L43" i="5"/>
  <c r="K43" i="5"/>
  <c r="L42" i="5"/>
  <c r="K42" i="5"/>
  <c r="L41" i="5"/>
  <c r="K41" i="5"/>
  <c r="L39" i="5"/>
  <c r="K39" i="5"/>
  <c r="K38" i="5"/>
  <c r="L37" i="5"/>
  <c r="K37" i="5"/>
  <c r="L36" i="5"/>
  <c r="K36" i="5"/>
  <c r="L35" i="5"/>
  <c r="K35" i="5"/>
  <c r="L34" i="5"/>
  <c r="K34" i="5"/>
  <c r="L33" i="5"/>
  <c r="K33" i="5"/>
  <c r="L32" i="5"/>
  <c r="K32" i="5"/>
  <c r="L31" i="5"/>
  <c r="K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D393" i="5" s="1"/>
  <c r="K11" i="5"/>
  <c r="C393" i="5" s="1"/>
  <c r="L9" i="5"/>
  <c r="J494" i="4"/>
  <c r="I494" i="4"/>
  <c r="H494" i="4"/>
  <c r="F494" i="4"/>
  <c r="D494" i="4"/>
  <c r="C494" i="4"/>
  <c r="L493" i="4"/>
  <c r="K493" i="4"/>
  <c r="L492" i="4"/>
  <c r="K492" i="4"/>
  <c r="L491" i="4"/>
  <c r="K491" i="4"/>
  <c r="L490" i="4"/>
  <c r="K490" i="4"/>
  <c r="L489" i="4"/>
  <c r="K489" i="4"/>
  <c r="L488" i="4"/>
  <c r="K488" i="4"/>
  <c r="L487" i="4"/>
  <c r="K487" i="4"/>
  <c r="L486" i="4"/>
  <c r="K486" i="4"/>
  <c r="L485" i="4"/>
  <c r="K485" i="4"/>
  <c r="L484" i="4"/>
  <c r="K484" i="4"/>
  <c r="L483" i="4"/>
  <c r="K483" i="4"/>
  <c r="L482" i="4"/>
  <c r="K482" i="4"/>
  <c r="L481" i="4"/>
  <c r="K481" i="4"/>
  <c r="L480" i="4"/>
  <c r="K480" i="4"/>
  <c r="L479" i="4"/>
  <c r="K479" i="4"/>
  <c r="L478" i="4"/>
  <c r="K478" i="4"/>
  <c r="L477" i="4"/>
  <c r="K477" i="4"/>
  <c r="L476" i="4"/>
  <c r="K476" i="4"/>
  <c r="L475" i="4"/>
  <c r="K475" i="4"/>
  <c r="L474" i="4"/>
  <c r="K474" i="4"/>
  <c r="L473" i="4"/>
  <c r="K473" i="4"/>
  <c r="L472" i="4"/>
  <c r="K472" i="4"/>
  <c r="L471" i="4"/>
  <c r="K471" i="4"/>
  <c r="L470" i="4"/>
  <c r="K470" i="4"/>
  <c r="L469" i="4"/>
  <c r="K469" i="4"/>
  <c r="L468" i="4"/>
  <c r="K468" i="4"/>
  <c r="L467" i="4"/>
  <c r="K467" i="4"/>
  <c r="L466" i="4"/>
  <c r="K466" i="4"/>
  <c r="L465" i="4"/>
  <c r="K465" i="4"/>
  <c r="L464" i="4"/>
  <c r="K464" i="4"/>
  <c r="L463" i="4"/>
  <c r="K463" i="4"/>
  <c r="L462" i="4"/>
  <c r="K462" i="4"/>
  <c r="L461" i="4"/>
  <c r="K461" i="4"/>
  <c r="L460" i="4"/>
  <c r="K460" i="4"/>
  <c r="L459" i="4"/>
  <c r="K459" i="4"/>
  <c r="L458" i="4"/>
  <c r="K458" i="4"/>
  <c r="L457" i="4"/>
  <c r="K457" i="4"/>
  <c r="L456" i="4"/>
  <c r="K456" i="4"/>
  <c r="L455" i="4"/>
  <c r="K455" i="4"/>
  <c r="L454" i="4"/>
  <c r="K454" i="4"/>
  <c r="L453" i="4"/>
  <c r="K453" i="4"/>
  <c r="L452" i="4"/>
  <c r="K452" i="4"/>
  <c r="L451" i="4"/>
  <c r="K451" i="4"/>
  <c r="L450" i="4"/>
  <c r="K450" i="4"/>
  <c r="L449" i="4"/>
  <c r="K449" i="4"/>
  <c r="L448" i="4"/>
  <c r="K448" i="4"/>
  <c r="L447" i="4"/>
  <c r="K447" i="4"/>
  <c r="L446" i="4"/>
  <c r="K446" i="4"/>
  <c r="L445" i="4"/>
  <c r="K445" i="4"/>
  <c r="L444" i="4"/>
  <c r="K444" i="4"/>
  <c r="L443" i="4"/>
  <c r="K443" i="4"/>
  <c r="L442" i="4"/>
  <c r="K442" i="4"/>
  <c r="L441" i="4"/>
  <c r="K441" i="4"/>
  <c r="L440" i="4"/>
  <c r="K440" i="4"/>
  <c r="L439" i="4"/>
  <c r="K439" i="4"/>
  <c r="L438" i="4"/>
  <c r="K438" i="4"/>
  <c r="L437" i="4"/>
  <c r="K437" i="4"/>
  <c r="L436" i="4"/>
  <c r="K436" i="4"/>
  <c r="L435" i="4"/>
  <c r="K435" i="4"/>
  <c r="L434" i="4"/>
  <c r="K434" i="4"/>
  <c r="L433" i="4"/>
  <c r="K433" i="4"/>
  <c r="L432" i="4"/>
  <c r="K432" i="4"/>
  <c r="L431" i="4"/>
  <c r="K431" i="4"/>
  <c r="L430" i="4"/>
  <c r="K430" i="4"/>
  <c r="L429" i="4"/>
  <c r="K429" i="4"/>
  <c r="L428" i="4"/>
  <c r="K428" i="4"/>
  <c r="L427" i="4"/>
  <c r="K427" i="4"/>
  <c r="L426" i="4"/>
  <c r="K426" i="4"/>
  <c r="L425" i="4"/>
  <c r="K425" i="4"/>
  <c r="L424" i="4"/>
  <c r="K424" i="4"/>
  <c r="L423" i="4"/>
  <c r="K423" i="4"/>
  <c r="L422" i="4"/>
  <c r="K422" i="4"/>
  <c r="L421" i="4"/>
  <c r="K421" i="4"/>
  <c r="L420" i="4"/>
  <c r="K420" i="4"/>
  <c r="L419" i="4"/>
  <c r="K419" i="4"/>
  <c r="L418" i="4"/>
  <c r="K418" i="4"/>
  <c r="L417" i="4"/>
  <c r="K417" i="4"/>
  <c r="L416" i="4"/>
  <c r="K416" i="4"/>
  <c r="L415" i="4"/>
  <c r="K415" i="4"/>
  <c r="L414" i="4"/>
  <c r="K414" i="4"/>
  <c r="L413" i="4"/>
  <c r="K413" i="4"/>
  <c r="L412" i="4"/>
  <c r="K412" i="4"/>
  <c r="L411" i="4"/>
  <c r="K411" i="4"/>
  <c r="L410" i="4"/>
  <c r="K410" i="4"/>
  <c r="L409" i="4"/>
  <c r="K409" i="4"/>
  <c r="L408" i="4"/>
  <c r="K408" i="4"/>
  <c r="L407" i="4"/>
  <c r="K407" i="4"/>
  <c r="L406" i="4"/>
  <c r="K406" i="4"/>
  <c r="L405" i="4"/>
  <c r="K405" i="4"/>
  <c r="L404" i="4"/>
  <c r="K404" i="4"/>
  <c r="L403" i="4"/>
  <c r="K403" i="4"/>
  <c r="L402" i="4"/>
  <c r="K402" i="4"/>
  <c r="L401" i="4"/>
  <c r="K401" i="4"/>
  <c r="L400" i="4"/>
  <c r="K400" i="4"/>
  <c r="L399" i="4"/>
  <c r="K399" i="4"/>
  <c r="L398" i="4"/>
  <c r="K398" i="4"/>
  <c r="L397" i="4"/>
  <c r="K397" i="4"/>
  <c r="L396" i="4"/>
  <c r="K396" i="4"/>
  <c r="L395" i="4"/>
  <c r="K395" i="4"/>
  <c r="L394" i="4"/>
  <c r="K394" i="4"/>
  <c r="L393" i="4"/>
  <c r="K393" i="4"/>
  <c r="L392" i="4"/>
  <c r="K392" i="4"/>
  <c r="L391" i="4"/>
  <c r="K391" i="4"/>
  <c r="L390" i="4"/>
  <c r="K390" i="4"/>
  <c r="L389" i="4"/>
  <c r="K389" i="4"/>
  <c r="L388" i="4"/>
  <c r="K388" i="4"/>
  <c r="L387" i="4"/>
  <c r="K387" i="4"/>
  <c r="L386" i="4"/>
  <c r="K386" i="4"/>
  <c r="L385" i="4"/>
  <c r="K385" i="4"/>
  <c r="L384" i="4"/>
  <c r="K384" i="4"/>
  <c r="L383" i="4"/>
  <c r="K383" i="4"/>
  <c r="L382" i="4"/>
  <c r="K382" i="4"/>
  <c r="L381" i="4"/>
  <c r="K381" i="4"/>
  <c r="L380" i="4"/>
  <c r="K380" i="4"/>
  <c r="L379" i="4"/>
  <c r="K379" i="4"/>
  <c r="L377" i="4"/>
  <c r="K377" i="4"/>
  <c r="L376" i="4"/>
  <c r="K376" i="4"/>
  <c r="L375" i="4"/>
  <c r="K375" i="4"/>
  <c r="L374" i="4"/>
  <c r="K374" i="4"/>
  <c r="L373" i="4"/>
  <c r="K373" i="4"/>
  <c r="L372" i="4"/>
  <c r="K372" i="4"/>
  <c r="L371" i="4"/>
  <c r="K371" i="4"/>
  <c r="L370" i="4"/>
  <c r="K370" i="4"/>
  <c r="L369" i="4"/>
  <c r="K369" i="4"/>
  <c r="L368" i="4"/>
  <c r="K368" i="4"/>
  <c r="L367" i="4"/>
  <c r="K367" i="4"/>
  <c r="L366" i="4"/>
  <c r="K366" i="4"/>
  <c r="L365" i="4"/>
  <c r="K365" i="4"/>
  <c r="L364" i="4"/>
  <c r="K364" i="4"/>
  <c r="L363" i="4"/>
  <c r="K363" i="4"/>
  <c r="L362" i="4"/>
  <c r="K362" i="4"/>
  <c r="L361" i="4"/>
  <c r="K361" i="4"/>
  <c r="L360" i="4"/>
  <c r="K360" i="4"/>
  <c r="L359" i="4"/>
  <c r="K359" i="4"/>
  <c r="L358" i="4"/>
  <c r="K358" i="4"/>
  <c r="L357" i="4"/>
  <c r="K357" i="4"/>
  <c r="L356" i="4"/>
  <c r="K356" i="4"/>
  <c r="L355" i="4"/>
  <c r="K355" i="4"/>
  <c r="L354" i="4"/>
  <c r="K354" i="4"/>
  <c r="L353" i="4"/>
  <c r="K353" i="4"/>
  <c r="L352" i="4"/>
  <c r="K352" i="4"/>
  <c r="L351" i="4"/>
  <c r="K351" i="4"/>
  <c r="L350" i="4"/>
  <c r="K350" i="4"/>
  <c r="L349" i="4"/>
  <c r="K349" i="4"/>
  <c r="L348" i="4"/>
  <c r="K348" i="4"/>
  <c r="L347" i="4"/>
  <c r="K347" i="4"/>
  <c r="L346" i="4"/>
  <c r="K346" i="4"/>
  <c r="L345" i="4"/>
  <c r="K345" i="4"/>
  <c r="L344" i="4"/>
  <c r="K344" i="4"/>
  <c r="L343" i="4"/>
  <c r="K343" i="4"/>
  <c r="L342" i="4"/>
  <c r="K342" i="4"/>
  <c r="L341" i="4"/>
  <c r="K341" i="4"/>
  <c r="L340" i="4"/>
  <c r="K340" i="4"/>
  <c r="L339" i="4"/>
  <c r="K339" i="4"/>
  <c r="L338" i="4"/>
  <c r="K338" i="4"/>
  <c r="L337" i="4"/>
  <c r="K337" i="4"/>
  <c r="L336" i="4"/>
  <c r="K336" i="4"/>
  <c r="L335" i="4"/>
  <c r="K335" i="4"/>
  <c r="L334" i="4"/>
  <c r="K334" i="4"/>
  <c r="L333" i="4"/>
  <c r="K333" i="4"/>
  <c r="L332" i="4"/>
  <c r="K332" i="4"/>
  <c r="L331" i="4"/>
  <c r="K331" i="4"/>
  <c r="L330" i="4"/>
  <c r="K330" i="4"/>
  <c r="L329" i="4"/>
  <c r="K329" i="4"/>
  <c r="L328" i="4"/>
  <c r="K328" i="4"/>
  <c r="L327" i="4"/>
  <c r="K327" i="4"/>
  <c r="L326" i="4"/>
  <c r="K326" i="4"/>
  <c r="L325" i="4"/>
  <c r="K325" i="4"/>
  <c r="L324" i="4"/>
  <c r="K324" i="4"/>
  <c r="L323" i="4"/>
  <c r="K323" i="4"/>
  <c r="L322" i="4"/>
  <c r="K322" i="4"/>
  <c r="L321" i="4"/>
  <c r="K321" i="4"/>
  <c r="L320" i="4"/>
  <c r="K320" i="4"/>
  <c r="L319" i="4"/>
  <c r="K319" i="4"/>
  <c r="L318" i="4"/>
  <c r="K318" i="4"/>
  <c r="L317" i="4"/>
  <c r="K317" i="4"/>
  <c r="L316" i="4"/>
  <c r="K316" i="4"/>
  <c r="L315" i="4"/>
  <c r="K315" i="4"/>
  <c r="L314" i="4"/>
  <c r="K314" i="4"/>
  <c r="L313" i="4"/>
  <c r="K313" i="4"/>
  <c r="L312" i="4"/>
  <c r="K312" i="4"/>
  <c r="L311" i="4"/>
  <c r="K311" i="4"/>
  <c r="L310" i="4"/>
  <c r="K310" i="4"/>
  <c r="L309" i="4"/>
  <c r="K309" i="4"/>
  <c r="L308" i="4"/>
  <c r="K308" i="4"/>
  <c r="L307" i="4"/>
  <c r="K307" i="4"/>
  <c r="L306" i="4"/>
  <c r="K306" i="4"/>
  <c r="L305" i="4"/>
  <c r="K305" i="4"/>
  <c r="L304" i="4"/>
  <c r="K304" i="4"/>
  <c r="L303" i="4"/>
  <c r="K303" i="4"/>
  <c r="L302" i="4"/>
  <c r="K302" i="4"/>
  <c r="L301" i="4"/>
  <c r="K301" i="4"/>
  <c r="L300" i="4"/>
  <c r="K300" i="4"/>
  <c r="L299" i="4"/>
  <c r="K299" i="4"/>
  <c r="L298" i="4"/>
  <c r="K298" i="4"/>
  <c r="L297" i="4"/>
  <c r="K297" i="4"/>
  <c r="L296" i="4"/>
  <c r="K296" i="4"/>
  <c r="L295" i="4"/>
  <c r="K295" i="4"/>
  <c r="L294" i="4"/>
  <c r="K294" i="4"/>
  <c r="L293" i="4"/>
  <c r="K293" i="4"/>
  <c r="L292" i="4"/>
  <c r="K292" i="4"/>
  <c r="L291" i="4"/>
  <c r="K291" i="4"/>
  <c r="L290" i="4"/>
  <c r="K290" i="4"/>
  <c r="L289" i="4"/>
  <c r="K289" i="4"/>
  <c r="L288" i="4"/>
  <c r="K288" i="4"/>
  <c r="L287" i="4"/>
  <c r="K287" i="4"/>
  <c r="L286" i="4"/>
  <c r="K286" i="4"/>
  <c r="L285" i="4"/>
  <c r="K285" i="4"/>
  <c r="L284" i="4"/>
  <c r="K284" i="4"/>
  <c r="L283" i="4"/>
  <c r="K283" i="4"/>
  <c r="L282" i="4"/>
  <c r="K282" i="4"/>
  <c r="L281" i="4"/>
  <c r="K281" i="4"/>
  <c r="L280" i="4"/>
  <c r="K280" i="4"/>
  <c r="L279" i="4"/>
  <c r="K279" i="4"/>
  <c r="L278" i="4"/>
  <c r="K278" i="4"/>
  <c r="L277" i="4"/>
  <c r="K277" i="4"/>
  <c r="L276" i="4"/>
  <c r="K276" i="4"/>
  <c r="L275" i="4"/>
  <c r="K275" i="4"/>
  <c r="L274" i="4"/>
  <c r="K274" i="4"/>
  <c r="L273" i="4"/>
  <c r="K273" i="4"/>
  <c r="L272" i="4"/>
  <c r="K272" i="4"/>
  <c r="L271" i="4"/>
  <c r="K271" i="4"/>
  <c r="L270" i="4"/>
  <c r="K270" i="4"/>
  <c r="L269" i="4"/>
  <c r="K269" i="4"/>
  <c r="L268" i="4"/>
  <c r="K268" i="4"/>
  <c r="L267" i="4"/>
  <c r="K267" i="4"/>
  <c r="L266" i="4"/>
  <c r="K266" i="4"/>
  <c r="L265" i="4"/>
  <c r="K265" i="4"/>
  <c r="L264" i="4"/>
  <c r="K264" i="4"/>
  <c r="L263" i="4"/>
  <c r="K263" i="4"/>
  <c r="L261" i="4"/>
  <c r="K261" i="4"/>
  <c r="L260" i="4"/>
  <c r="K260" i="4"/>
  <c r="L259" i="4"/>
  <c r="K259" i="4"/>
  <c r="L258" i="4"/>
  <c r="K258" i="4"/>
  <c r="L257" i="4"/>
  <c r="K257" i="4"/>
  <c r="L256" i="4"/>
  <c r="K256" i="4"/>
  <c r="L255" i="4"/>
  <c r="K255" i="4"/>
  <c r="L254" i="4"/>
  <c r="K254" i="4"/>
  <c r="L253" i="4"/>
  <c r="K253" i="4"/>
  <c r="L252" i="4"/>
  <c r="K252" i="4"/>
  <c r="L251" i="4"/>
  <c r="K251" i="4"/>
  <c r="L250" i="4"/>
  <c r="K250" i="4"/>
  <c r="L249" i="4"/>
  <c r="K249" i="4"/>
  <c r="L248" i="4"/>
  <c r="K248" i="4"/>
  <c r="L247" i="4"/>
  <c r="K247" i="4"/>
  <c r="L246" i="4"/>
  <c r="K246" i="4"/>
  <c r="L245" i="4"/>
  <c r="K245" i="4"/>
  <c r="L244" i="4"/>
  <c r="K244" i="4"/>
  <c r="L243" i="4"/>
  <c r="K243" i="4"/>
  <c r="L242" i="4"/>
  <c r="K242" i="4"/>
  <c r="L241" i="4"/>
  <c r="K241" i="4"/>
  <c r="L240" i="4"/>
  <c r="K240" i="4"/>
  <c r="L239" i="4"/>
  <c r="K239" i="4"/>
  <c r="L238" i="4"/>
  <c r="K238" i="4"/>
  <c r="L237" i="4"/>
  <c r="K237" i="4"/>
  <c r="L236" i="4"/>
  <c r="K236" i="4"/>
  <c r="L235" i="4"/>
  <c r="K235" i="4"/>
  <c r="L234" i="4"/>
  <c r="K234" i="4"/>
  <c r="L233" i="4"/>
  <c r="K233" i="4"/>
  <c r="L232" i="4"/>
  <c r="K232" i="4"/>
  <c r="L231" i="4"/>
  <c r="K231" i="4"/>
  <c r="L230" i="4"/>
  <c r="K230" i="4"/>
  <c r="L229" i="4"/>
  <c r="K229" i="4"/>
  <c r="L228" i="4"/>
  <c r="K228" i="4"/>
  <c r="L227" i="4"/>
  <c r="K227" i="4"/>
  <c r="L226" i="4"/>
  <c r="K226" i="4"/>
  <c r="L225" i="4"/>
  <c r="K225" i="4"/>
  <c r="L224" i="4"/>
  <c r="K224" i="4"/>
  <c r="L223" i="4"/>
  <c r="K223" i="4"/>
  <c r="L222" i="4"/>
  <c r="K222" i="4"/>
  <c r="L221" i="4"/>
  <c r="K221" i="4"/>
  <c r="L220" i="4"/>
  <c r="K220" i="4"/>
  <c r="L219" i="4"/>
  <c r="K219" i="4"/>
  <c r="L218" i="4"/>
  <c r="K218" i="4"/>
  <c r="L217" i="4"/>
  <c r="K217" i="4"/>
  <c r="L216" i="4"/>
  <c r="K216" i="4"/>
  <c r="L215" i="4"/>
  <c r="K215" i="4"/>
  <c r="L214" i="4"/>
  <c r="K214" i="4"/>
  <c r="L213" i="4"/>
  <c r="K213" i="4"/>
  <c r="L212" i="4"/>
  <c r="K212" i="4"/>
  <c r="L211" i="4"/>
  <c r="K211" i="4"/>
  <c r="L210" i="4"/>
  <c r="K210" i="4"/>
  <c r="L209" i="4"/>
  <c r="K209" i="4"/>
  <c r="L208" i="4"/>
  <c r="K208" i="4"/>
  <c r="L207" i="4"/>
  <c r="K207" i="4"/>
  <c r="L206" i="4"/>
  <c r="K206" i="4"/>
  <c r="L205" i="4"/>
  <c r="K205" i="4"/>
  <c r="L204" i="4"/>
  <c r="K204" i="4"/>
  <c r="L203" i="4"/>
  <c r="K203" i="4"/>
  <c r="L202" i="4"/>
  <c r="K202" i="4"/>
  <c r="L201" i="4"/>
  <c r="K201" i="4"/>
  <c r="L200" i="4"/>
  <c r="K200" i="4"/>
  <c r="L199" i="4"/>
  <c r="K199" i="4"/>
  <c r="L198" i="4"/>
  <c r="K198" i="4"/>
  <c r="L197" i="4"/>
  <c r="K197" i="4"/>
  <c r="L196" i="4"/>
  <c r="K196" i="4"/>
  <c r="L195" i="4"/>
  <c r="K195" i="4"/>
  <c r="L194" i="4"/>
  <c r="K194" i="4"/>
  <c r="L193" i="4"/>
  <c r="K193" i="4"/>
  <c r="L192" i="4"/>
  <c r="K192" i="4"/>
  <c r="L191" i="4"/>
  <c r="K191" i="4"/>
  <c r="L190" i="4"/>
  <c r="K190" i="4"/>
  <c r="L189" i="4"/>
  <c r="K189" i="4"/>
  <c r="L188" i="4"/>
  <c r="K188" i="4"/>
  <c r="L187" i="4"/>
  <c r="K187" i="4"/>
  <c r="L186" i="4"/>
  <c r="K186" i="4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K174" i="4"/>
  <c r="L173" i="4"/>
  <c r="K173" i="4"/>
  <c r="L172" i="4"/>
  <c r="K172" i="4"/>
  <c r="L171" i="4"/>
  <c r="K171" i="4"/>
  <c r="L170" i="4"/>
  <c r="K170" i="4"/>
  <c r="L169" i="4"/>
  <c r="K169" i="4"/>
  <c r="L168" i="4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L161" i="4"/>
  <c r="K161" i="4"/>
  <c r="L160" i="4"/>
  <c r="K160" i="4"/>
  <c r="L159" i="4"/>
  <c r="K159" i="4"/>
  <c r="L158" i="4"/>
  <c r="K158" i="4"/>
  <c r="L157" i="4"/>
  <c r="K157" i="4"/>
  <c r="L156" i="4"/>
  <c r="K156" i="4"/>
  <c r="L155" i="4"/>
  <c r="K155" i="4"/>
  <c r="L154" i="4"/>
  <c r="K154" i="4"/>
  <c r="L153" i="4"/>
  <c r="K153" i="4"/>
  <c r="L152" i="4"/>
  <c r="K152" i="4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L144" i="4"/>
  <c r="K144" i="4"/>
  <c r="L143" i="4"/>
  <c r="K143" i="4"/>
  <c r="L142" i="4"/>
  <c r="K142" i="4"/>
  <c r="L141" i="4"/>
  <c r="K141" i="4"/>
  <c r="L140" i="4"/>
  <c r="K140" i="4"/>
  <c r="L139" i="4"/>
  <c r="K139" i="4"/>
  <c r="L138" i="4"/>
  <c r="K138" i="4"/>
  <c r="L137" i="4"/>
  <c r="K137" i="4"/>
  <c r="L136" i="4"/>
  <c r="K136" i="4"/>
  <c r="L135" i="4"/>
  <c r="K135" i="4"/>
  <c r="L134" i="4"/>
  <c r="K134" i="4"/>
  <c r="L133" i="4"/>
  <c r="K133" i="4"/>
  <c r="L132" i="4"/>
  <c r="K132" i="4"/>
  <c r="L131" i="4"/>
  <c r="K131" i="4"/>
  <c r="L130" i="4"/>
  <c r="K130" i="4"/>
  <c r="L129" i="4"/>
  <c r="K129" i="4"/>
  <c r="L128" i="4"/>
  <c r="K128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L118" i="4"/>
  <c r="K118" i="4"/>
  <c r="L117" i="4"/>
  <c r="K117" i="4"/>
  <c r="L116" i="4"/>
  <c r="K116" i="4"/>
  <c r="L115" i="4"/>
  <c r="K115" i="4"/>
  <c r="L114" i="4"/>
  <c r="K114" i="4"/>
  <c r="L113" i="4"/>
  <c r="K113" i="4"/>
  <c r="L112" i="4"/>
  <c r="K112" i="4"/>
  <c r="L111" i="4"/>
  <c r="K111" i="4"/>
  <c r="L110" i="4"/>
  <c r="K110" i="4"/>
  <c r="L109" i="4"/>
  <c r="K109" i="4"/>
  <c r="L108" i="4"/>
  <c r="K108" i="4"/>
  <c r="L107" i="4"/>
  <c r="K107" i="4"/>
  <c r="L106" i="4"/>
  <c r="K106" i="4"/>
  <c r="L105" i="4"/>
  <c r="K105" i="4"/>
  <c r="L104" i="4"/>
  <c r="K104" i="4"/>
  <c r="L103" i="4"/>
  <c r="K103" i="4"/>
  <c r="L102" i="4"/>
  <c r="K102" i="4"/>
  <c r="L101" i="4"/>
  <c r="K101" i="4"/>
  <c r="L100" i="4"/>
  <c r="K100" i="4"/>
  <c r="L99" i="4"/>
  <c r="K99" i="4"/>
  <c r="L98" i="4"/>
  <c r="K98" i="4"/>
  <c r="L97" i="4"/>
  <c r="K97" i="4"/>
  <c r="L96" i="4"/>
  <c r="K96" i="4"/>
  <c r="L94" i="4"/>
  <c r="K94" i="4"/>
  <c r="L93" i="4"/>
  <c r="K93" i="4"/>
  <c r="L92" i="4"/>
  <c r="K92" i="4"/>
  <c r="L91" i="4"/>
  <c r="K91" i="4"/>
  <c r="L90" i="4"/>
  <c r="K90" i="4"/>
  <c r="L89" i="4"/>
  <c r="K89" i="4"/>
  <c r="L88" i="4"/>
  <c r="K88" i="4"/>
  <c r="L87" i="4"/>
  <c r="K87" i="4"/>
  <c r="L86" i="4"/>
  <c r="K86" i="4"/>
  <c r="L85" i="4"/>
  <c r="K85" i="4"/>
  <c r="L84" i="4"/>
  <c r="K84" i="4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L66" i="4"/>
  <c r="K66" i="4"/>
  <c r="L65" i="4"/>
  <c r="K65" i="4"/>
  <c r="L63" i="4"/>
  <c r="K63" i="4"/>
  <c r="L62" i="4"/>
  <c r="K62" i="4"/>
  <c r="L61" i="4"/>
  <c r="K61" i="4"/>
  <c r="L60" i="4"/>
  <c r="K60" i="4"/>
  <c r="L59" i="4"/>
  <c r="K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L18" i="4"/>
  <c r="K18" i="4"/>
  <c r="L17" i="4"/>
  <c r="K17" i="4"/>
  <c r="L16" i="4"/>
  <c r="K16" i="4"/>
  <c r="L15" i="4"/>
  <c r="K15" i="4"/>
  <c r="L14" i="4"/>
  <c r="K14" i="4"/>
  <c r="L12" i="4"/>
  <c r="K12" i="4"/>
  <c r="L11" i="4"/>
  <c r="K11" i="4"/>
  <c r="L10" i="4"/>
  <c r="K10" i="4"/>
  <c r="L9" i="4"/>
  <c r="K9" i="4"/>
  <c r="D393" i="3"/>
  <c r="L392" i="3"/>
  <c r="K392" i="3"/>
  <c r="L391" i="3"/>
  <c r="K391" i="3"/>
  <c r="L390" i="3"/>
  <c r="K390" i="3"/>
  <c r="L389" i="3"/>
  <c r="K389" i="3"/>
  <c r="L388" i="3"/>
  <c r="K388" i="3"/>
  <c r="L387" i="3"/>
  <c r="K387" i="3"/>
  <c r="L386" i="3"/>
  <c r="K386" i="3"/>
  <c r="L385" i="3"/>
  <c r="K385" i="3"/>
  <c r="L384" i="3"/>
  <c r="K384" i="3"/>
  <c r="L383" i="3"/>
  <c r="K383" i="3"/>
  <c r="L382" i="3"/>
  <c r="K382" i="3"/>
  <c r="L381" i="3"/>
  <c r="K381" i="3"/>
  <c r="L380" i="3"/>
  <c r="K380" i="3"/>
  <c r="L379" i="3"/>
  <c r="K379" i="3"/>
  <c r="L378" i="3"/>
  <c r="K378" i="3"/>
  <c r="L377" i="3"/>
  <c r="K377" i="3"/>
  <c r="L376" i="3"/>
  <c r="K376" i="3"/>
  <c r="L375" i="3"/>
  <c r="K375" i="3"/>
  <c r="L374" i="3"/>
  <c r="K374" i="3"/>
  <c r="L373" i="3"/>
  <c r="K373" i="3"/>
  <c r="L372" i="3"/>
  <c r="K372" i="3"/>
  <c r="L371" i="3"/>
  <c r="K371" i="3"/>
  <c r="L370" i="3"/>
  <c r="K370" i="3"/>
  <c r="L369" i="3"/>
  <c r="K369" i="3"/>
  <c r="L367" i="3"/>
  <c r="K367" i="3"/>
  <c r="L366" i="3"/>
  <c r="K366" i="3"/>
  <c r="L365" i="3"/>
  <c r="K365" i="3"/>
  <c r="L364" i="3"/>
  <c r="K364" i="3"/>
  <c r="L363" i="3"/>
  <c r="K363" i="3"/>
  <c r="L362" i="3"/>
  <c r="K362" i="3"/>
  <c r="L361" i="3"/>
  <c r="K361" i="3"/>
  <c r="L360" i="3"/>
  <c r="K360" i="3"/>
  <c r="L359" i="3"/>
  <c r="K359" i="3"/>
  <c r="L358" i="3"/>
  <c r="K358" i="3"/>
  <c r="L357" i="3"/>
  <c r="K357" i="3"/>
  <c r="L356" i="3"/>
  <c r="K356" i="3"/>
  <c r="L355" i="3"/>
  <c r="K355" i="3"/>
  <c r="L354" i="3"/>
  <c r="K354" i="3"/>
  <c r="L353" i="3"/>
  <c r="K353" i="3"/>
  <c r="L352" i="3"/>
  <c r="K352" i="3"/>
  <c r="L351" i="3"/>
  <c r="K351" i="3"/>
  <c r="L350" i="3"/>
  <c r="K350" i="3"/>
  <c r="L349" i="3"/>
  <c r="K349" i="3"/>
  <c r="L348" i="3"/>
  <c r="K348" i="3"/>
  <c r="L347" i="3"/>
  <c r="K347" i="3"/>
  <c r="L346" i="3"/>
  <c r="K346" i="3"/>
  <c r="L345" i="3"/>
  <c r="K345" i="3"/>
  <c r="L344" i="3"/>
  <c r="K344" i="3"/>
  <c r="L343" i="3"/>
  <c r="K343" i="3"/>
  <c r="L342" i="3"/>
  <c r="K342" i="3"/>
  <c r="L341" i="3"/>
  <c r="K341" i="3"/>
  <c r="L340" i="3"/>
  <c r="K340" i="3"/>
  <c r="L339" i="3"/>
  <c r="K339" i="3"/>
  <c r="L338" i="3"/>
  <c r="K338" i="3"/>
  <c r="L337" i="3"/>
  <c r="K337" i="3"/>
  <c r="L336" i="3"/>
  <c r="K336" i="3"/>
  <c r="L335" i="3"/>
  <c r="K335" i="3"/>
  <c r="L334" i="3"/>
  <c r="K334" i="3"/>
  <c r="L333" i="3"/>
  <c r="K333" i="3"/>
  <c r="L332" i="3"/>
  <c r="K332" i="3"/>
  <c r="L331" i="3"/>
  <c r="K331" i="3"/>
  <c r="L330" i="3"/>
  <c r="K330" i="3"/>
  <c r="L329" i="3"/>
  <c r="K329" i="3"/>
  <c r="L328" i="3"/>
  <c r="K328" i="3"/>
  <c r="L327" i="3"/>
  <c r="K327" i="3"/>
  <c r="L326" i="3"/>
  <c r="K326" i="3"/>
  <c r="L325" i="3"/>
  <c r="K325" i="3"/>
  <c r="L324" i="3"/>
  <c r="K324" i="3"/>
  <c r="L323" i="3"/>
  <c r="K323" i="3"/>
  <c r="L322" i="3"/>
  <c r="K322" i="3"/>
  <c r="L321" i="3"/>
  <c r="K321" i="3"/>
  <c r="L320" i="3"/>
  <c r="K320" i="3"/>
  <c r="L319" i="3"/>
  <c r="K319" i="3"/>
  <c r="L318" i="3"/>
  <c r="K318" i="3"/>
  <c r="L317" i="3"/>
  <c r="K317" i="3"/>
  <c r="L316" i="3"/>
  <c r="K316" i="3"/>
  <c r="L315" i="3"/>
  <c r="K315" i="3"/>
  <c r="L314" i="3"/>
  <c r="K314" i="3"/>
  <c r="L313" i="3"/>
  <c r="K313" i="3"/>
  <c r="L312" i="3"/>
  <c r="K312" i="3"/>
  <c r="L311" i="3"/>
  <c r="K311" i="3"/>
  <c r="L310" i="3"/>
  <c r="K310" i="3"/>
  <c r="L309" i="3"/>
  <c r="K309" i="3"/>
  <c r="L308" i="3"/>
  <c r="K308" i="3"/>
  <c r="L307" i="3"/>
  <c r="K307" i="3"/>
  <c r="L306" i="3"/>
  <c r="K306" i="3"/>
  <c r="L305" i="3"/>
  <c r="K305" i="3"/>
  <c r="L304" i="3"/>
  <c r="K304" i="3"/>
  <c r="L303" i="3"/>
  <c r="K303" i="3"/>
  <c r="L302" i="3"/>
  <c r="K302" i="3"/>
  <c r="L301" i="3"/>
  <c r="K301" i="3"/>
  <c r="L300" i="3"/>
  <c r="K300" i="3"/>
  <c r="L299" i="3"/>
  <c r="K299" i="3"/>
  <c r="L297" i="3"/>
  <c r="K297" i="3"/>
  <c r="L296" i="3"/>
  <c r="K296" i="3"/>
  <c r="L295" i="3"/>
  <c r="K295" i="3"/>
  <c r="L294" i="3"/>
  <c r="K294" i="3"/>
  <c r="L293" i="3"/>
  <c r="K293" i="3"/>
  <c r="L292" i="3"/>
  <c r="K292" i="3"/>
  <c r="L291" i="3"/>
  <c r="K291" i="3"/>
  <c r="L290" i="3"/>
  <c r="K290" i="3"/>
  <c r="L289" i="3"/>
  <c r="K289" i="3"/>
  <c r="L288" i="3"/>
  <c r="K288" i="3"/>
  <c r="L287" i="3"/>
  <c r="K287" i="3"/>
  <c r="L286" i="3"/>
  <c r="K286" i="3"/>
  <c r="L285" i="3"/>
  <c r="K285" i="3"/>
  <c r="L284" i="3"/>
  <c r="K284" i="3"/>
  <c r="L283" i="3"/>
  <c r="K283" i="3"/>
  <c r="L282" i="3"/>
  <c r="K282" i="3"/>
  <c r="L281" i="3"/>
  <c r="K281" i="3"/>
  <c r="L280" i="3"/>
  <c r="K280" i="3"/>
  <c r="L279" i="3"/>
  <c r="K279" i="3"/>
  <c r="L278" i="3"/>
  <c r="K278" i="3"/>
  <c r="L277" i="3"/>
  <c r="K277" i="3"/>
  <c r="L276" i="3"/>
  <c r="K276" i="3"/>
  <c r="L275" i="3"/>
  <c r="K275" i="3"/>
  <c r="L274" i="3"/>
  <c r="K274" i="3"/>
  <c r="L273" i="3"/>
  <c r="K273" i="3"/>
  <c r="L272" i="3"/>
  <c r="K272" i="3"/>
  <c r="L271" i="3"/>
  <c r="K271" i="3"/>
  <c r="L270" i="3"/>
  <c r="K270" i="3"/>
  <c r="L269" i="3"/>
  <c r="K269" i="3"/>
  <c r="L268" i="3"/>
  <c r="K268" i="3"/>
  <c r="L267" i="3"/>
  <c r="K267" i="3"/>
  <c r="L266" i="3"/>
  <c r="K266" i="3"/>
  <c r="L265" i="3"/>
  <c r="K265" i="3"/>
  <c r="L264" i="3"/>
  <c r="K264" i="3"/>
  <c r="L263" i="3"/>
  <c r="K263" i="3"/>
  <c r="L262" i="3"/>
  <c r="K262" i="3"/>
  <c r="L261" i="3"/>
  <c r="K261" i="3"/>
  <c r="L260" i="3"/>
  <c r="K260" i="3"/>
  <c r="L259" i="3"/>
  <c r="K259" i="3"/>
  <c r="L258" i="3"/>
  <c r="K258" i="3"/>
  <c r="L257" i="3"/>
  <c r="K257" i="3"/>
  <c r="L256" i="3"/>
  <c r="K256" i="3"/>
  <c r="L255" i="3"/>
  <c r="K255" i="3"/>
  <c r="L254" i="3"/>
  <c r="K254" i="3"/>
  <c r="L253" i="3"/>
  <c r="K253" i="3"/>
  <c r="L252" i="3"/>
  <c r="K252" i="3"/>
  <c r="L251" i="3"/>
  <c r="K251" i="3"/>
  <c r="L250" i="3"/>
  <c r="K250" i="3"/>
  <c r="L249" i="3"/>
  <c r="K249" i="3"/>
  <c r="L248" i="3"/>
  <c r="K248" i="3"/>
  <c r="L247" i="3"/>
  <c r="K247" i="3"/>
  <c r="L246" i="3"/>
  <c r="K246" i="3"/>
  <c r="L245" i="3"/>
  <c r="K245" i="3"/>
  <c r="L244" i="3"/>
  <c r="K244" i="3"/>
  <c r="L243" i="3"/>
  <c r="K243" i="3"/>
  <c r="L242" i="3"/>
  <c r="K242" i="3"/>
  <c r="L241" i="3"/>
  <c r="K241" i="3"/>
  <c r="L240" i="3"/>
  <c r="K240" i="3"/>
  <c r="L239" i="3"/>
  <c r="K239" i="3"/>
  <c r="L238" i="3"/>
  <c r="K238" i="3"/>
  <c r="L237" i="3"/>
  <c r="K237" i="3"/>
  <c r="L236" i="3"/>
  <c r="K236" i="3"/>
  <c r="L235" i="3"/>
  <c r="K235" i="3"/>
  <c r="L234" i="3"/>
  <c r="K234" i="3"/>
  <c r="L233" i="3"/>
  <c r="K233" i="3"/>
  <c r="L232" i="3"/>
  <c r="K232" i="3"/>
  <c r="L231" i="3"/>
  <c r="K231" i="3"/>
  <c r="L230" i="3"/>
  <c r="K230" i="3"/>
  <c r="L229" i="3"/>
  <c r="K229" i="3"/>
  <c r="L228" i="3"/>
  <c r="K228" i="3"/>
  <c r="L226" i="3"/>
  <c r="K226" i="3"/>
  <c r="L225" i="3"/>
  <c r="K225" i="3"/>
  <c r="L224" i="3"/>
  <c r="K224" i="3"/>
  <c r="L223" i="3"/>
  <c r="K223" i="3"/>
  <c r="L222" i="3"/>
  <c r="K222" i="3"/>
  <c r="L221" i="3"/>
  <c r="K221" i="3"/>
  <c r="L220" i="3"/>
  <c r="K220" i="3"/>
  <c r="L219" i="3"/>
  <c r="K219" i="3"/>
  <c r="L218" i="3"/>
  <c r="K218" i="3"/>
  <c r="L217" i="3"/>
  <c r="K217" i="3"/>
  <c r="L216" i="3"/>
  <c r="K216" i="3"/>
  <c r="L215" i="3"/>
  <c r="K215" i="3"/>
  <c r="L214" i="3"/>
  <c r="K214" i="3"/>
  <c r="L213" i="3"/>
  <c r="K213" i="3"/>
  <c r="L212" i="3"/>
  <c r="K212" i="3"/>
  <c r="L211" i="3"/>
  <c r="K211" i="3"/>
  <c r="L209" i="3"/>
  <c r="K209" i="3"/>
  <c r="L208" i="3"/>
  <c r="K208" i="3"/>
  <c r="L207" i="3"/>
  <c r="K207" i="3"/>
  <c r="L206" i="3"/>
  <c r="K206" i="3"/>
  <c r="L205" i="3"/>
  <c r="K205" i="3"/>
  <c r="L204" i="3"/>
  <c r="K204" i="3"/>
  <c r="L203" i="3"/>
  <c r="K203" i="3"/>
  <c r="L202" i="3"/>
  <c r="K202" i="3"/>
  <c r="L201" i="3"/>
  <c r="K201" i="3"/>
  <c r="L200" i="3"/>
  <c r="K200" i="3"/>
  <c r="L199" i="3"/>
  <c r="K199" i="3"/>
  <c r="L198" i="3"/>
  <c r="K198" i="3"/>
  <c r="L197" i="3"/>
  <c r="K197" i="3"/>
  <c r="L196" i="3"/>
  <c r="K196" i="3"/>
  <c r="L195" i="3"/>
  <c r="K195" i="3"/>
  <c r="L194" i="3"/>
  <c r="K194" i="3"/>
  <c r="L193" i="3"/>
  <c r="K193" i="3"/>
  <c r="L192" i="3"/>
  <c r="K192" i="3"/>
  <c r="L191" i="3"/>
  <c r="K191" i="3"/>
  <c r="L190" i="3"/>
  <c r="K190" i="3"/>
  <c r="L189" i="3"/>
  <c r="K189" i="3"/>
  <c r="L188" i="3"/>
  <c r="K188" i="3"/>
  <c r="L186" i="3"/>
  <c r="K186" i="3"/>
  <c r="L185" i="3"/>
  <c r="K185" i="3"/>
  <c r="L184" i="3"/>
  <c r="K184" i="3"/>
  <c r="L183" i="3"/>
  <c r="K183" i="3"/>
  <c r="L182" i="3"/>
  <c r="K182" i="3"/>
  <c r="L181" i="3"/>
  <c r="K181" i="3"/>
  <c r="L180" i="3"/>
  <c r="K180" i="3"/>
  <c r="L179" i="3"/>
  <c r="K179" i="3"/>
  <c r="L178" i="3"/>
  <c r="K178" i="3"/>
  <c r="L177" i="3"/>
  <c r="K177" i="3"/>
  <c r="L176" i="3"/>
  <c r="K176" i="3"/>
  <c r="L175" i="3"/>
  <c r="K175" i="3"/>
  <c r="L174" i="3"/>
  <c r="K174" i="3"/>
  <c r="L173" i="3"/>
  <c r="K173" i="3"/>
  <c r="L172" i="3"/>
  <c r="K172" i="3"/>
  <c r="L171" i="3"/>
  <c r="K171" i="3"/>
  <c r="L170" i="3"/>
  <c r="K170" i="3"/>
  <c r="L169" i="3"/>
  <c r="K169" i="3"/>
  <c r="L168" i="3"/>
  <c r="K168" i="3"/>
  <c r="L167" i="3"/>
  <c r="K167" i="3"/>
  <c r="L166" i="3"/>
  <c r="K166" i="3"/>
  <c r="L165" i="3"/>
  <c r="K165" i="3"/>
  <c r="L163" i="3"/>
  <c r="K163" i="3"/>
  <c r="L162" i="3"/>
  <c r="K162" i="3"/>
  <c r="L161" i="3"/>
  <c r="K161" i="3"/>
  <c r="L160" i="3"/>
  <c r="K160" i="3"/>
  <c r="L159" i="3"/>
  <c r="K159" i="3"/>
  <c r="L158" i="3"/>
  <c r="K158" i="3"/>
  <c r="L157" i="3"/>
  <c r="K157" i="3"/>
  <c r="L156" i="3"/>
  <c r="K156" i="3"/>
  <c r="L155" i="3"/>
  <c r="K155" i="3"/>
  <c r="L154" i="3"/>
  <c r="K154" i="3"/>
  <c r="L153" i="3"/>
  <c r="K153" i="3"/>
  <c r="L152" i="3"/>
  <c r="K152" i="3"/>
  <c r="L151" i="3"/>
  <c r="K151" i="3"/>
  <c r="L150" i="3"/>
  <c r="K150" i="3"/>
  <c r="L149" i="3"/>
  <c r="K149" i="3"/>
  <c r="L148" i="3"/>
  <c r="K148" i="3"/>
  <c r="L147" i="3"/>
  <c r="K147" i="3"/>
  <c r="L146" i="3"/>
  <c r="K146" i="3"/>
  <c r="L145" i="3"/>
  <c r="K145" i="3"/>
  <c r="L144" i="3"/>
  <c r="K144" i="3"/>
  <c r="L143" i="3"/>
  <c r="K143" i="3"/>
  <c r="L142" i="3"/>
  <c r="K142" i="3"/>
  <c r="L141" i="3"/>
  <c r="K141" i="3"/>
  <c r="L140" i="3"/>
  <c r="K140" i="3"/>
  <c r="L139" i="3"/>
  <c r="K139" i="3"/>
  <c r="L138" i="3"/>
  <c r="K138" i="3"/>
  <c r="L137" i="3"/>
  <c r="K137" i="3"/>
  <c r="L136" i="3"/>
  <c r="K136" i="3"/>
  <c r="L135" i="3"/>
  <c r="K135" i="3"/>
  <c r="L134" i="3"/>
  <c r="K134" i="3"/>
  <c r="L133" i="3"/>
  <c r="K133" i="3"/>
  <c r="L132" i="3"/>
  <c r="K132" i="3"/>
  <c r="L131" i="3"/>
  <c r="K131" i="3"/>
  <c r="L130" i="3"/>
  <c r="K130" i="3"/>
  <c r="L129" i="3"/>
  <c r="K129" i="3"/>
  <c r="L128" i="3"/>
  <c r="K128" i="3"/>
  <c r="L127" i="3"/>
  <c r="K127" i="3"/>
  <c r="L126" i="3"/>
  <c r="K126" i="3"/>
  <c r="L125" i="3"/>
  <c r="K125" i="3"/>
  <c r="L124" i="3"/>
  <c r="K124" i="3"/>
  <c r="L123" i="3"/>
  <c r="K123" i="3"/>
  <c r="L122" i="3"/>
  <c r="K122" i="3"/>
  <c r="L121" i="3"/>
  <c r="K121" i="3"/>
  <c r="L120" i="3"/>
  <c r="K120" i="3"/>
  <c r="L119" i="3"/>
  <c r="K119" i="3"/>
  <c r="L118" i="3"/>
  <c r="K118" i="3"/>
  <c r="L117" i="3"/>
  <c r="K117" i="3"/>
  <c r="L116" i="3"/>
  <c r="K116" i="3"/>
  <c r="L115" i="3"/>
  <c r="K115" i="3"/>
  <c r="L114" i="3"/>
  <c r="K114" i="3"/>
  <c r="L113" i="3"/>
  <c r="K113" i="3"/>
  <c r="L112" i="3"/>
  <c r="K112" i="3"/>
  <c r="L111" i="3"/>
  <c r="K111" i="3"/>
  <c r="L110" i="3"/>
  <c r="K110" i="3"/>
  <c r="L109" i="3"/>
  <c r="K109" i="3"/>
  <c r="L108" i="3"/>
  <c r="K108" i="3"/>
  <c r="L107" i="3"/>
  <c r="K107" i="3"/>
  <c r="L106" i="3"/>
  <c r="K106" i="3"/>
  <c r="L105" i="3"/>
  <c r="K105" i="3"/>
  <c r="L104" i="3"/>
  <c r="K104" i="3"/>
  <c r="L103" i="3"/>
  <c r="K103" i="3"/>
  <c r="L102" i="3"/>
  <c r="K102" i="3"/>
  <c r="L101" i="3"/>
  <c r="K101" i="3"/>
  <c r="L100" i="3"/>
  <c r="K100" i="3"/>
  <c r="L99" i="3"/>
  <c r="K99" i="3"/>
  <c r="L98" i="3"/>
  <c r="K98" i="3"/>
  <c r="L97" i="3"/>
  <c r="K97" i="3"/>
  <c r="L96" i="3"/>
  <c r="K96" i="3"/>
  <c r="L95" i="3"/>
  <c r="K95" i="3"/>
  <c r="L94" i="3"/>
  <c r="K94" i="3"/>
  <c r="L92" i="3"/>
  <c r="K92" i="3"/>
  <c r="L91" i="3"/>
  <c r="K91" i="3"/>
  <c r="L90" i="3"/>
  <c r="K90" i="3"/>
  <c r="L89" i="3"/>
  <c r="K89" i="3"/>
  <c r="L88" i="3"/>
  <c r="K88" i="3"/>
  <c r="L87" i="3"/>
  <c r="K87" i="3"/>
  <c r="L86" i="3"/>
  <c r="K86" i="3"/>
  <c r="L85" i="3"/>
  <c r="K85" i="3"/>
  <c r="L84" i="3"/>
  <c r="K84" i="3"/>
  <c r="L83" i="3"/>
  <c r="K83" i="3"/>
  <c r="L82" i="3"/>
  <c r="K82" i="3"/>
  <c r="L81" i="3"/>
  <c r="K81" i="3"/>
  <c r="L80" i="3"/>
  <c r="K80" i="3"/>
  <c r="L79" i="3"/>
  <c r="K79" i="3"/>
  <c r="L78" i="3"/>
  <c r="K78" i="3"/>
  <c r="L77" i="3"/>
  <c r="K77" i="3"/>
  <c r="L76" i="3"/>
  <c r="K76" i="3"/>
  <c r="L75" i="3"/>
  <c r="K75" i="3"/>
  <c r="L74" i="3"/>
  <c r="K74" i="3"/>
  <c r="L73" i="3"/>
  <c r="K73" i="3"/>
  <c r="L72" i="3"/>
  <c r="K72" i="3"/>
  <c r="L71" i="3"/>
  <c r="K71" i="3"/>
  <c r="L70" i="3"/>
  <c r="K70" i="3"/>
  <c r="L69" i="3"/>
  <c r="K69" i="3"/>
  <c r="L68" i="3"/>
  <c r="K68" i="3"/>
  <c r="L67" i="3"/>
  <c r="K67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6" i="3"/>
  <c r="K56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7" i="3"/>
  <c r="K47" i="3"/>
  <c r="L46" i="3"/>
  <c r="K46" i="3"/>
  <c r="L45" i="3"/>
  <c r="K45" i="3"/>
  <c r="L44" i="3"/>
  <c r="K44" i="3"/>
  <c r="L43" i="3"/>
  <c r="K43" i="3"/>
  <c r="L42" i="3"/>
  <c r="K42" i="3"/>
  <c r="L41" i="3"/>
  <c r="K41" i="3"/>
  <c r="L39" i="3"/>
  <c r="K39" i="3"/>
  <c r="L38" i="3"/>
  <c r="K38" i="3"/>
  <c r="L37" i="3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9" i="3"/>
  <c r="J494" i="2"/>
  <c r="I494" i="2"/>
  <c r="H494" i="2"/>
  <c r="G494" i="2"/>
  <c r="F494" i="2"/>
  <c r="E494" i="2"/>
  <c r="D494" i="2"/>
  <c r="L493" i="2"/>
  <c r="K493" i="2"/>
  <c r="L492" i="2"/>
  <c r="K492" i="2"/>
  <c r="L491" i="2"/>
  <c r="K491" i="2"/>
  <c r="L490" i="2"/>
  <c r="K490" i="2"/>
  <c r="L489" i="2"/>
  <c r="K489" i="2"/>
  <c r="L488" i="2"/>
  <c r="K488" i="2"/>
  <c r="L487" i="2"/>
  <c r="K487" i="2"/>
  <c r="L486" i="2"/>
  <c r="K486" i="2"/>
  <c r="L485" i="2"/>
  <c r="K485" i="2"/>
  <c r="L484" i="2"/>
  <c r="K484" i="2"/>
  <c r="L483" i="2"/>
  <c r="K483" i="2"/>
  <c r="L482" i="2"/>
  <c r="K482" i="2"/>
  <c r="L481" i="2"/>
  <c r="K481" i="2"/>
  <c r="L480" i="2"/>
  <c r="K480" i="2"/>
  <c r="L479" i="2"/>
  <c r="K479" i="2"/>
  <c r="L478" i="2"/>
  <c r="K478" i="2"/>
  <c r="L477" i="2"/>
  <c r="K477" i="2"/>
  <c r="L476" i="2"/>
  <c r="K476" i="2"/>
  <c r="L475" i="2"/>
  <c r="K475" i="2"/>
  <c r="L474" i="2"/>
  <c r="K474" i="2"/>
  <c r="L473" i="2"/>
  <c r="K473" i="2"/>
  <c r="L472" i="2"/>
  <c r="K472" i="2"/>
  <c r="L471" i="2"/>
  <c r="K471" i="2"/>
  <c r="L470" i="2"/>
  <c r="K470" i="2"/>
  <c r="L469" i="2"/>
  <c r="K469" i="2"/>
  <c r="L468" i="2"/>
  <c r="K468" i="2"/>
  <c r="L467" i="2"/>
  <c r="K467" i="2"/>
  <c r="L466" i="2"/>
  <c r="K466" i="2"/>
  <c r="L465" i="2"/>
  <c r="K465" i="2"/>
  <c r="L464" i="2"/>
  <c r="K464" i="2"/>
  <c r="L463" i="2"/>
  <c r="K463" i="2"/>
  <c r="L462" i="2"/>
  <c r="K462" i="2"/>
  <c r="L461" i="2"/>
  <c r="K461" i="2"/>
  <c r="L460" i="2"/>
  <c r="K460" i="2"/>
  <c r="L459" i="2"/>
  <c r="K459" i="2"/>
  <c r="L458" i="2"/>
  <c r="K458" i="2"/>
  <c r="L457" i="2"/>
  <c r="K457" i="2"/>
  <c r="L456" i="2"/>
  <c r="K456" i="2"/>
  <c r="L455" i="2"/>
  <c r="K455" i="2"/>
  <c r="L454" i="2"/>
  <c r="K454" i="2"/>
  <c r="L453" i="2"/>
  <c r="K453" i="2"/>
  <c r="L452" i="2"/>
  <c r="K452" i="2"/>
  <c r="L451" i="2"/>
  <c r="K451" i="2"/>
  <c r="L450" i="2"/>
  <c r="K450" i="2"/>
  <c r="L449" i="2"/>
  <c r="K449" i="2"/>
  <c r="L448" i="2"/>
  <c r="K448" i="2"/>
  <c r="L447" i="2"/>
  <c r="K447" i="2"/>
  <c r="L446" i="2"/>
  <c r="K446" i="2"/>
  <c r="L445" i="2"/>
  <c r="K445" i="2"/>
  <c r="L444" i="2"/>
  <c r="K444" i="2"/>
  <c r="L443" i="2"/>
  <c r="K443" i="2"/>
  <c r="L442" i="2"/>
  <c r="K442" i="2"/>
  <c r="L441" i="2"/>
  <c r="K441" i="2"/>
  <c r="L440" i="2"/>
  <c r="K440" i="2"/>
  <c r="L439" i="2"/>
  <c r="K439" i="2"/>
  <c r="L438" i="2"/>
  <c r="K438" i="2"/>
  <c r="L437" i="2"/>
  <c r="K437" i="2"/>
  <c r="L436" i="2"/>
  <c r="K436" i="2"/>
  <c r="L435" i="2"/>
  <c r="K435" i="2"/>
  <c r="L434" i="2"/>
  <c r="K434" i="2"/>
  <c r="L433" i="2"/>
  <c r="K433" i="2"/>
  <c r="L432" i="2"/>
  <c r="K432" i="2"/>
  <c r="L431" i="2"/>
  <c r="K431" i="2"/>
  <c r="L430" i="2"/>
  <c r="K430" i="2"/>
  <c r="L429" i="2"/>
  <c r="K429" i="2"/>
  <c r="L428" i="2"/>
  <c r="K428" i="2"/>
  <c r="L427" i="2"/>
  <c r="K427" i="2"/>
  <c r="L426" i="2"/>
  <c r="K426" i="2"/>
  <c r="L425" i="2"/>
  <c r="K425" i="2"/>
  <c r="L424" i="2"/>
  <c r="K424" i="2"/>
  <c r="L423" i="2"/>
  <c r="K423" i="2"/>
  <c r="L422" i="2"/>
  <c r="K422" i="2"/>
  <c r="L421" i="2"/>
  <c r="K421" i="2"/>
  <c r="L420" i="2"/>
  <c r="K420" i="2"/>
  <c r="L419" i="2"/>
  <c r="K419" i="2"/>
  <c r="L418" i="2"/>
  <c r="K418" i="2"/>
  <c r="L417" i="2"/>
  <c r="K417" i="2"/>
  <c r="L416" i="2"/>
  <c r="K416" i="2"/>
  <c r="L415" i="2"/>
  <c r="K415" i="2"/>
  <c r="L414" i="2"/>
  <c r="K414" i="2"/>
  <c r="L413" i="2"/>
  <c r="K413" i="2"/>
  <c r="L412" i="2"/>
  <c r="K412" i="2"/>
  <c r="L411" i="2"/>
  <c r="K411" i="2"/>
  <c r="L410" i="2"/>
  <c r="K410" i="2"/>
  <c r="L409" i="2"/>
  <c r="K409" i="2"/>
  <c r="L408" i="2"/>
  <c r="K408" i="2"/>
  <c r="L407" i="2"/>
  <c r="K407" i="2"/>
  <c r="L406" i="2"/>
  <c r="K406" i="2"/>
  <c r="L405" i="2"/>
  <c r="K405" i="2"/>
  <c r="L404" i="2"/>
  <c r="K404" i="2"/>
  <c r="L403" i="2"/>
  <c r="K403" i="2"/>
  <c r="L402" i="2"/>
  <c r="K402" i="2"/>
  <c r="L401" i="2"/>
  <c r="K401" i="2"/>
  <c r="L400" i="2"/>
  <c r="K400" i="2"/>
  <c r="L399" i="2"/>
  <c r="K399" i="2"/>
  <c r="L398" i="2"/>
  <c r="K398" i="2"/>
  <c r="L397" i="2"/>
  <c r="K397" i="2"/>
  <c r="L396" i="2"/>
  <c r="K396" i="2"/>
  <c r="L395" i="2"/>
  <c r="K395" i="2"/>
  <c r="L394" i="2"/>
  <c r="K394" i="2"/>
  <c r="L393" i="2"/>
  <c r="K393" i="2"/>
  <c r="L392" i="2"/>
  <c r="K392" i="2"/>
  <c r="L391" i="2"/>
  <c r="K391" i="2"/>
  <c r="L390" i="2"/>
  <c r="K390" i="2"/>
  <c r="L389" i="2"/>
  <c r="K389" i="2"/>
  <c r="L388" i="2"/>
  <c r="K388" i="2"/>
  <c r="L387" i="2"/>
  <c r="K387" i="2"/>
  <c r="L386" i="2"/>
  <c r="K386" i="2"/>
  <c r="L385" i="2"/>
  <c r="K385" i="2"/>
  <c r="L384" i="2"/>
  <c r="K384" i="2"/>
  <c r="L383" i="2"/>
  <c r="K383" i="2"/>
  <c r="L382" i="2"/>
  <c r="K382" i="2"/>
  <c r="L381" i="2"/>
  <c r="K381" i="2"/>
  <c r="L380" i="2"/>
  <c r="K380" i="2"/>
  <c r="L379" i="2"/>
  <c r="K379" i="2"/>
  <c r="L377" i="2"/>
  <c r="K377" i="2"/>
  <c r="L376" i="2"/>
  <c r="K376" i="2"/>
  <c r="L375" i="2"/>
  <c r="K375" i="2"/>
  <c r="L374" i="2"/>
  <c r="K374" i="2"/>
  <c r="L373" i="2"/>
  <c r="K373" i="2"/>
  <c r="L372" i="2"/>
  <c r="K372" i="2"/>
  <c r="L371" i="2"/>
  <c r="K371" i="2"/>
  <c r="L370" i="2"/>
  <c r="K370" i="2"/>
  <c r="L369" i="2"/>
  <c r="K369" i="2"/>
  <c r="L368" i="2"/>
  <c r="K368" i="2"/>
  <c r="L367" i="2"/>
  <c r="K367" i="2"/>
  <c r="L366" i="2"/>
  <c r="K366" i="2"/>
  <c r="L365" i="2"/>
  <c r="K365" i="2"/>
  <c r="L364" i="2"/>
  <c r="K364" i="2"/>
  <c r="L363" i="2"/>
  <c r="K363" i="2"/>
  <c r="L362" i="2"/>
  <c r="K362" i="2"/>
  <c r="L361" i="2"/>
  <c r="K361" i="2"/>
  <c r="L360" i="2"/>
  <c r="K360" i="2"/>
  <c r="L359" i="2"/>
  <c r="K359" i="2"/>
  <c r="L358" i="2"/>
  <c r="K358" i="2"/>
  <c r="L357" i="2"/>
  <c r="K357" i="2"/>
  <c r="L356" i="2"/>
  <c r="K356" i="2"/>
  <c r="L355" i="2"/>
  <c r="K355" i="2"/>
  <c r="L354" i="2"/>
  <c r="K354" i="2"/>
  <c r="L353" i="2"/>
  <c r="K353" i="2"/>
  <c r="L352" i="2"/>
  <c r="K352" i="2"/>
  <c r="L351" i="2"/>
  <c r="K351" i="2"/>
  <c r="L350" i="2"/>
  <c r="K350" i="2"/>
  <c r="L349" i="2"/>
  <c r="K349" i="2"/>
  <c r="L348" i="2"/>
  <c r="K348" i="2"/>
  <c r="L347" i="2"/>
  <c r="K347" i="2"/>
  <c r="L346" i="2"/>
  <c r="K346" i="2"/>
  <c r="L345" i="2"/>
  <c r="K345" i="2"/>
  <c r="L344" i="2"/>
  <c r="K344" i="2"/>
  <c r="L343" i="2"/>
  <c r="K343" i="2"/>
  <c r="L342" i="2"/>
  <c r="K342" i="2"/>
  <c r="L341" i="2"/>
  <c r="K341" i="2"/>
  <c r="L340" i="2"/>
  <c r="K340" i="2"/>
  <c r="L339" i="2"/>
  <c r="K339" i="2"/>
  <c r="L338" i="2"/>
  <c r="K338" i="2"/>
  <c r="L337" i="2"/>
  <c r="K337" i="2"/>
  <c r="L336" i="2"/>
  <c r="K336" i="2"/>
  <c r="L335" i="2"/>
  <c r="K335" i="2"/>
  <c r="L334" i="2"/>
  <c r="K334" i="2"/>
  <c r="L333" i="2"/>
  <c r="K333" i="2"/>
  <c r="L332" i="2"/>
  <c r="K332" i="2"/>
  <c r="L331" i="2"/>
  <c r="K331" i="2"/>
  <c r="L330" i="2"/>
  <c r="K330" i="2"/>
  <c r="L329" i="2"/>
  <c r="K329" i="2"/>
  <c r="L328" i="2"/>
  <c r="K328" i="2"/>
  <c r="L327" i="2"/>
  <c r="K327" i="2"/>
  <c r="L326" i="2"/>
  <c r="K326" i="2"/>
  <c r="L325" i="2"/>
  <c r="K325" i="2"/>
  <c r="L324" i="2"/>
  <c r="K324" i="2"/>
  <c r="L323" i="2"/>
  <c r="K323" i="2"/>
  <c r="L322" i="2"/>
  <c r="K322" i="2"/>
  <c r="L321" i="2"/>
  <c r="K321" i="2"/>
  <c r="L320" i="2"/>
  <c r="K320" i="2"/>
  <c r="L319" i="2"/>
  <c r="K319" i="2"/>
  <c r="L318" i="2"/>
  <c r="K318" i="2"/>
  <c r="L317" i="2"/>
  <c r="K317" i="2"/>
  <c r="L316" i="2"/>
  <c r="K316" i="2"/>
  <c r="L315" i="2"/>
  <c r="K315" i="2"/>
  <c r="L314" i="2"/>
  <c r="K314" i="2"/>
  <c r="L313" i="2"/>
  <c r="K313" i="2"/>
  <c r="L312" i="2"/>
  <c r="K312" i="2"/>
  <c r="L311" i="2"/>
  <c r="K311" i="2"/>
  <c r="L310" i="2"/>
  <c r="K310" i="2"/>
  <c r="L309" i="2"/>
  <c r="K309" i="2"/>
  <c r="L308" i="2"/>
  <c r="K308" i="2"/>
  <c r="L307" i="2"/>
  <c r="K307" i="2"/>
  <c r="L306" i="2"/>
  <c r="K306" i="2"/>
  <c r="L305" i="2"/>
  <c r="K305" i="2"/>
  <c r="L304" i="2"/>
  <c r="K304" i="2"/>
  <c r="L303" i="2"/>
  <c r="K303" i="2"/>
  <c r="L302" i="2"/>
  <c r="K302" i="2"/>
  <c r="L301" i="2"/>
  <c r="K301" i="2"/>
  <c r="L300" i="2"/>
  <c r="K300" i="2"/>
  <c r="L299" i="2"/>
  <c r="K299" i="2"/>
  <c r="L298" i="2"/>
  <c r="K298" i="2"/>
  <c r="L297" i="2"/>
  <c r="K297" i="2"/>
  <c r="L296" i="2"/>
  <c r="K296" i="2"/>
  <c r="L295" i="2"/>
  <c r="K295" i="2"/>
  <c r="L294" i="2"/>
  <c r="K294" i="2"/>
  <c r="L293" i="2"/>
  <c r="K293" i="2"/>
  <c r="L292" i="2"/>
  <c r="K292" i="2"/>
  <c r="L291" i="2"/>
  <c r="K291" i="2"/>
  <c r="L290" i="2"/>
  <c r="K290" i="2"/>
  <c r="L289" i="2"/>
  <c r="K289" i="2"/>
  <c r="L288" i="2"/>
  <c r="K288" i="2"/>
  <c r="L287" i="2"/>
  <c r="K287" i="2"/>
  <c r="L286" i="2"/>
  <c r="K286" i="2"/>
  <c r="L285" i="2"/>
  <c r="K285" i="2"/>
  <c r="L284" i="2"/>
  <c r="K284" i="2"/>
  <c r="L283" i="2"/>
  <c r="K283" i="2"/>
  <c r="L282" i="2"/>
  <c r="K282" i="2"/>
  <c r="L281" i="2"/>
  <c r="K281" i="2"/>
  <c r="L280" i="2"/>
  <c r="K280" i="2"/>
  <c r="L279" i="2"/>
  <c r="K279" i="2"/>
  <c r="L278" i="2"/>
  <c r="K278" i="2"/>
  <c r="L277" i="2"/>
  <c r="K277" i="2"/>
  <c r="L276" i="2"/>
  <c r="K276" i="2"/>
  <c r="L275" i="2"/>
  <c r="K275" i="2"/>
  <c r="L274" i="2"/>
  <c r="K274" i="2"/>
  <c r="L273" i="2"/>
  <c r="K273" i="2"/>
  <c r="L272" i="2"/>
  <c r="K272" i="2"/>
  <c r="L271" i="2"/>
  <c r="K271" i="2"/>
  <c r="L270" i="2"/>
  <c r="K270" i="2"/>
  <c r="L269" i="2"/>
  <c r="K269" i="2"/>
  <c r="L268" i="2"/>
  <c r="K268" i="2"/>
  <c r="L267" i="2"/>
  <c r="K267" i="2"/>
  <c r="L266" i="2"/>
  <c r="K266" i="2"/>
  <c r="L265" i="2"/>
  <c r="K265" i="2"/>
  <c r="L264" i="2"/>
  <c r="K264" i="2"/>
  <c r="L263" i="2"/>
  <c r="K263" i="2"/>
  <c r="L261" i="2"/>
  <c r="K261" i="2"/>
  <c r="L260" i="2"/>
  <c r="K260" i="2"/>
  <c r="L259" i="2"/>
  <c r="K259" i="2"/>
  <c r="L258" i="2"/>
  <c r="K258" i="2"/>
  <c r="L257" i="2"/>
  <c r="K257" i="2"/>
  <c r="L256" i="2"/>
  <c r="K256" i="2"/>
  <c r="L255" i="2"/>
  <c r="K255" i="2"/>
  <c r="L254" i="2"/>
  <c r="K254" i="2"/>
  <c r="L253" i="2"/>
  <c r="K253" i="2"/>
  <c r="L252" i="2"/>
  <c r="K252" i="2"/>
  <c r="L251" i="2"/>
  <c r="K251" i="2"/>
  <c r="L250" i="2"/>
  <c r="K250" i="2"/>
  <c r="L249" i="2"/>
  <c r="K249" i="2"/>
  <c r="L248" i="2"/>
  <c r="K248" i="2"/>
  <c r="L247" i="2"/>
  <c r="K247" i="2"/>
  <c r="L246" i="2"/>
  <c r="K246" i="2"/>
  <c r="L245" i="2"/>
  <c r="K245" i="2"/>
  <c r="L244" i="2"/>
  <c r="K244" i="2"/>
  <c r="L243" i="2"/>
  <c r="K243" i="2"/>
  <c r="L242" i="2"/>
  <c r="K242" i="2"/>
  <c r="L241" i="2"/>
  <c r="K241" i="2"/>
  <c r="L240" i="2"/>
  <c r="K240" i="2"/>
  <c r="L239" i="2"/>
  <c r="K239" i="2"/>
  <c r="L238" i="2"/>
  <c r="K238" i="2"/>
  <c r="L237" i="2"/>
  <c r="K237" i="2"/>
  <c r="L236" i="2"/>
  <c r="K236" i="2"/>
  <c r="L235" i="2"/>
  <c r="K235" i="2"/>
  <c r="L234" i="2"/>
  <c r="K234" i="2"/>
  <c r="L233" i="2"/>
  <c r="K233" i="2"/>
  <c r="L232" i="2"/>
  <c r="K232" i="2"/>
  <c r="L231" i="2"/>
  <c r="K231" i="2"/>
  <c r="L230" i="2"/>
  <c r="K230" i="2"/>
  <c r="L229" i="2"/>
  <c r="K229" i="2"/>
  <c r="L228" i="2"/>
  <c r="K228" i="2"/>
  <c r="L227" i="2"/>
  <c r="K227" i="2"/>
  <c r="L226" i="2"/>
  <c r="K226" i="2"/>
  <c r="L225" i="2"/>
  <c r="K225" i="2"/>
  <c r="L224" i="2"/>
  <c r="K224" i="2"/>
  <c r="L223" i="2"/>
  <c r="K223" i="2"/>
  <c r="L222" i="2"/>
  <c r="K222" i="2"/>
  <c r="L221" i="2"/>
  <c r="K221" i="2"/>
  <c r="L220" i="2"/>
  <c r="K220" i="2"/>
  <c r="L219" i="2"/>
  <c r="K219" i="2"/>
  <c r="L218" i="2"/>
  <c r="K218" i="2"/>
  <c r="L217" i="2"/>
  <c r="K217" i="2"/>
  <c r="L216" i="2"/>
  <c r="K216" i="2"/>
  <c r="L215" i="2"/>
  <c r="K215" i="2"/>
  <c r="L214" i="2"/>
  <c r="K214" i="2"/>
  <c r="L213" i="2"/>
  <c r="K213" i="2"/>
  <c r="L212" i="2"/>
  <c r="K212" i="2"/>
  <c r="L211" i="2"/>
  <c r="K211" i="2"/>
  <c r="L210" i="2"/>
  <c r="K210" i="2"/>
  <c r="L209" i="2"/>
  <c r="K209" i="2"/>
  <c r="L208" i="2"/>
  <c r="K208" i="2"/>
  <c r="L207" i="2"/>
  <c r="K207" i="2"/>
  <c r="L206" i="2"/>
  <c r="K206" i="2"/>
  <c r="L205" i="2"/>
  <c r="K205" i="2"/>
  <c r="L204" i="2"/>
  <c r="K204" i="2"/>
  <c r="L203" i="2"/>
  <c r="K203" i="2"/>
  <c r="L202" i="2"/>
  <c r="K202" i="2"/>
  <c r="L201" i="2"/>
  <c r="K201" i="2"/>
  <c r="L200" i="2"/>
  <c r="K200" i="2"/>
  <c r="L199" i="2"/>
  <c r="K199" i="2"/>
  <c r="L198" i="2"/>
  <c r="K198" i="2"/>
  <c r="L197" i="2"/>
  <c r="K197" i="2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K190" i="2"/>
  <c r="L189" i="2"/>
  <c r="K189" i="2"/>
  <c r="L188" i="2"/>
  <c r="K188" i="2"/>
  <c r="L187" i="2"/>
  <c r="K187" i="2"/>
  <c r="L186" i="2"/>
  <c r="K186" i="2"/>
  <c r="L185" i="2"/>
  <c r="K185" i="2"/>
  <c r="L184" i="2"/>
  <c r="K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K167" i="2"/>
  <c r="L166" i="2"/>
  <c r="K166" i="2"/>
  <c r="L165" i="2"/>
  <c r="K165" i="2"/>
  <c r="L164" i="2"/>
  <c r="K164" i="2"/>
  <c r="L163" i="2"/>
  <c r="K163" i="2"/>
  <c r="L162" i="2"/>
  <c r="K162" i="2"/>
  <c r="L161" i="2"/>
  <c r="K161" i="2"/>
  <c r="L160" i="2"/>
  <c r="K160" i="2"/>
  <c r="L159" i="2"/>
  <c r="K159" i="2"/>
  <c r="L158" i="2"/>
  <c r="K158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L18" i="2"/>
  <c r="K18" i="2"/>
  <c r="L17" i="2"/>
  <c r="K17" i="2"/>
  <c r="L16" i="2"/>
  <c r="K16" i="2"/>
  <c r="L15" i="2"/>
  <c r="K15" i="2"/>
  <c r="L14" i="2"/>
  <c r="L12" i="2"/>
  <c r="K12" i="2"/>
  <c r="L11" i="2"/>
  <c r="K11" i="2"/>
  <c r="L10" i="2"/>
  <c r="K10" i="2"/>
  <c r="L9" i="2"/>
  <c r="K9" i="2"/>
  <c r="A3" i="3"/>
  <c r="A3" i="4" s="1"/>
  <c r="A3" i="5" s="1"/>
  <c r="A3" i="6" s="1"/>
  <c r="A3" i="7" s="1"/>
  <c r="A4" i="8" s="1"/>
  <c r="D20" i="1"/>
  <c r="C18" i="1"/>
  <c r="B18" i="1"/>
  <c r="D17" i="1"/>
  <c r="D16" i="1"/>
  <c r="K12" i="1"/>
  <c r="J12" i="1"/>
  <c r="I12" i="1"/>
  <c r="H12" i="1"/>
  <c r="G12" i="1"/>
  <c r="F12" i="1"/>
  <c r="E12" i="1"/>
  <c r="D12" i="1"/>
  <c r="C12" i="1"/>
  <c r="B12" i="1"/>
  <c r="B13" i="1" s="1"/>
  <c r="M11" i="1"/>
  <c r="L11" i="1"/>
  <c r="M10" i="1"/>
  <c r="C19" i="1" s="1"/>
  <c r="L10" i="1"/>
  <c r="B19" i="1" s="1"/>
  <c r="K9" i="1"/>
  <c r="J9" i="1"/>
  <c r="I9" i="1"/>
  <c r="H9" i="1"/>
  <c r="G9" i="1"/>
  <c r="F9" i="1"/>
  <c r="E9" i="1"/>
  <c r="D9" i="1"/>
  <c r="C9" i="1"/>
  <c r="M8" i="1"/>
  <c r="L8" i="1"/>
  <c r="M7" i="1"/>
  <c r="L7" i="1"/>
  <c r="L33" i="8" l="1"/>
  <c r="N33" i="8" s="1"/>
  <c r="E33" i="8"/>
  <c r="E37" i="8" s="1"/>
  <c r="N23" i="8"/>
  <c r="N14" i="8"/>
  <c r="N13" i="8"/>
  <c r="N35" i="8"/>
  <c r="N19" i="8"/>
  <c r="D13" i="1"/>
  <c r="N21" i="8"/>
  <c r="N15" i="8"/>
  <c r="N32" i="8"/>
  <c r="O677" i="7"/>
  <c r="N12" i="8"/>
  <c r="N17" i="8"/>
  <c r="N22" i="8"/>
  <c r="N34" i="8"/>
  <c r="L494" i="4"/>
  <c r="K266" i="6"/>
  <c r="P677" i="7"/>
  <c r="N20" i="8"/>
  <c r="L266" i="6"/>
  <c r="Q677" i="7"/>
  <c r="N18" i="8"/>
  <c r="E13" i="1"/>
  <c r="N16" i="8"/>
  <c r="H37" i="8"/>
  <c r="G13" i="1"/>
  <c r="N31" i="8"/>
  <c r="K13" i="1"/>
  <c r="N8" i="1"/>
  <c r="K393" i="5"/>
  <c r="K37" i="8"/>
  <c r="M37" i="8"/>
  <c r="L25" i="8"/>
  <c r="M25" i="8"/>
  <c r="K25" i="8"/>
  <c r="N11" i="8"/>
  <c r="H25" i="8"/>
  <c r="L393" i="5"/>
  <c r="J13" i="1"/>
  <c r="K494" i="4"/>
  <c r="L393" i="3"/>
  <c r="K393" i="3"/>
  <c r="K494" i="2"/>
  <c r="L494" i="2"/>
  <c r="D18" i="1"/>
  <c r="L12" i="1"/>
  <c r="M12" i="1"/>
  <c r="N11" i="1"/>
  <c r="F13" i="1"/>
  <c r="C13" i="1"/>
  <c r="I13" i="1"/>
  <c r="H13" i="1"/>
  <c r="N7" i="1"/>
  <c r="C37" i="8"/>
  <c r="D37" i="8"/>
  <c r="L9" i="1"/>
  <c r="M9" i="1"/>
  <c r="N30" i="8"/>
  <c r="N10" i="1"/>
  <c r="C21" i="1"/>
  <c r="C22" i="1" s="1"/>
  <c r="L37" i="8" l="1"/>
  <c r="N25" i="8"/>
  <c r="N37" i="8"/>
  <c r="N12" i="1"/>
  <c r="M13" i="1"/>
  <c r="B21" i="1"/>
  <c r="B22" i="1" s="1"/>
  <c r="D19" i="1"/>
  <c r="D21" i="1" s="1"/>
  <c r="D22" i="1" s="1"/>
  <c r="L13" i="1"/>
  <c r="N9" i="1"/>
  <c r="N13" i="1" l="1"/>
</calcChain>
</file>

<file path=xl/sharedStrings.xml><?xml version="1.0" encoding="utf-8"?>
<sst xmlns="http://schemas.openxmlformats.org/spreadsheetml/2006/main" count="2926" uniqueCount="1013">
  <si>
    <t>IPK III/1: IKHTISAR STATISTIK TENAGA KERJA KABUPATEN PASER</t>
  </si>
  <si>
    <t>I.PENCARI KERJA</t>
  </si>
  <si>
    <t>KELOMPOK UMUR</t>
  </si>
  <si>
    <t>JUMLAH</t>
  </si>
  <si>
    <t>15-19</t>
  </si>
  <si>
    <t>20-29</t>
  </si>
  <si>
    <t>30-44</t>
  </si>
  <si>
    <t>45-54</t>
  </si>
  <si>
    <t>55+</t>
  </si>
  <si>
    <t>L</t>
  </si>
  <si>
    <t>P</t>
  </si>
  <si>
    <t>L+P</t>
  </si>
  <si>
    <t>1. Pencari kerja yang belum ditempatkan pada bulan yang lalu</t>
  </si>
  <si>
    <t>2. Pencari kerja yang terdaftar pada bulan ini</t>
  </si>
  <si>
    <t>A. JUMLAH (1+2)</t>
  </si>
  <si>
    <t>3. Pencari kerja yang ditempatkan pada bulan ini</t>
  </si>
  <si>
    <t>4. Pencari kerja yang dihapuskan pada bulan ini</t>
  </si>
  <si>
    <t>B. JUMLAH (3+4)</t>
  </si>
  <si>
    <t>5. Pencari kerja yang belum ditempatkan pada akhir bulan ini (A-B)</t>
  </si>
  <si>
    <t>II. LOWONGAN</t>
  </si>
  <si>
    <t>W</t>
  </si>
  <si>
    <t>L+W</t>
  </si>
  <si>
    <t>1. Lowongan yang belum dipenuhi pada akhir bulan lalu</t>
  </si>
  <si>
    <t>2. Lowongan yang terdaftar bulan ini</t>
  </si>
  <si>
    <t>C. JUMLAH (1+2)</t>
  </si>
  <si>
    <t>3. Lowongan yang dipenuhi bulan ini</t>
  </si>
  <si>
    <t>4. Lowongan yang dihapuskan bulan ini</t>
  </si>
  <si>
    <t>D. JUMLAH (3+4)</t>
  </si>
  <si>
    <t>5. Lowongan yang belum dipenuhi akhir bulan ini (C-D)</t>
  </si>
  <si>
    <t>IPK III/2: PENCARI KERJA YANG TERDAFTAR, DITEMPATKAN DAN DIHAPUSKAN DI</t>
  </si>
  <si>
    <t>KABUPATEN PASER MENURUT JENIS PENDIDIKAN</t>
  </si>
  <si>
    <t>Kode</t>
  </si>
  <si>
    <t>Jenis Pendidikan</t>
  </si>
  <si>
    <t>Sisa akhir bulan lalu</t>
  </si>
  <si>
    <t>Pendaftaran bulan ini</t>
  </si>
  <si>
    <t>Penempatan bulan ini</t>
  </si>
  <si>
    <t>Penghapusan bulan ini</t>
  </si>
  <si>
    <t>Sisa akhir bulan ini</t>
  </si>
  <si>
    <t>SEKOLAH DASAR</t>
  </si>
  <si>
    <t>TIDAK TAMAT SD</t>
  </si>
  <si>
    <t>TAMAT SD</t>
  </si>
  <si>
    <t>SETINGKAT SD</t>
  </si>
  <si>
    <t>SD - TAK TERDEFINISI</t>
  </si>
  <si>
    <t>PENDIDIKAN MENENGAH PERTAMA</t>
  </si>
  <si>
    <t>SEKOLAH MENENGAH PERTAMA</t>
  </si>
  <si>
    <t>MADRASAH DINIYAH SANAWIYAH</t>
  </si>
  <si>
    <t>SLTP LAINNYA</t>
  </si>
  <si>
    <t>SLTP KEJURUAN</t>
  </si>
  <si>
    <t>SLTP - TAK TERDEFINISI</t>
  </si>
  <si>
    <t>PENDIDIKAN MENENGAH ATAS</t>
  </si>
  <si>
    <t>TEKNIK BANGUNAN</t>
  </si>
  <si>
    <t>TEKNIK PLUMBING DAN SANITASI</t>
  </si>
  <si>
    <t>TEKNIK SURVEI DAN PEMETAAN</t>
  </si>
  <si>
    <t>TEKNIK KETENAGALISTRIKAN</t>
  </si>
  <si>
    <t>TEKNIK PENDINGINAN DAN TATA UDARA</t>
  </si>
  <si>
    <t>TEKNIK MESIN</t>
  </si>
  <si>
    <t>TEKNIK OTOMOTIF</t>
  </si>
  <si>
    <t>TEKNOLOGI PESAWAT UDARA</t>
  </si>
  <si>
    <t>TEKNIK PERKAPALAN</t>
  </si>
  <si>
    <t>TEKNOLOGI TEKSTIL</t>
  </si>
  <si>
    <t>TEKNIK GRAFIKA</t>
  </si>
  <si>
    <t>GEOLOGI PERTAMBANGAN</t>
  </si>
  <si>
    <t>INSTRUMENTASI INDUSTRI</t>
  </si>
  <si>
    <t>TEKNIK KIMIA</t>
  </si>
  <si>
    <t>PELAYARAN</t>
  </si>
  <si>
    <t>TEKNIK INDUSTRI</t>
  </si>
  <si>
    <t>TEKNIK PERMINYAKAN</t>
  </si>
  <si>
    <t>TEKNIK ELEKTRONIKA</t>
  </si>
  <si>
    <t>TEKNIK TELEKOMUNIKASI</t>
  </si>
  <si>
    <t>TEKNIK KOMPUTER DAN INFORMATIKA</t>
  </si>
  <si>
    <t>TEKNIK BROADCASTING</t>
  </si>
  <si>
    <t>KESEHATAN</t>
  </si>
  <si>
    <t>PERAWATAN SOSIAL</t>
  </si>
  <si>
    <t>SENI RUPA</t>
  </si>
  <si>
    <t>DESAIN DAN PRODUKSI KRIA</t>
  </si>
  <si>
    <t>SENI PERTUNJUKAN</t>
  </si>
  <si>
    <t>PARIWISATA</t>
  </si>
  <si>
    <t>TATA BOGA</t>
  </si>
  <si>
    <t>TATA KECANTIKAN</t>
  </si>
  <si>
    <t>TATA BUSANA</t>
  </si>
  <si>
    <t>AGRIBISNIS PRODUKSI TANAMAN</t>
  </si>
  <si>
    <t>AGRIBISNIS PRODUKSI TERNAK</t>
  </si>
  <si>
    <t>AGRIBISNIS PRODUKSI SUMBERDAYA PERAIRAN</t>
  </si>
  <si>
    <t>MEKANISASI PERTANIAN</t>
  </si>
  <si>
    <t>AGRIBISNIS HASIL PERTANIAN</t>
  </si>
  <si>
    <t>PENYULUHAN PERTANIAN</t>
  </si>
  <si>
    <t>KEHUTANAN</t>
  </si>
  <si>
    <t>ADMINISTRASI</t>
  </si>
  <si>
    <t>KEUANGAN</t>
  </si>
  <si>
    <t>TATA NIAGA</t>
  </si>
  <si>
    <t>SLTA LAINNYA</t>
  </si>
  <si>
    <t>SLTA - TAK TERDEFINISI</t>
  </si>
  <si>
    <t>SMU</t>
  </si>
  <si>
    <t>MADRASAH DINIYAH ALIYAH</t>
  </si>
  <si>
    <t>DIPLOMA I / AKTA I</t>
  </si>
  <si>
    <t>PENDIDIKAN</t>
  </si>
  <si>
    <t>PENDIDIKAN LUAR SEKOLAH</t>
  </si>
  <si>
    <t>PENDIDIKAN KESEJAHTERAAN SOSIAL</t>
  </si>
  <si>
    <t>PSIKOLOGI</t>
  </si>
  <si>
    <t>ILMU PENGETAHUAN SOSIAL</t>
  </si>
  <si>
    <t>PENDIDIKAN MORAL PANCASILA</t>
  </si>
  <si>
    <t>ADMINISTRASI KEUANGAN</t>
  </si>
  <si>
    <t>ANTROPOLOGI</t>
  </si>
  <si>
    <t>SEJARAH</t>
  </si>
  <si>
    <t>HUKUM</t>
  </si>
  <si>
    <t>KESEKRETARIATAN</t>
  </si>
  <si>
    <t>OLAH RAGA KESEHATAN</t>
  </si>
  <si>
    <t>KESENIAN</t>
  </si>
  <si>
    <t>BAHASA INDONESIA</t>
  </si>
  <si>
    <t>BAHASA INGGRIS</t>
  </si>
  <si>
    <t>BAHASA ARAB</t>
  </si>
  <si>
    <t>KETRAMPILAN</t>
  </si>
  <si>
    <t>EKONOMI</t>
  </si>
  <si>
    <t>ILMU PENGETAHUAN ALAM/FISIKA</t>
  </si>
  <si>
    <t>MATEMATIKA</t>
  </si>
  <si>
    <t>PROGRAM KOMPUTER</t>
  </si>
  <si>
    <t>BIOLOGI</t>
  </si>
  <si>
    <t>ILMU KIMIA</t>
  </si>
  <si>
    <t>KERJA KAYU</t>
  </si>
  <si>
    <t>TEKNIK SIPIL</t>
  </si>
  <si>
    <t>TEKNIK LISTRIK</t>
  </si>
  <si>
    <t>GEOGRAFI</t>
  </si>
  <si>
    <t>DIPLOMA I/AKTA I LAINNYA</t>
  </si>
  <si>
    <t>DIPLOMA I - TAK TERDEFINISI</t>
  </si>
  <si>
    <t>DIPLOMA II/AKTA II</t>
  </si>
  <si>
    <t>PENDIDIKAN SOSIAL</t>
  </si>
  <si>
    <t>PENDIDIKAN KESEJAHTERAAN KELUARGA</t>
  </si>
  <si>
    <t>MARKETING</t>
  </si>
  <si>
    <t>AKUTANSI</t>
  </si>
  <si>
    <t>OLAH RAGA</t>
  </si>
  <si>
    <t>ILMU PENGETAHUAN ALAM</t>
  </si>
  <si>
    <t xml:space="preserve"> BIOLOGI</t>
  </si>
  <si>
    <t>KIMIA</t>
  </si>
  <si>
    <t>DIPLOMA II/AKTA II LAINNYA</t>
  </si>
  <si>
    <t>DIPLOMA II - TAK TERDEFINISI</t>
  </si>
  <si>
    <t>DIPLOMA III/AKTA III/AKADEMI/S.MUDA</t>
  </si>
  <si>
    <t>FISIKA</t>
  </si>
  <si>
    <t>ASTRONOMI</t>
  </si>
  <si>
    <t>GEOLOGI DAN PERTAMBANGAN</t>
  </si>
  <si>
    <t>METEOROLOGI DAN GEOFISIKA</t>
  </si>
  <si>
    <t>ILMU STATISTIK</t>
  </si>
  <si>
    <t>ILMU KOMPUTER</t>
  </si>
  <si>
    <t>ILMU PASTI/ALAM LAINNYA</t>
  </si>
  <si>
    <t>ILMU PASTI - TAK TERDEFINISI</t>
  </si>
  <si>
    <t>TEKNIK GEODESI/GEOLOGI</t>
  </si>
  <si>
    <t>ARSITEKTUR</t>
  </si>
  <si>
    <t>TEKNIK LOGAM</t>
  </si>
  <si>
    <t>TEKNIK PERTAMBANGAN DAN MINYAK</t>
  </si>
  <si>
    <t>FISIKA TEKNIK</t>
  </si>
  <si>
    <t>TEKNIK NUKLIR</t>
  </si>
  <si>
    <t>PENGOLAH GULA</t>
  </si>
  <si>
    <t>TEKNOLOGI KULIT</t>
  </si>
  <si>
    <t>TEKNOLOGI GRAFIKA</t>
  </si>
  <si>
    <t>TEKNOLOGI GAS DAN MINYAK BUMI</t>
  </si>
  <si>
    <t>TEKNOLOGI LAINNYA</t>
  </si>
  <si>
    <t>TEKNOLOGI - TAK TERDEFINISI</t>
  </si>
  <si>
    <t>PERTANIAN UMUM</t>
  </si>
  <si>
    <t>HORTIKULTURA</t>
  </si>
  <si>
    <t>HASIL PERTANIAN</t>
  </si>
  <si>
    <t>EKONOMI PERTANIAN</t>
  </si>
  <si>
    <t>TEKNOLOGI DAN ILMU MAKANAN</t>
  </si>
  <si>
    <t>ILMU TANAH DAN AIR</t>
  </si>
  <si>
    <t>KEDOKTERAN HEWAN</t>
  </si>
  <si>
    <t>PETERNAKAN</t>
  </si>
  <si>
    <t>PERIKANAN</t>
  </si>
  <si>
    <t>PERTANIAN LAINNYA</t>
  </si>
  <si>
    <t>PERTANIAN - TAK TERDEFINISI</t>
  </si>
  <si>
    <t>KEDOKTERAN UMUM</t>
  </si>
  <si>
    <t>KEDOKTERAN GIGI</t>
  </si>
  <si>
    <t>FARMASI</t>
  </si>
  <si>
    <t>PENILIK KESEHATAN/HYGINE/GIZI</t>
  </si>
  <si>
    <t>ANASTESI</t>
  </si>
  <si>
    <t>FISIOTERAPI</t>
  </si>
  <si>
    <t>PERAWAT</t>
  </si>
  <si>
    <t>PENATA RONTGEN</t>
  </si>
  <si>
    <t>KESEHATAN LAINNYA</t>
  </si>
  <si>
    <t>KESEHATAN - TAK TERDEFINISI</t>
  </si>
  <si>
    <t>AKUNTANSI</t>
  </si>
  <si>
    <t>KEUANGAN DAN PAJAK</t>
  </si>
  <si>
    <t>ILMU POLITIK</t>
  </si>
  <si>
    <t>SOSIOLOGI</t>
  </si>
  <si>
    <t>SEKRETARIS</t>
  </si>
  <si>
    <t>MANAJEMENT</t>
  </si>
  <si>
    <t>ARKEOLOGI</t>
  </si>
  <si>
    <t>FILSAFAT</t>
  </si>
  <si>
    <t>BAHASA DAERAH</t>
  </si>
  <si>
    <t>BAHASA JERMAN</t>
  </si>
  <si>
    <t>BAHASA PERANCIS</t>
  </si>
  <si>
    <t>BAHASA BELANDA</t>
  </si>
  <si>
    <t>BAHASA RUSIA</t>
  </si>
  <si>
    <t>BAHASA CINA</t>
  </si>
  <si>
    <t>BAHASA JEPANG</t>
  </si>
  <si>
    <t>KEAGAMAAN DAN ILMU KETUHANAN (IAIN)</t>
  </si>
  <si>
    <t>KESEJAHTERAAN KELUARGA</t>
  </si>
  <si>
    <t>SENI</t>
  </si>
  <si>
    <t>PUBLISTIK/PENERANGAN</t>
  </si>
  <si>
    <t>ILMU KOMUNIKASI MASSA</t>
  </si>
  <si>
    <t>PERPUSTAKAAN</t>
  </si>
  <si>
    <t>ANAK BUAH KAPAL DAN TEKNISI PELAYARAN</t>
  </si>
  <si>
    <t>POS DAN TELEKOMUNIKASI</t>
  </si>
  <si>
    <t>HOTEL, RESTORAN DAN PARAWISATA</t>
  </si>
  <si>
    <t>ILMU PENGETAHUAN SOSIAL/BUDAYA LAINNYA</t>
  </si>
  <si>
    <t>ILMU PENGETAHUAN SOSIAL/BUDAYA - TAK TERDEFINISI</t>
  </si>
  <si>
    <t>BIMBINGAN DAN PENYULUHAN</t>
  </si>
  <si>
    <t>KURIKULUM</t>
  </si>
  <si>
    <t>ADMINISTRASI PENDIDIKAN</t>
  </si>
  <si>
    <t>BAHSA BELANDA</t>
  </si>
  <si>
    <t>BAHSA JEPANG</t>
  </si>
  <si>
    <t>TATA BOGA/TATA BUSANA</t>
  </si>
  <si>
    <t>GEOGRAPI</t>
  </si>
  <si>
    <t>BIOLOGI/ILMU HAYAT</t>
  </si>
  <si>
    <t>MATEMATIK</t>
  </si>
  <si>
    <t>KEJURUAN</t>
  </si>
  <si>
    <t>SISTEM ANALIS KOMPUTER</t>
  </si>
  <si>
    <t>TEKNIK LABORATORIUM</t>
  </si>
  <si>
    <t>TEKNIK GEODESI</t>
  </si>
  <si>
    <t>ILMU PENDIDIKAN DAN KEGURUAN LAINNYA</t>
  </si>
  <si>
    <t>ILMU PENDIDIKAN DAN KEGURUAN - TAK TERDEFINISI</t>
  </si>
  <si>
    <t>SARJANA (S1)</t>
  </si>
  <si>
    <t>ILMU GEOLOGI</t>
  </si>
  <si>
    <t>METEROLOGI DAN GEOPISIKA</t>
  </si>
  <si>
    <t>STATISTIK</t>
  </si>
  <si>
    <t>KOMPUTER</t>
  </si>
  <si>
    <t>ILMU PASTI/ILMU ALAM LAINNYA</t>
  </si>
  <si>
    <t>ILMU PASTI/ILMU ALAM - TAK TERDEFINISI</t>
  </si>
  <si>
    <t>PERTERNAKAN</t>
  </si>
  <si>
    <t>PERTANIAN - TAK TERDIFINISI</t>
  </si>
  <si>
    <t>BAHSA ARAB</t>
  </si>
  <si>
    <t>PUBLISTIK</t>
  </si>
  <si>
    <t>KOMUNIKASI MASSA</t>
  </si>
  <si>
    <t>PENDIDIKAN UMUM</t>
  </si>
  <si>
    <t>PEMBINAAN DAN PENYULUHAN</t>
  </si>
  <si>
    <t>ADMINISTRASI NEGARA</t>
  </si>
  <si>
    <t>GEOLOGI</t>
  </si>
  <si>
    <t>TATA GRAHA</t>
  </si>
  <si>
    <t>MANAJEMEN</t>
  </si>
  <si>
    <t>SARJANA (S2)</t>
  </si>
  <si>
    <t>BAHSA CINA</t>
  </si>
  <si>
    <t>PINDIDIKAN SOSIAL</t>
  </si>
  <si>
    <t>MANAJEMANT</t>
  </si>
  <si>
    <t>IPK III/3: PENCARI KERJA YANG TERDAFTAR, DITEMPATKAN DAN DIHAPUSKAN DI</t>
  </si>
  <si>
    <t>KABUPATEN PASER TIMUR MENURUT GOLONGAN JABATAN</t>
  </si>
  <si>
    <t>Jenis Golongan Pokok Jabatan</t>
  </si>
  <si>
    <t>Penghapuskan bulan ini</t>
  </si>
  <si>
    <t>ANGGOTA ANGKATAN BERSENJATA (KECUALI KEPOLISIAN)</t>
  </si>
  <si>
    <t>ANGGOTA ANGKATAN BERSENJATA</t>
  </si>
  <si>
    <t>ANGGOTA BADAN LEGISLATIF, PEJABAT TINGGI PEMERINTAH</t>
  </si>
  <si>
    <t>ANGGOTA BADAN LEGISLATIF</t>
  </si>
  <si>
    <t>PEJABAT TINGGI PEMERINTAH</t>
  </si>
  <si>
    <t>KEPALA DESA DAN LURAH</t>
  </si>
  <si>
    <t>PEMIMPIN ORGANISASI PARTAI POLITIK</t>
  </si>
  <si>
    <t>PIMPINAN ORGANISASI PENGUSAHA, PEKERJA DAN ORGANISASI YANG BERKAITAN DENGAN KEPENTINGAN DARI ORGANISASI EKONOMI</t>
  </si>
  <si>
    <t>PIMPINAN ORGANISASI KEMANUSIAAN DAN ORGANISASI KHUSUS</t>
  </si>
  <si>
    <t>DIREKTUR DAN KEPALA EKSEKUTIF</t>
  </si>
  <si>
    <t>MANAJER PRODUKSI DAN OPERASI DALAM BIDANG PERTANIAN PERBURUAN DAN PERIKANAN</t>
  </si>
  <si>
    <t>MANAJER PRODUKSI DAN OPERASI DALAM BIDANG KONSTRUKSI</t>
  </si>
  <si>
    <t>MANAJER PRODUKSI DAN OPERASI DOKUMEN DALAM BIDANG PERDAGANGAN BESAR DAN ECERAN</t>
  </si>
  <si>
    <t>MANAJER PRODUKSI DAN OPERASI DALAM BIDANG HOTEL DAN RESTORAN</t>
  </si>
  <si>
    <t>MANAJER PRODUKSI DAN OPERASI DALAM BIDANG ANGKUTAN (LAYANAN TELEKOMUNIKASI) PERGUDANGAN &amp; KOMUNIKASI</t>
  </si>
  <si>
    <t>MANAJER PRODUKSI DAN OPERASI DALAM BIDANG PERUSAHAAN JASA</t>
  </si>
  <si>
    <t>MANAJER PRODUKSI DAN OPERASI DALAM BIDANG KESEJAHTERAAN DAN KEBERSIHAN</t>
  </si>
  <si>
    <t>MANAJER PRODUKSI DAN OPERASI TIDAK DAPAT DIKLASIFIKASIKAN PADA 1221-1228</t>
  </si>
  <si>
    <t>MANAJER KEUANGAN DAN ADMINISTRASI</t>
  </si>
  <si>
    <t>MANAJER PEMASARAN DAN HUBUNGAN INDUSTRI</t>
  </si>
  <si>
    <t>MANAJER PENJUALAN DAN PEMASARAN</t>
  </si>
  <si>
    <t>MANAJER HUBUNGAN MASYARAKAT DAN PERIKLANAN</t>
  </si>
  <si>
    <t>MANAJER PENYEDIAAN DAN DISTRIBUSI</t>
  </si>
  <si>
    <t>MANAJER JASA PERHITUNGAN</t>
  </si>
  <si>
    <t>MANAJER PENELITIAN DAN PEMASARAN</t>
  </si>
  <si>
    <t>MANAJER UMUM PERTANIAN, PERBURUAN KEHUTANAN DAN PERIKANAN</t>
  </si>
  <si>
    <t>MANAJER UMUM PERDAGANGAN BESAR DAN ECERAN</t>
  </si>
  <si>
    <t>MANAJER UMUM HOTEL DAN RESTORAN</t>
  </si>
  <si>
    <t>MANAJER UMUM ANGKUTAN, PERGUDANGAN DAN KOMUNIKASI</t>
  </si>
  <si>
    <t>MANAJER UMUM PERUSAHAAN JASA</t>
  </si>
  <si>
    <t>MANAJER UMUM PERAWATAN PRIBADI KEBERSIHAN DAN JASA YANG SEJENIS</t>
  </si>
  <si>
    <t>MANAJER UMUM YANG TIDAK DAPAT DIKLASIFIKASIKAN PADA SUB GOL 1311 SAMPAI DENGAN 1318</t>
  </si>
  <si>
    <t>TENAGA PROFESIONAL</t>
  </si>
  <si>
    <t>PAKAR FISIKA DAN ASTRONOMI</t>
  </si>
  <si>
    <t>PAKAR METEOROLOGI</t>
  </si>
  <si>
    <t>PAKAR KIMIA</t>
  </si>
  <si>
    <t>PAKAR GEOLOGI DAN GEOFISIKA</t>
  </si>
  <si>
    <t>PAKAR MATEMATIKA DAN PROFESI YANG SEJENIS</t>
  </si>
  <si>
    <t>PAKAR STATISTIK</t>
  </si>
  <si>
    <t>PERANCANG DAN ANALIS SISTEM KOMPUTER</t>
  </si>
  <si>
    <t>PROGRAMER KOMPUTER</t>
  </si>
  <si>
    <t>PAKAR KOMPUTER YTDL</t>
  </si>
  <si>
    <t>ARSITEK PERENCANA TATA KOTA &amp; LALU LINTAS</t>
  </si>
  <si>
    <t>PEREKAYASA SIPIL</t>
  </si>
  <si>
    <t>PEREKAYASA ELEKTRO</t>
  </si>
  <si>
    <t>PERAKAYASA ELEKTRONIKA &amp; TELEKOMUNIKASI</t>
  </si>
  <si>
    <t>PEREKAYASA MESIN</t>
  </si>
  <si>
    <t>PEREKAYASA KIMIA</t>
  </si>
  <si>
    <t>PEREKAYASA PERTAMBANGAN METALURGI DAN PROFESI SEJENIS</t>
  </si>
  <si>
    <t>KARTOGRAFER DAN SURVEYOR</t>
  </si>
  <si>
    <t>ARSITEK PEREKAYASA DAN PROFESI SEJENIS YANG TIDAK DIKLASIFIKASIKAN PADA 2141, 2142 S/D 2148</t>
  </si>
  <si>
    <t>BIOLOGI BOTANI, ZOOLOGI DAN PROFESI SEJENIS</t>
  </si>
  <si>
    <t>PARMAKOLOG, PHATOLOG DAN PROFESI YANG SEJENIS</t>
  </si>
  <si>
    <t>ARGONOMI DAN PROFESI SEJENIS</t>
  </si>
  <si>
    <t>DOKTER UMUM</t>
  </si>
  <si>
    <t>DOKTER GIGI</t>
  </si>
  <si>
    <t>PERAWAT DAN BIDAN</t>
  </si>
  <si>
    <t>PENGAJAR PROFESIONAL AKADEMI, UNIVERSITAS DAN PENDIDIKAN TINGGI LAINNYA</t>
  </si>
  <si>
    <t>PENGAJAR PROFESIONAL PENDIDIKAN MENENGAH ATAS</t>
  </si>
  <si>
    <t>UNIVERSITAS DAN PENDIDIKAN TINGGI LAINNYA</t>
  </si>
  <si>
    <t>PENGAJAR SEKOLAH DASAR</t>
  </si>
  <si>
    <t>PROFESIONALIS GURU PENDIDIKAN PRA SEKOLAH DASAR</t>
  </si>
  <si>
    <t>GURU SEKOLAH LUAR BIASA</t>
  </si>
  <si>
    <t>SPESIALIS METODA PENDIDIKAN</t>
  </si>
  <si>
    <t>PENILIK SEKOLAH</t>
  </si>
  <si>
    <t>AKUNTAN</t>
  </si>
  <si>
    <t>TENAGA PROFESIONAL TENAGA KEPEGAWAIAN</t>
  </si>
  <si>
    <t>TENAGA PROFESIONAL BIDANG BISNIS YANG TIDAK DAPAT DIKLASIFIKASIKAN PADA SUB GOLONGAN 2411 DAN 2412</t>
  </si>
  <si>
    <t>PENGACARA</t>
  </si>
  <si>
    <t>HAKIM</t>
  </si>
  <si>
    <t>PAKAR HUKUM YTD PADA SUB GOL 2421 &amp; 2422</t>
  </si>
  <si>
    <t>ARSIPARIS DAN KURATOR</t>
  </si>
  <si>
    <t>PUSTAKAWAN DAN PEMBERI INFORMASI YANG SEJENIS</t>
  </si>
  <si>
    <t>PAKAR EKONOMI</t>
  </si>
  <si>
    <t>PAKAR SOSIOLOGI, ANTROPOLOGI DAN YANG SEJENIS</t>
  </si>
  <si>
    <t>PAKAR FILSAFAT, SEJARAH DAN ILMU POLITIK</t>
  </si>
  <si>
    <t>PAKAR BAHASA, PENTERJEMAH DAN JURU BAHASA</t>
  </si>
  <si>
    <t>PSIKOLOG</t>
  </si>
  <si>
    <t>PEKERJA SOSIAL PROFESIONAL</t>
  </si>
  <si>
    <t>PENGARANG, WARTAWAN DAN PENULIS LAINNYA</t>
  </si>
  <si>
    <t>PEMAHAT, PELUKIS DAN SENIMAN YANG SEJENIS</t>
  </si>
  <si>
    <t>PENGUBAH LAGU, PEMUSIK DAN PENYANYI</t>
  </si>
  <si>
    <t>PENCIPTA TARI DAN PENARI</t>
  </si>
  <si>
    <t>PEMAIN FILM, SUTRADARA FILM, DIREKTUR PANGGUNG DAN YANG SEJENIS</t>
  </si>
  <si>
    <t>PAKAR KEAGAMAAN</t>
  </si>
  <si>
    <t>TEKNISI DAN KELOMPOK JABATAN YANG SEJENIS</t>
  </si>
  <si>
    <t>TEKNISI ILMU KIMIA DAN FISIKA</t>
  </si>
  <si>
    <t>TEKNISI PEREKAYASAAN SIPIL</t>
  </si>
  <si>
    <t>TEKNISI PEREKAYASAAN LISTRIK</t>
  </si>
  <si>
    <t>TEKNISI PEREKAYASAAN ELEKTRONIKA &amp; TELEKOMUNIKASI</t>
  </si>
  <si>
    <t>TEKNISI PEREKAYASAAN MEKANIK</t>
  </si>
  <si>
    <t>TEKNISI PEREKAYASAAN KIMIA</t>
  </si>
  <si>
    <t>TEKNISI PERTAMBANGAN DAN METALURGI</t>
  </si>
  <si>
    <t>PERANCANG GAMBAR</t>
  </si>
  <si>
    <t>TEKNISI ILMU FISIKA DAN PEREKAYASAAN YANG TIDAK DAPAT DIKLASIFKASIKAN DI 3111 S/D 3118</t>
  </si>
  <si>
    <t>ASISTEN KOMPUTER</t>
  </si>
  <si>
    <t>OPERATOR PERLENGKAPAN KOMPUTER</t>
  </si>
  <si>
    <t>PENGONTROL ROBOT INDUSTRI</t>
  </si>
  <si>
    <t>PHOTOGRAFER OPERATOR PERALATAN REKAMAN GAMBAR DAN SUARA</t>
  </si>
  <si>
    <t>OPERATOR PERLENGKAPAN RADIO DAN TELEKOMUNIKASI</t>
  </si>
  <si>
    <t>OPERATOR PERALATAN MEDIK</t>
  </si>
  <si>
    <t>PEREKAYASA KAPAL LAUT</t>
  </si>
  <si>
    <t>PERWIRA DEK KAPAL LAUT DAN PILOT</t>
  </si>
  <si>
    <t>PILOT PESAWAT UDARA &amp; PROFESIONALIS SEJENIS</t>
  </si>
  <si>
    <t>PENGONTROL LALULINTAS UDARA</t>
  </si>
  <si>
    <t>PENGAWAS BANGUNAN DAN KEBAKARAN</t>
  </si>
  <si>
    <t>PENGAWAS KESELAMATAN KESEHATAN DAN KUALITAS</t>
  </si>
  <si>
    <t>TEKNISI ILMU HAYAT</t>
  </si>
  <si>
    <t>TEKNISI AGRONOMI DAN KEHUTANAN</t>
  </si>
  <si>
    <t>PENASEHAT PERTANIAN DAN KEHUTANAN</t>
  </si>
  <si>
    <t>ASISTEN MEDIKAL</t>
  </si>
  <si>
    <t>SANITARIAN</t>
  </si>
  <si>
    <t>NUTRISIS DAN DIESTRISIAN</t>
  </si>
  <si>
    <t>OPTOMETRIS DAN OPTOSIAN</t>
  </si>
  <si>
    <t>ASISTEN DOKTER GIGI</t>
  </si>
  <si>
    <t>PHISIOTERAPIS DAN PROFESIONALIS SEJENIS</t>
  </si>
  <si>
    <t>ASISTEN DOKTER HEWAN</t>
  </si>
  <si>
    <t>ASISTEN PHARMASI</t>
  </si>
  <si>
    <t>PROFESIONALIS KESEHATAN MODERN (KECUALI PERAWAT)YTDL</t>
  </si>
  <si>
    <t>PROFESIONALIS PERAWAT</t>
  </si>
  <si>
    <t>BIDAN PROFESIONALIS</t>
  </si>
  <si>
    <t>PRAKTISI PENGOBATAN TRADISIONAL</t>
  </si>
  <si>
    <t>PENYEMBUH KEBATINAN</t>
  </si>
  <si>
    <t>PROFESIONALIS GURU PENDIDIKAN DASAR</t>
  </si>
  <si>
    <t>ASOSIASI PROFESI GURU PENDIDIKAN PRA SEKOLAH DASAR</t>
  </si>
  <si>
    <t>ASOSIASI PROFESI GURU PENDIDIKAN KHUSUS</t>
  </si>
  <si>
    <t>PROFESIONALIS KELOMPOK GURU LAINNYA</t>
  </si>
  <si>
    <t>PEDAGANG DAN MAKELAR SURAT BERHARGA DAN KEUANGAN</t>
  </si>
  <si>
    <t>PENCARI PELANGGAN ASURANSI</t>
  </si>
  <si>
    <t>AGEN PROPERTI</t>
  </si>
  <si>
    <t>KONSULTAN DAN PENYUSUN PERJALANAN</t>
  </si>
  <si>
    <t>WAKIL PENJUAL TEKNIS DAN KOMERSIAL</t>
  </si>
  <si>
    <t>PEMBELI</t>
  </si>
  <si>
    <t>PENAKSIR, PENILAI DAN PELELANG</t>
  </si>
  <si>
    <t>MAKELAR PERDAGANGAN</t>
  </si>
  <si>
    <t>AGEN KLIRING DAN PENGIRIMAN</t>
  </si>
  <si>
    <t>AGEN KETENAGAKERJAAN DAN PENGERAH TENAGA KERJA</t>
  </si>
  <si>
    <t>AGEN USAHA JASA DAN MAKELAR PERDAGANGAN YTDL</t>
  </si>
  <si>
    <t>SEKRETARIS ADMINISTRASI DAN ASOSIASI PROFESI SEJENIS</t>
  </si>
  <si>
    <t>ASOSIASI PROFESI, PERDAGANGAN DAN HUKUM</t>
  </si>
  <si>
    <t>PEMEGANG BUKU</t>
  </si>
  <si>
    <t>KELOMPOK PROFESIONALIS STATISTIK, MATEMATIKA DAN SEJENISNYA</t>
  </si>
  <si>
    <t>ASOSIASI PROFESI ADMINISTRASI YANG TIDAK DAPAT DIKLASIFIKASIKAN PADA SUB GOLONGAN 3431 S/D 3434</t>
  </si>
  <si>
    <t>INSPEKTUR BEA CUKAI DAN PABEAN</t>
  </si>
  <si>
    <t>PETUGAS PAJAK DAN BEA CUKAI PEMERINTAH</t>
  </si>
  <si>
    <t>PETUGAS PENGHITUNG KEUNTUNGAN SOSIAL PEMERINTAH</t>
  </si>
  <si>
    <t>PETUGAS PERIJINAN PEMERINTAH</t>
  </si>
  <si>
    <t>ASOSIASI PROFESI BEA CUKAI, PAJAK DAN PEJABAT PEMERINTAH YTDL</t>
  </si>
  <si>
    <t>INSPEKTUR POLISI DAN DETEKTIF</t>
  </si>
  <si>
    <t>ASOSIASI PROFESI PEKERJA SOSIAL</t>
  </si>
  <si>
    <t>DEKORATOR DAN PERANCANG KOMERSIAL</t>
  </si>
  <si>
    <t>PENYIAR RADIO, TV DAN PENYIAR LAINNYA</t>
  </si>
  <si>
    <t>MUSIKUS, PENARI DAN PENARI JALANAN KLUB MALAM DAN SEJENISNYA</t>
  </si>
  <si>
    <t>BADUT, PESULAP, PEMAIN AKROBAT DAN ASOSIASI PROFESI SEJENIS</t>
  </si>
  <si>
    <t>PEMAIN ATLETIK DAN OLAHRAGAWAN DAN KELOMPOK PROFESIONAL SEJENIS</t>
  </si>
  <si>
    <t>ASOSIASI PROFESI KEAGAMAAN</t>
  </si>
  <si>
    <t>PENATA USAHA</t>
  </si>
  <si>
    <t>STENOGRAF DAN PENGETIK</t>
  </si>
  <si>
    <t>OPERATOR PENGOLAH DATA DAN SEJENIS</t>
  </si>
  <si>
    <t>OPERATOR DATA ENTRI</t>
  </si>
  <si>
    <t>OPERATOR MESIN PENGHITUNG</t>
  </si>
  <si>
    <t>PENATA USAHA AKUNTAN PEMBUKUAN</t>
  </si>
  <si>
    <t>PENATA USAHA STATISTIK DAN KEUANGAN</t>
  </si>
  <si>
    <t>PENATA USAHA PERSEDIAAN</t>
  </si>
  <si>
    <t>PENATA USAHA PRODUKSI</t>
  </si>
  <si>
    <t>PENATA USAHA ANGKUTAN</t>
  </si>
  <si>
    <t>PENATA USAHA PERPUSTAKAAN DAN ARSIP</t>
  </si>
  <si>
    <t>PENATA USAHA PENGIRIMAN DAN PENYORTITAN SURAT</t>
  </si>
  <si>
    <t>PENATA USAHA PENGKODEAN, CETAK BACAAN DAN SEJENIS</t>
  </si>
  <si>
    <t>PENULIS DAN PEKERJA SEJENIS</t>
  </si>
  <si>
    <t>PENATA USAHA KANTOR LAINNYA</t>
  </si>
  <si>
    <t>KASIR DAN PENATA USAHA TIKET</t>
  </si>
  <si>
    <t>TELER DAN PENATA USAHA TEMPAT PEMBAYARAN LAINNYA</t>
  </si>
  <si>
    <t>BANDAR DAN PRAMU JUDI</t>
  </si>
  <si>
    <t>PEMILIK RUMAH GADAI DAN PEMBERI PINJAMAN UANG</t>
  </si>
  <si>
    <t>PENAGIH HUTANG DAN PEKERJA SEJENIS</t>
  </si>
  <si>
    <t>RESEPSIONIS DAN PENATA USAHA INFORMASI</t>
  </si>
  <si>
    <t>OPERATOR PAPAN PENYAMBUNGAN TELEPON</t>
  </si>
  <si>
    <t>TENAGA USAHA JASA DAN PENJUAL DAGANGAN DI TOKO DAN PASAR</t>
  </si>
  <si>
    <t>PRAMUGARA DAN PRAMUGARI PERJALANAN</t>
  </si>
  <si>
    <t>KONDEKTUR PERJALANAN</t>
  </si>
  <si>
    <t>PEMANDU PERJALANAN</t>
  </si>
  <si>
    <t>PELAYAN, PRAMU RUMAH TANGGA DAN YANG SEJENIS</t>
  </si>
  <si>
    <t>JURU MASAK</t>
  </si>
  <si>
    <t>PRAMU RESTORAN DAN BAR</t>
  </si>
  <si>
    <t>PENGASUH ANAK</t>
  </si>
  <si>
    <t>PENGASUH PADA LEMBAGA PERORANGAN</t>
  </si>
  <si>
    <t>PERAWAT PERORANGAN DAN YANG SEJENIS</t>
  </si>
  <si>
    <t>PEMANGKAS RAMBUT, PENATA RAMBUT PERAWAT KECANTIKAN DAN YANG SEJENIS</t>
  </si>
  <si>
    <t>PRAMURIA DAN PELAYAN PRIA</t>
  </si>
  <si>
    <t>PENGURUS PEMAKAMAN DAN PEMBALSEMAN JENASAH</t>
  </si>
  <si>
    <t>PEKERJA JASA PERORANGAN YANG TIDAK DAPAT DIKLASIFIKASIKAN DI TEMPAT LAIN</t>
  </si>
  <si>
    <t>PERAMAL BINTANG DAN SEJENIS</t>
  </si>
  <si>
    <t>AHLI NUJUM, PERAMAL GARIS TANGAN DAN SEJENIS</t>
  </si>
  <si>
    <t>PEMADAM KEBAKARAN</t>
  </si>
  <si>
    <t>POLISI</t>
  </si>
  <si>
    <t>SIPIR PENJARA</t>
  </si>
  <si>
    <t>TENAGA JASA PERLINDUNGAN YANG TIDAK DAPAT DIKLASIFIKASIKAN DI TEMPAT</t>
  </si>
  <si>
    <t>PRAGAWAN DAN PRAGAWATI</t>
  </si>
  <si>
    <t>PRAMUNIAGA DAN PEMERAGA BARANG DI TOKO</t>
  </si>
  <si>
    <t>TENAGA PENJUALAN DI PASAR DAN PEDAGANG PINGGIR JALAN</t>
  </si>
  <si>
    <t>PEKERJA-PEKERJA KETERAMPILAN BIDANG PERTANIAN DAN PERIKANAN</t>
  </si>
  <si>
    <t>PENANAM LADANG DAN SAYURAN</t>
  </si>
  <si>
    <t>PENANAM POHON DAN PERKEBUNAN</t>
  </si>
  <si>
    <t>PEKERJA KEBUN HOLTIKULTURA DAN PERAWAT TUMBUHAN</t>
  </si>
  <si>
    <t>PENANAM TANAMAN CAMPURAN</t>
  </si>
  <si>
    <t>PRODUSEN SUSU DAN PETERNAK</t>
  </si>
  <si>
    <t>PRODUSEN TERNAK UNGGAS</t>
  </si>
  <si>
    <t>PETERNAK LEBAH DAN ULAT SUTERA</t>
  </si>
  <si>
    <t>PRODUSEN2 DAN JABATAN2 YANG BERHUBUNGAN DENGAN PEMASARAN HEWAN HASIL HEWAN TERNAK</t>
  </si>
  <si>
    <t>TENAGA PEMASARAN HASIL TANAMAN DAN HEWAN</t>
  </si>
  <si>
    <t>PEKERJA KEHUTANAN DAN PENEBANG KAYU</t>
  </si>
  <si>
    <t>PEKERJA PEMBAKARAN ARANG DAN PEKERJAAN YBDI</t>
  </si>
  <si>
    <t>PETANI IKAN DARAT</t>
  </si>
  <si>
    <t>PEKERJA PERIKANAN TAMBAK DAN LAUT</t>
  </si>
  <si>
    <t>NELAYAN</t>
  </si>
  <si>
    <t>PEMBURU DAN PEMASANGAN PERANGKAP</t>
  </si>
  <si>
    <t>PEKERJA BERMATA PENCAHARIAN PERTANIAN</t>
  </si>
  <si>
    <t>PEKERJA KASAR TERAMPIL DAN SEJENISNYA YBDL</t>
  </si>
  <si>
    <t>PENAMBANG BATU, JURU TEMBAK DAN LEDAK ( TAMBANG )</t>
  </si>
  <si>
    <t>TEKNISI PELEDAKAN DAN PELEDAK</t>
  </si>
  <si>
    <t>PEMECAH BATU, PEMOTONG DAN PEMAHAT</t>
  </si>
  <si>
    <t>TUKANG BANGUNAN DARI BAHAN TRADISIONAL</t>
  </si>
  <si>
    <t>PEMASANG KERAMIK DAN TUKANG BATU</t>
  </si>
  <si>
    <t>PEMASANG BETON CETAKAN, TUKANG POLES DAN SEJENISNYA</t>
  </si>
  <si>
    <t>TUKANG KAYU DAN PEMBUAT PERABOT RUMAH TANGGA DARI KAYU</t>
  </si>
  <si>
    <t>TUKANG PASANG ATAP</t>
  </si>
  <si>
    <t>TUKANG PASANG UBIN DAN GENTENG</t>
  </si>
  <si>
    <t>TUKANG PLESTER</t>
  </si>
  <si>
    <t>TUKANG PASANG SEKAT</t>
  </si>
  <si>
    <t>TUKANG KACA</t>
  </si>
  <si>
    <t>TUKANG LEDENG DAN TUKANG PASANG PIPA</t>
  </si>
  <si>
    <t>TEKNISI LISTRIK GEDUNG DAN SEJENIS</t>
  </si>
  <si>
    <t>TUKANG CAT DAN YANG SEJENIS</t>
  </si>
  <si>
    <t>TUKANG PERNIS/PELITUR DAN YANG SEJENIS</t>
  </si>
  <si>
    <t>PEMBERSIH GEDUNG</t>
  </si>
  <si>
    <t>TUKANG CETAK LOGAM</t>
  </si>
  <si>
    <t>TUKANG LAS</t>
  </si>
  <si>
    <t>PEMBUAT BARANG LOGAM LEMBARAN</t>
  </si>
  <si>
    <t>PEMBUAT BAHAN BANGUNAN DARI LOGAM</t>
  </si>
  <si>
    <t>PEMASANG DAN PENYAMBUNG TALI KABEL MESIN DEREK</t>
  </si>
  <si>
    <t>PEKERJA BAWAH AIR</t>
  </si>
  <si>
    <t>PANDE BESI, TUKANG TEMPA DAN PELAYAN MESIN PRES BARANG LOGAM</t>
  </si>
  <si>
    <t>PEMBUAT PERKAKAS DAN SEJENISNYA</t>
  </si>
  <si>
    <t>TUKANG POTONG MESIN PERKAKAS DAN OPERATOR PASANG MESIN PERKAKAS</t>
  </si>
  <si>
    <t>TUKANG GURINDA (BERODA), TUKANG POLES DAN ASAH PERKAKAS</t>
  </si>
  <si>
    <t>MONTIR KENDARAAN BERMOTOR DAN PEMASANG MESIN KENDARAAN BERMOTOR</t>
  </si>
  <si>
    <t>MEKANIK PESAWAT TERBANG DAN PENYETEL MESIN</t>
  </si>
  <si>
    <t>TEKNISI MESIN PERTANIAN ATAU TEKNISI MESIN INDUSTRI DAN PEMASANG MESIN PERTANIAN/MESIN INDUSTRI</t>
  </si>
  <si>
    <t>TEKNISI LISTRIK DAN PEMASANG LISTRIK</t>
  </si>
  <si>
    <t>PENYETEL PERALATAN ELEKTRONIK</t>
  </si>
  <si>
    <t>MEKANIK DAN PENSERVIS BARANG ELEKTRONIK</t>
  </si>
  <si>
    <t>INSTALATOR DAN TEKNISI PESAWAT TELEPON DAN TELEGRAF</t>
  </si>
  <si>
    <t>INSTALATOR JARINGAN KABEL DAN TEKNISI JARINGAN KABEL</t>
  </si>
  <si>
    <t>PEMBUAT DAN PEREPARASI INSTRUMEN PRESISI</t>
  </si>
  <si>
    <t>PEMBUAT DAN PENYETEM INSTRUMEN MUSIK</t>
  </si>
  <si>
    <t>TUKANG INTAN PERMATA DAN PEKERJA LOGAM BERHARGA</t>
  </si>
  <si>
    <t>PEMBUAT ALAT PENGGOSOK BERODA, PEMBUAT BARANG-BARANG TEMBIKAR DAN SEJENISNYA</t>
  </si>
  <si>
    <t>PEMBUAT GELAS DAN SEJENIS</t>
  </si>
  <si>
    <t>PENGGAMBAR DAN PENGUKIR GELAS DAN KACA</t>
  </si>
  <si>
    <t>PELUKIS DEKORASI BARANG DARI GELAS KERAMIK SERTA SERTA HIASAN SEJENIS</t>
  </si>
  <si>
    <t>PENGRAJIN KAYU DAN BAHAN LAIN YANG SEJENIS</t>
  </si>
  <si>
    <t>PENGRAJIN TEKSTIL KULIT DAN BAHAN LAIN YANG SEJENIS</t>
  </si>
  <si>
    <t>TUKANG PASANG HURUF, TUKANG SUSUN HURUF DAN JABATAN YANG SEJENIS</t>
  </si>
  <si>
    <t>PEMBUAT KLISE STEREOTYPE DAN ELECTRONIK</t>
  </si>
  <si>
    <t>OPERATOR MESIN PEMBUAT KLISE, CETAK DAN PENYEKETSA KLISE</t>
  </si>
  <si>
    <t>FOTOGRAFER DAN JABATAN SEJENIS</t>
  </si>
  <si>
    <t>PENJILID BUKU DAN JABATAN SEJENISNYA</t>
  </si>
  <si>
    <t>TUKANG CETAK KASA SUTRA BALOK DAN TEKSTIL</t>
  </si>
  <si>
    <t>TUKANG POTONG HEWAN, PENJUAL DAGING DAN PENGOLAH MAKANAN DAN JABATAN SEJENIS</t>
  </si>
  <si>
    <t>PEMBUAT ROTI, KUE DAN KEMBANG GULA</t>
  </si>
  <si>
    <t>PENGOLAH DAN PENGHASIL SUSU</t>
  </si>
  <si>
    <t>PENGAWET BUAH DAN SAYURAN</t>
  </si>
  <si>
    <t>PENCICIP DAN PEMERIKSA MAKANAN DAN MINUMAN</t>
  </si>
  <si>
    <t>PENYIAP DAN PENGOLAH PRODUK TEMBAKAU</t>
  </si>
  <si>
    <t>PENGAWET KAYU</t>
  </si>
  <si>
    <t>PEMBUAT LEMARI DAN JABATAN YANG SEJENIS</t>
  </si>
  <si>
    <t>PEMASANG DAN OPERATOR MESIN PENGOLAH KAYU</t>
  </si>
  <si>
    <t>PENGANYAM KERANJANG DAN JABATAN SEJENIS</t>
  </si>
  <si>
    <t>PENGOLAH SERAT</t>
  </si>
  <si>
    <t>PENENUN, PERAJUT DAN JABATAN SEJENIS</t>
  </si>
  <si>
    <t>PENJAHIT, PEMBUAT PAKAIAN WANITA DAN PEMBUAT TOPI</t>
  </si>
  <si>
    <t>PEDAGANG/PEMBUAT PAKAIAN BULU DAN JABATAN SEJENIS</t>
  </si>
  <si>
    <t>PEMOTONG POLA PAKAIAN, KULIT DAN JABATAN SEJENIS</t>
  </si>
  <si>
    <t>PENJAHIT, PENYULAM DAN JABATAN SEJENIS</t>
  </si>
  <si>
    <t>TUKANG MELAPISI PERABOT RUMAH DAN JABATAN YANG SEJENIS</t>
  </si>
  <si>
    <t>JURU RIAS KULIT, BULU, PENYAMAK KULIT DAN PEDAGANG KULIT BINATANG</t>
  </si>
  <si>
    <t>PEMBUAT SEPATU DAN JABATAN SEJENIS</t>
  </si>
  <si>
    <t>OPERATOR DAN PERAKIT MESIN DAN MESIN PABRIK</t>
  </si>
  <si>
    <t>OPERATOR PABRIK PERTAMBANGAN</t>
  </si>
  <si>
    <t>OPERATOR MESIN UNTUK PENGOLAHAN BAHAN GALIAN BIJI BESI DAN BATU</t>
  </si>
  <si>
    <t>PEMBOR DAN PENGGALI SUMUR DAN YBDI</t>
  </si>
  <si>
    <t>OPERATOR TUNGKU PELEBURAN LOGAM DAN BIJI BESI</t>
  </si>
  <si>
    <t>OPERATOR PELEBURAN LOGAM, PENGGILINGAN DAN PENGAIL LOGAM</t>
  </si>
  <si>
    <t>PEMBENTUK DAN PENGERAS LOGAM</t>
  </si>
  <si>
    <t>OPERATOR MESIN KACA, SERTA ALAT PEMBAKAR KERAMIK DAN YBDI</t>
  </si>
  <si>
    <t>OPERATOR PABRIK KACA, KERAMIK SERTA YANG SEJENIS</t>
  </si>
  <si>
    <t>OPERATOR MESIN PABRIK PENGOLAHAN KAYU</t>
  </si>
  <si>
    <t>OPERATOR MESIN PABRIK BUBUR KERTAS</t>
  </si>
  <si>
    <t>OPERATOR MESIN PABRIK PEMBUAT KERTAS</t>
  </si>
  <si>
    <t>OPERATOR MESIN PENUMBUK, PENGGILING DAN PENCAMPUR BAHAN KIMIA</t>
  </si>
  <si>
    <t>OPERATOR MESIN PABRIK PEMANASAN BAHAN KIMIA</t>
  </si>
  <si>
    <t>OPERATOR PERALATAN PENYARING DAN PEMISAH BAHAN KIMIA</t>
  </si>
  <si>
    <t>OPERATOR REAKTOR DAN PENYULINGAN DAN BAHAN KIMIA (KECUALI MINYAK TANAH DAN GAS BUMI)</t>
  </si>
  <si>
    <t>OPERATOR MESIN PABRIK PENYARING MINYAK DAN GAS</t>
  </si>
  <si>
    <t>OPERATOR PABRIK PENGOLAH BAHAN KIMIA YTDL</t>
  </si>
  <si>
    <t>OPERATOR MESIN PABRIK TENAGA PRODUKSI</t>
  </si>
  <si>
    <t>OPERATOR MESIN UAP DAN KETEL UAP</t>
  </si>
  <si>
    <t>OPERATOR MESIN LISTRIK PEMBAKARAN, PENGOLAHAN AIR DAN PEMBAKARAN SAMPAH</t>
  </si>
  <si>
    <t>OPERATOR PERAKITAN AUTOMATIS</t>
  </si>
  <si>
    <t>OPERATOR ROBOT INDUSTRI</t>
  </si>
  <si>
    <t>OPERATOR PERALATAN MESIN</t>
  </si>
  <si>
    <t>OPERATOR MESIN PRODUKSI SEMEN DAN MINERAL LAINNYA</t>
  </si>
  <si>
    <t>OPERATOR MESIN PRODUKSI BARANG FARMASI DAN KOSMETIK</t>
  </si>
  <si>
    <t>OPERATOR MESIN PRODUKSI BAHAN PELEDAK DAN AMUNISI</t>
  </si>
  <si>
    <t>OPERATOR MESIN PELAPIS, PENYEPUH DAN PENYEMPURNA LOGAM</t>
  </si>
  <si>
    <t>OPERATOR MESIN PRODUKSI BARANG FOTOGRAFIS</t>
  </si>
  <si>
    <t>OPERATOR MESIN BARANG BAHAN KIMIA YTDL</t>
  </si>
  <si>
    <t>OPERATOR MESIN BARANG DARI KARET</t>
  </si>
  <si>
    <t>OPERATOR MESIN PRODUKSI BARANG DARI PLASTIK</t>
  </si>
  <si>
    <t>OPERATOR MESIN PRODUKSI KAYU</t>
  </si>
  <si>
    <t>OPERATOR MESIN CETAK</t>
  </si>
  <si>
    <t>OPERATOR MESIN PENJILID BUKU</t>
  </si>
  <si>
    <t>OPERATOR MESIN PRODUKSI BARANG DARI KERTAS</t>
  </si>
  <si>
    <t>OPERATOR MESIN PENYEDIAAN SERAT PEMINTALAN DAN PENGGULUNGAN BENANG</t>
  </si>
  <si>
    <t>OPERATOR MESIN RAJUT DAN TENUN</t>
  </si>
  <si>
    <t>OPERATOR MESIN JAHIT</t>
  </si>
  <si>
    <t>OPERATOR MESIN PEMBERSIH, PEMUTIH DAN PEWARNA</t>
  </si>
  <si>
    <t>OPERATOR MESIN PENGOLAH BUKU BINATANG DAN KULIT</t>
  </si>
  <si>
    <t>OPERATOR MESIN PEMBUAT SEPATU DAN YBDI</t>
  </si>
  <si>
    <t>OPERATOR MESIN PRODUKSI TEKSTIL, KULIT BINATANG &amp; YBDI</t>
  </si>
  <si>
    <t>OPERATOR MESIN PENGOLAH DAGING DAN IKAN</t>
  </si>
  <si>
    <t>OPERATOR MESIN PENGOLAH PRODUKSI SUSU</t>
  </si>
  <si>
    <t>OPERATOR MESIN PENGGILING PADI-PADIAN DAN REMPAH/BUMBU</t>
  </si>
  <si>
    <t>OPERATOR MESIN PENGHASIL COKLAT, BIJI-BIJIAN DAN ROTI</t>
  </si>
  <si>
    <t>OPERATOR MESIN PENGOLAH KACANG-KACANGAN, SAYUR-SAYURAN DAN BUAH-BUAHAN</t>
  </si>
  <si>
    <t>OPERATOR MESIN PRODUKSI GULA</t>
  </si>
  <si>
    <t>OPERATOR MESIN PENGOLAH TEH, KOPI DAN COKLAT</t>
  </si>
  <si>
    <t>OPERATOR MESIN PEMBUAT MINUMAN KERAS, MINUMAN RINGAN DAN MINUMAN LAINNYA</t>
  </si>
  <si>
    <t>OPERATOR MESIN PENGOLAH TEMBAKAU</t>
  </si>
  <si>
    <t>PERAKIT MESIN MEKANIK</t>
  </si>
  <si>
    <t>PERAKIT PERALATAN LISTRIK</t>
  </si>
  <si>
    <t>PERAKIT PERALATAN ELEKTRONIK</t>
  </si>
  <si>
    <t>PERAKIT BARANG LOGAM, KARET DAN PLASTIK</t>
  </si>
  <si>
    <t>PERAKIT KAYU DAN BARANG-BARANG YANG SEJENIS</t>
  </si>
  <si>
    <t>PERAKIT KARTON (PAPER BOARD) TEKSTIL DAN BARANG SEJENIS</t>
  </si>
  <si>
    <t>PERAKIT DAN OPERATOR MESIN LAINNYA</t>
  </si>
  <si>
    <t>MASINIS MESIN LOKOMOTIF</t>
  </si>
  <si>
    <t>PELAYAN REM KERETA API, PESINYAL DAN PELANGSIR KERETA API</t>
  </si>
  <si>
    <t>PENGEMUDI KENDARAAN BERMOTOR</t>
  </si>
  <si>
    <t>PENGEMUDI MOBIL, TAXI DAN MOBIL ANGKUTAN</t>
  </si>
  <si>
    <t>PENGEMUDI BUS DAN KENDARAAN LISTRIK</t>
  </si>
  <si>
    <t>PENGEMUDI TRUK DAN KENDARAAN ANGKUTAN BARANG</t>
  </si>
  <si>
    <t>OPERATOR MESIN KENDARAAN PERTANIAN DAN KEHUTANAN</t>
  </si>
  <si>
    <t>OPERATOR MESIN PENGANGKUT YANAH DAN YBDI</t>
  </si>
  <si>
    <t>OPERATOR MESIN DEREK SERTA ALAT PENGANGKAT &amp; YBDI</t>
  </si>
  <si>
    <t>OPERATOR TRUK PENGANGKUT</t>
  </si>
  <si>
    <t>KELASI KAPAL DAN PEKERJA YBDI</t>
  </si>
  <si>
    <t>PEKERJA KASAR</t>
  </si>
  <si>
    <t>PEDAGANG KAKI LIMA DI JALANAN</t>
  </si>
  <si>
    <t>PEDAGANG KAKI LIMA JALANAN PRODUK BUKAN MAKANAN</t>
  </si>
  <si>
    <t>PEDAGANG DARI RUMAH KE RUMAH ATAU MELALUI TELEPON</t>
  </si>
  <si>
    <t>PENYEMIR SEPATU DAN PEKERJA JASA JALANAN LAINNYA</t>
  </si>
  <si>
    <t>PEMBERSIH DAN PRAMU WISMA</t>
  </si>
  <si>
    <t>PEMBERSIH DAN PEMBANTU DI KANTOR, HOTEL DAN PERUSAHAAN LAINNYA</t>
  </si>
  <si>
    <t>PENATU DAN PENGEPRES DENGAN TANGAN</t>
  </si>
  <si>
    <t>PENGURUS GEDUNG</t>
  </si>
  <si>
    <t>PEMBERSIH KENDARAAN, JENDELA DAN SEJENISNYA</t>
  </si>
  <si>
    <t>PESURUH PEMBAWA DAN PENGIRIM PAKET DAN BARANG BAWAAN</t>
  </si>
  <si>
    <t>PENJAGA PINTU, PENJAGA KEAMANAN DAN PEKERJA SEJENIS</t>
  </si>
  <si>
    <t>PENGUMPUL UANG MESIN PENJAJA PEMBACA METERAN DAN PEKERJA SEJENIS</t>
  </si>
  <si>
    <t>PENYAPU DAN PEKERJA SEJENIS</t>
  </si>
  <si>
    <t>PETANI TRADISIONAL DAN PEKERJA PERTANIAN</t>
  </si>
  <si>
    <t>PEKERJA KEHUTANAN</t>
  </si>
  <si>
    <t>NELAYAN, PEMBURU DAN PEKERJA PEMASANG PERANGKAP</t>
  </si>
  <si>
    <t>PEKERJA PERTAMBANGAN DAN PENGGALIAN</t>
  </si>
  <si>
    <t>PEKERJA KONSTRUKSI DAN PERAWAT JALAN, BENDUNGAN DAN KONSTRUKSI SEJENIS</t>
  </si>
  <si>
    <t>PEKERJA KONSTRUKSI GEDUNG</t>
  </si>
  <si>
    <t>PEKERJA PERAKITAN</t>
  </si>
  <si>
    <t>PEKERJA PENGEMAS DENGAN TANGAN DAN PEKERJA PABRIK LAINNYA</t>
  </si>
  <si>
    <t>PENGEMUDI KENDARAAN KAYUH ATAU KENDARAAN DORONG</t>
  </si>
  <si>
    <t>PENGEMUDI MESIN DAN KENDARAAN YANG DITARIK HEWAN</t>
  </si>
  <si>
    <t>PEMBONGKAR MUAT</t>
  </si>
  <si>
    <t>IPK III/4: LOWONGAN KERJA YANG TERDAFTAR, DITEMPATKAN DAN DIHAPUSKAN DI</t>
  </si>
  <si>
    <t>LAINNYA</t>
  </si>
  <si>
    <t>DIPLOMA II / AKTA II</t>
  </si>
  <si>
    <t>BAHSA INDONESIA</t>
  </si>
  <si>
    <t>METEROLOGI DAN GEOFISIKA</t>
  </si>
  <si>
    <t>EKNIK GEODESI/GEOLOGI</t>
  </si>
  <si>
    <t>IPK III/5 : LOWONGAN KERJA YANG TERDAFTAR, DITEMPATKAN DAN DIHAPUSKAN DI</t>
  </si>
  <si>
    <t>KABUPATEN PASER MENURUT GOLONGAN JABATAN</t>
  </si>
  <si>
    <t xml:space="preserve">                                                                                                                                                                                           </t>
  </si>
  <si>
    <t>MANAJER PRODUKSI DAN OPERASI DOKUMEN DALAM BIDANG PERDAGANGA BESAR DAN ECERAN</t>
  </si>
  <si>
    <t>TENAGA PROFESIONAL BIDANG BISNIS YANG TIDAK DAPATDIKLASIFIKASIKAN PADA SUB GOLONGAN 2411 DAN 2412</t>
  </si>
  <si>
    <t>KELOMPOK PROFESIONALIS STATISTIK, MATEMATI DAN SEJENISNYA</t>
  </si>
  <si>
    <t>ASOSIASI PROFESI EKERJA SOSIAL</t>
  </si>
  <si>
    <t>PEMANGKAS RAMBUT, PENATA RAMBUT PERAWATKECANTIKAN DAN YANG SEJENIS</t>
  </si>
  <si>
    <t>PEMBUAT KERANGKA BANGUNAN JABATAN SEJENIS YANG TIDAK DAPAT DIKLASIFIKASIKAN</t>
  </si>
  <si>
    <t>IPK III/6 : LOWONGAN KERJA YANG TERDAFTAR, DITEMPATKAN DAN DIHAPUSKAN DI</t>
  </si>
  <si>
    <t>KABUPATEN PASER MENURUT GOLONGAN POKOK LAPANGAN USAHA</t>
  </si>
  <si>
    <t>Golongan Pokok Lapangan Usaha</t>
  </si>
  <si>
    <t>A</t>
  </si>
  <si>
    <t>PERTANIAN, KEHUTANAN DAN PERIKANAN</t>
  </si>
  <si>
    <t>PERTANIAN TANAMAN SEMUSIM</t>
  </si>
  <si>
    <t>PERTANIAN TANAMAN TAHUNAN</t>
  </si>
  <si>
    <t>PERTANIAN TANAMAN HIAS DAN PENGEMBANGBIAKAN TANAMAN</t>
  </si>
  <si>
    <t>JASA PENUNJANG PERTANIAN DAN PASCA PANEN</t>
  </si>
  <si>
    <t>PERBURUAN, PENANGKAPAN DAN PENANGKARAN SATWA LIAR</t>
  </si>
  <si>
    <t>PENGUSAHAAN HUTAN</t>
  </si>
  <si>
    <t>PENEBANGAN DAN PEMUNGUTAN KAYU</t>
  </si>
  <si>
    <t>PEMUNGUTAN HASIL HUTAN BUKAN KAYU</t>
  </si>
  <si>
    <t>JASA PENUNJANG KEHUTANAN</t>
  </si>
  <si>
    <t>PERIKANAN TANGKAP</t>
  </si>
  <si>
    <t>PERIKANAN BUDIDAYA</t>
  </si>
  <si>
    <t>B</t>
  </si>
  <si>
    <t>PERTAMBANGAN DAN PENGGALIAN</t>
  </si>
  <si>
    <t>PERTAMBANGAN BATU BARA</t>
  </si>
  <si>
    <t>PERTAMBANGAN LIGNIT</t>
  </si>
  <si>
    <t>PERTAMBANGAN MINYAK BUMI</t>
  </si>
  <si>
    <t>PERTAMBANGAN GAS ALAM DAN PANAS BUMI</t>
  </si>
  <si>
    <t>PERTAMBANGAN PASIR BESI DAN BIJIH BESI</t>
  </si>
  <si>
    <t>PERTAMBANGAN BIJIH LOGAM YANG TIDAK MENGANDUNG BESI,TIDAK TERMASUK BIJIH LOGAM MULIA</t>
  </si>
  <si>
    <t>PERTAMBANGAN BIJIH LOGAM MULIA</t>
  </si>
  <si>
    <t>PENGGALIAN BATU, PASIR DAN TANAH LIAT</t>
  </si>
  <si>
    <t>PERTAMBANGAN DAN PENGGALIAN LAINNYA YTDL</t>
  </si>
  <si>
    <t>JASA PERTAMBANGAN MINYAK BUMI DAN GAS ALAM</t>
  </si>
  <si>
    <t>JASA PERTAMBANGAN DAN PENGGALIAN LAINNYA</t>
  </si>
  <si>
    <t>C</t>
  </si>
  <si>
    <t>INDUSTRI PENGOLAHAN</t>
  </si>
  <si>
    <t>INDUSTRI PENGOLAHAN DAN PENGAWETAN DAGING</t>
  </si>
  <si>
    <t>INDUSTRI PENGOLAHAN DAN PENGAWETAN IKAN DAN BIOTA AIR</t>
  </si>
  <si>
    <t>INDUSTRI PENGOLAHAN DAN PENGAWETAN BUAH-BUAHAN DAN SAYURAN</t>
  </si>
  <si>
    <t>INDUSTRI MINYAK MAKAN DAN LEMAK NABATI DAN HEWANI</t>
  </si>
  <si>
    <t>INDUSTRI PENGOLAHAN SUSU, PRODUK DARI SUSU DAN ES KRIM</t>
  </si>
  <si>
    <t>INDUSTRI PENGGILINGAN PADI-PADIAN, TEPUNG DAN PATI</t>
  </si>
  <si>
    <t>INDUSTRI MAKANAN LAINNYA</t>
  </si>
  <si>
    <t>INDUSTRI MAKANAN HEWAN</t>
  </si>
  <si>
    <t>INDUSTRI MINUMAN</t>
  </si>
  <si>
    <t>INDUSTRI PENGOLAHAN TEMBAKAU</t>
  </si>
  <si>
    <t>INDUSTRI PEMINTALAN, PENENUNAN DAN PENYELESAIAN AKHIR TEKSTIL</t>
  </si>
  <si>
    <t>INDUSTRI TEKSTIL LAINNYA</t>
  </si>
  <si>
    <t>INDUSTRI PAKAIAN JADI DAN PERLENGKAPANNYA, BUKAN PAKAIAN JADI DARI KULIT BERBULU</t>
  </si>
  <si>
    <t>INDUSTRI PAKAIAN JADI DAN BARANG DARI KULIT BERBULU</t>
  </si>
  <si>
    <t>INDUSTRI PAKAIAN JADI RAJUTAN DAN SULAMAN/BORDIR</t>
  </si>
  <si>
    <t>INDUSTRI KULIT DAN BARANG DARI KULIT, TERMASUK KULIT BUATAN</t>
  </si>
  <si>
    <t>INDUSTRI ALAS KAKI</t>
  </si>
  <si>
    <t>INDUSTRI PENGGERGAJIAN DAN PENGAWETAN KAYU, ROTAN, BAMBU DAN SEJENISNYA</t>
  </si>
  <si>
    <t>INDUSTRI BARANG DARI KAYU; INDUSTRI BARANG DARI GABUS DAN BARANG ANYAMAN DARI JERAMI, ROTAN, BAMBU DAN SEJENIS LAINNYA</t>
  </si>
  <si>
    <t>INDUSTRI KERTAS DAN BARANG DARI KERTAS</t>
  </si>
  <si>
    <t>INDUSTRI PENCETAKAN DAN KEGIATAN YBDI</t>
  </si>
  <si>
    <t>REPRODUKSI MEDIA REKAMAN</t>
  </si>
  <si>
    <t>INDUSTRI PRODUK DARI BATU BARA</t>
  </si>
  <si>
    <t>INDUSTRI PRODUK PENGILANGAN MINYAK BUMI</t>
  </si>
  <si>
    <t>INDUSTRI BAHAN KIMIA</t>
  </si>
  <si>
    <t>INDUSTRI BARANG KIMIA LAINNYA</t>
  </si>
  <si>
    <t>INDUSTRI SERAT BUATAN</t>
  </si>
  <si>
    <t>INDUSTRI FARMASI, PRODUK OBAT KIMIA DAN OBAT TRADISIONAL</t>
  </si>
  <si>
    <t>INDUSTRI KARET DAN BARANG DARI KARET</t>
  </si>
  <si>
    <t>INDUSTRI BARANG DARI PLASTIK</t>
  </si>
  <si>
    <t>INDUSTRI KACA DAN BARANG DARI KACA</t>
  </si>
  <si>
    <t>INDUSTRI BARANG GALIAN BUKAN LOGAM LAINNYA</t>
  </si>
  <si>
    <t>INDUSTRI LOGAM DASAR BESI DAN BAJA</t>
  </si>
  <si>
    <t>INDUSTRI LOGAM DASAR MULIA DAN LOGAM DASAR BUKAN BESI LAINNYA</t>
  </si>
  <si>
    <t>INDUSTRI PENGECORAN LOGAM</t>
  </si>
  <si>
    <t>INDUSTRI BARANG LOGAM SIAP PASANG UNTUK BANGUNAN, TANGKI, TANDON AIR DAN GENERATOR UAP</t>
  </si>
  <si>
    <t>INDUSTRI SENJATA DAN AMUNISI</t>
  </si>
  <si>
    <t>INDUSTRI BARANG LOGAM LAINNYA DAN JASA PEMBUATAN BARANG LOGAM</t>
  </si>
  <si>
    <t>INDUSTRI KOMPONEN DAN PAPAN ELEKTRONIK</t>
  </si>
  <si>
    <t>INDUSTRI KOMPUTER DAN PERLENGKAPANNYA</t>
  </si>
  <si>
    <t>INDUSTRI PERALATAN KOMUNIKASI</t>
  </si>
  <si>
    <t>INDUSTRI PERALATAN AUDIO DAN VIDEO ELEKTRONIK</t>
  </si>
  <si>
    <t>INDUSTRI ALAT UKUR, ALAT UJI, PERALATAN NAVIGASI DAN KONTROL DAN ALAT UKUR WAKTU</t>
  </si>
  <si>
    <t>INDUSTRI PERALATAN IRADIASI, ELEKTROMEDIKAL DAN ELEKTROTERAPI</t>
  </si>
  <si>
    <t>INDUSTRI PERALATAN FOTOGRAFI DAN INSTRUMEN OPTIK BUKAN KACA MATA</t>
  </si>
  <si>
    <t>INDUSTRI MEDIA MAGNETIK DAN MEDIA OPTIK</t>
  </si>
  <si>
    <t>INDUSTRI MOTOR LISTRIK, GENERATOR, TRANSFORMATOR DAN PERALATAN PENGONTROL DAN PENDISTRIBUSIAN LISTRIK</t>
  </si>
  <si>
    <t>INDUSTRI BATU BATERAI DAN AKUMULATOR LISTRIK</t>
  </si>
  <si>
    <t>INDUSTRI KABEL DAN PERLENGKAPANNYA</t>
  </si>
  <si>
    <t>INDUSTRI PERALATAN PENERANGAN LISTRIK (TERMASUK PERALATAN PENERANGAN BUKAN LISTRIK)</t>
  </si>
  <si>
    <t>INDUSTRI PERALATAN RUMAH TANGGA</t>
  </si>
  <si>
    <t>INDUSTRI PERALATAN LISTRIK LAINNYA</t>
  </si>
  <si>
    <t>INDUSTRI MESIN UNTUK KEPERLUAN UMUM</t>
  </si>
  <si>
    <t>INDUSTRI MESIN UNTUK KEPERLUAN KHUSUS</t>
  </si>
  <si>
    <t>INDUSTRI KENDARAAN BERMOTOR RODA EMPAT ATAU LEBIH</t>
  </si>
  <si>
    <t>INDUSTRI KAROSERI KENDARAAN BERMOTOR RODA EMPAT ATAU LEBIH DAN INDUSTRI TRAILER DAN SEMI TRAILER</t>
  </si>
  <si>
    <t>INDUSTRI SUKU CADANG DAN AKSESORI KENDARAAN BERMOTOR RODA EMPAT ATAU LEBIH</t>
  </si>
  <si>
    <t>INDUSTRI PEMBUATAN KAPAL DAN PERAHU</t>
  </si>
  <si>
    <t>INDUSTRI LOKOMOTIF DAN GERBONG KERETA</t>
  </si>
  <si>
    <t>INDUSTRI PESAWAT TERBANG DAN PERLENGKAPANNYA</t>
  </si>
  <si>
    <t>INDUSTRI KENDARAAN PERANG</t>
  </si>
  <si>
    <t>INDUSTRI ALAT ANGKUTAN LAINNYA YTDL</t>
  </si>
  <si>
    <t>INDUSTRI FURNITUR</t>
  </si>
  <si>
    <t>INDUSTRI BARANG PERHIASAN DAN BARANG BERHARGA</t>
  </si>
  <si>
    <t>INDUSTRI ALAT MUSIK</t>
  </si>
  <si>
    <t>INDUSTRI ALAT OLAHRAGA</t>
  </si>
  <si>
    <t>INDUSTRI ALAT PERMAINAN DAN MAINAN ANAK-ANAK</t>
  </si>
  <si>
    <t>INDUSTRI PERALATAN KEDOKTERAN DAN KEDOKTERAN GIGI SERTA PERLENGKAPANNYA</t>
  </si>
  <si>
    <t>INDUSTRI PENGOLAHAN LAINNYA YTDL</t>
  </si>
  <si>
    <t>JASA REPARASI PRODUK LOGAM PABRIKASI, MESIN DAN PERALATAN</t>
  </si>
  <si>
    <t>JASA PEMASANGAN MESIN DAN PERALATAN INDUSTRI</t>
  </si>
  <si>
    <t>D</t>
  </si>
  <si>
    <t>PENGADAAN LISTRIK, GAS, UAP/AIR PANAS DAN UDARA DINGIN</t>
  </si>
  <si>
    <t>KETENAGALISTRIKAN</t>
  </si>
  <si>
    <t>GAS ALAM DAN BUATAN</t>
  </si>
  <si>
    <t>PENGADAAN UAP/AIR PANAS, UDARA DINGIN DAN PRODUKSI ES</t>
  </si>
  <si>
    <t>E</t>
  </si>
  <si>
    <t>PENGADAAN AIR, PENGOLAHAN SAMPAHDAN DAUR ULANG, PEMBUANGAN DAN PEMBERSIHAN LIMBAH DAN SAMPAH</t>
  </si>
  <si>
    <t>PENGADAAN AIR</t>
  </si>
  <si>
    <t>PENGELOLAAN LIMBAH</t>
  </si>
  <si>
    <t>PENGUMPULAN SAMPAH</t>
  </si>
  <si>
    <t>PENGELOLAAN DAN PEMBUANGAN SAMPAH</t>
  </si>
  <si>
    <t>DAUR ULANG</t>
  </si>
  <si>
    <t>JASA PEMBERSIHAN DAN PENGELOLAAN SAMPAH LAINNYA</t>
  </si>
  <si>
    <t>F</t>
  </si>
  <si>
    <t>KONSTRUKSI</t>
  </si>
  <si>
    <t>KONSTRUKSI GEDUNG</t>
  </si>
  <si>
    <t>KONSTRUKSI JALAN DAN REL KERETA API</t>
  </si>
  <si>
    <t>KONSTRUKSI JARINGAN SALURAN UNTUK IRIGASI, KOMUNIKASI DAN LIMBAH</t>
  </si>
  <si>
    <t>KONSTRUKSI BANGUNAN SIPIL LAINNYA</t>
  </si>
  <si>
    <t>PEMBONGKARAN DAN PENYIAPAN LAHAN</t>
  </si>
  <si>
    <t>INSTALASI SISTEM KELISTRIKAN, AIR (PIPA) DAN INSTALASI KONSTRUKSI LAINNYA</t>
  </si>
  <si>
    <t>PENYELESAIAN KONSTRUKSI BANGUNAN</t>
  </si>
  <si>
    <t>KONSTRUKSI KHUSUS LAINNYA</t>
  </si>
  <si>
    <t>G</t>
  </si>
  <si>
    <t>PERDAGANGAN BESAR DAN ECERAN; REPARASI DAN PERAWATAN MOBIL DAN SEPEDA MOTOR</t>
  </si>
  <si>
    <t>PERDAGANGAN MOBIL</t>
  </si>
  <si>
    <t>REPARASI DAN PERAWATAN MOBIL</t>
  </si>
  <si>
    <t>PERDAGANGAN SUKU CADANG DAN AKSESORI MOBIL</t>
  </si>
  <si>
    <t>PERDAGANGAN, REPARASI DAN PERAWATAN SEPEDA MOTOR DAN PERDAGANGAN SUKU CADANG DAN AKSESORINYA</t>
  </si>
  <si>
    <t>PERDAGANGAN BESAR ATAS DASAR BALAS JASA (FEE) ATAU KONTRAK</t>
  </si>
  <si>
    <t>PERDAGANGAN BESAR HASIL PERTANIAN DAN HEWAN HIDUP</t>
  </si>
  <si>
    <t>PERDAGANGAN BESAR MAKANAN, MINUMAN DAN TEMBAKAU</t>
  </si>
  <si>
    <t>PERDAGANGAN BESAR BARANG KEPERLUAN RUMAH TANGGA</t>
  </si>
  <si>
    <t>PERDAGANGAN BESAR MESIN, PERALATAN DAN PERLENGKAPANNYA</t>
  </si>
  <si>
    <t>PERDAGANGAN BESAR KHUSUS LAINNYA</t>
  </si>
  <si>
    <t>PERDAGANGAN BESAR BERBAGAI MACAM BARANG</t>
  </si>
  <si>
    <t>PERDAGANGAN ECERAN BERBAGAI MACAM BARANG DI TOKO</t>
  </si>
  <si>
    <t>PERDAGANGAN ECERAN KHUSUS MAKANAN, MINUMAN DAN TEMBAKAU DI TOKO</t>
  </si>
  <si>
    <t>PERDAGANGAN ECERAN KHUSUS BAHAN BAKAR KENDARAAN BERMOTOR</t>
  </si>
  <si>
    <t>PERDAGANGAN ECERAN KHUSUS PERALATAN INFORMASI DAN KOMUNIKASI DI TOKO</t>
  </si>
  <si>
    <t>PERDAGANGAN ECERAN KHUSUS PERLENGKAPAN RUMAH TANGGA LAINYA DI TOKO</t>
  </si>
  <si>
    <t>PERDAGANGAN ECERAN KHUSUS BARANG BUDAYA DAN REKREASI DI TOKO</t>
  </si>
  <si>
    <t>PERDAGANGAN ECERAN KHUSUS BARANG LAINNYA DI TOKO</t>
  </si>
  <si>
    <t>PERDAGANGAN ECERAN KAKI LIMA DAN LOS PASAR</t>
  </si>
  <si>
    <t>PERDAGANGAN ECERAN BUKAN DI TOKO, KAKI LIMA DAN LOS PASAR</t>
  </si>
  <si>
    <t>H</t>
  </si>
  <si>
    <t>TRANSPORTASI DAN PERGUDANGAN</t>
  </si>
  <si>
    <t>ANGKUTAN JALAN REL</t>
  </si>
  <si>
    <t>ANGKUTAN BUS</t>
  </si>
  <si>
    <t>ANGKUTAN MELALUI SALURAN PIPA</t>
  </si>
  <si>
    <t>ANGKUTAN DARAT BUKAN BUS</t>
  </si>
  <si>
    <t>ANGKUTAN LAUT</t>
  </si>
  <si>
    <t>ANGKUTAN SUNGAI, DANAU DAN PENYEBERANGAN</t>
  </si>
  <si>
    <t>ANGKUTAN UDARA UNTUK PENUMPANG</t>
  </si>
  <si>
    <t>ANGKUTAN UDARA UNTUK BARANG</t>
  </si>
  <si>
    <t>PERGUDANGAN</t>
  </si>
  <si>
    <t>JASA PENUNJANG ANGKUTAN</t>
  </si>
  <si>
    <t>POS</t>
  </si>
  <si>
    <t>KURIR</t>
  </si>
  <si>
    <t>I</t>
  </si>
  <si>
    <t>PENYEDIAAN AKOMODASI DAN PENYEDIAAN MAKAN MINUM</t>
  </si>
  <si>
    <t>PENYEDIAAN AKOMODASI JANGKA PENDEK</t>
  </si>
  <si>
    <t>PENYEDIAAN AKOMODASI LAINNYA</t>
  </si>
  <si>
    <t>RESTORAN DAN PENYEDIAAN MAKANAN KELILING</t>
  </si>
  <si>
    <t>JASA BOGA UNTUK SUATU EVENT TERTENTU (EVENT CATERING) DAN PENYEDIAAN MAKANAN LAINNYA</t>
  </si>
  <si>
    <t>PENYEDIAAN MINUMAN</t>
  </si>
  <si>
    <t>J</t>
  </si>
  <si>
    <t>INFORMASI DAN KOMUNIKASI</t>
  </si>
  <si>
    <t>PENERBITAN BUKU, MAJALAH DAN TERBITAN LAINNYA</t>
  </si>
  <si>
    <t>PENERBITAN PIRANTI LUNAK (SOFTWARE)</t>
  </si>
  <si>
    <t>PRODUKSI GAMBAR BERGERAK, VIDEO DAN PROGRAM TELEVISI</t>
  </si>
  <si>
    <t>PEREKAMAN SUARA DAN PENERBITAN MUSIK</t>
  </si>
  <si>
    <t>PENYIARAN RADIO</t>
  </si>
  <si>
    <t>PENYIARAN DAN PEMROGRAMAN TELEVISI</t>
  </si>
  <si>
    <t>TELEKOMUNIKASI DENGAN KABEL</t>
  </si>
  <si>
    <t>TELEKOMUNIKASI TANPA KABEL</t>
  </si>
  <si>
    <t>TELEKOMUNIKASI SATELIT</t>
  </si>
  <si>
    <t>TELEKOMUNIKASI LAINNYA</t>
  </si>
  <si>
    <t>KEGIATAN PEMROGRAMAN, KONSULTASI KOMPUTER DAN KEGIATAN YBDI</t>
  </si>
  <si>
    <t>KEGIATAN PENGOLAHAN DATA, PENYIMPANAN DATA DI SERVER (HOSTING) DAN KEGIATAN YBDI; PORTAL WEB</t>
  </si>
  <si>
    <t>KEGIATAN JASA INFORMASI LAINNYA</t>
  </si>
  <si>
    <t>K</t>
  </si>
  <si>
    <t>JASA KEUANGAN DAN ASURANSI</t>
  </si>
  <si>
    <t>PERANTARA MONETER</t>
  </si>
  <si>
    <t>KEGIATAN PERUSAHAAN HOLDING</t>
  </si>
  <si>
    <t>TRUST, PEMBIAYAAN DAN ENTITAS KEUANGAN SEJENIS</t>
  </si>
  <si>
    <t>JASA KEUANGAN LAINNYA, BUKAN ASURANSI DAN DANA PENSIUN</t>
  </si>
  <si>
    <t>ASURANSI</t>
  </si>
  <si>
    <t>REASURANSI</t>
  </si>
  <si>
    <t>DANA PENSIUN</t>
  </si>
  <si>
    <t>JASA PENUNJANG JASA KEUANGAN, BUKAN ASURANSI DAN DANA PENSIUN</t>
  </si>
  <si>
    <t>JASA PENUNJANG ASURANSI DAN DANA PENSIUN</t>
  </si>
  <si>
    <t>JASA MANAJEMEN DANA</t>
  </si>
  <si>
    <t>REAL ESTATE</t>
  </si>
  <si>
    <t>REAL ESTATE YANG DIMILIKI SENDIRI ATAU DISEWA DAN KAWASAN PARIWISATA</t>
  </si>
  <si>
    <t>REAL ESTATE ATAS DASAR BALAS JASA (FEE) ATAU KONTRAK</t>
  </si>
  <si>
    <t>M</t>
  </si>
  <si>
    <t>JASA PROFESIONAL, ILMIAH DAN TEKNIS</t>
  </si>
  <si>
    <t>JASA HUKUM</t>
  </si>
  <si>
    <t>JASA AKUNTANSI, PEMBUKUAN DAN PEMERIKSA; KONSULTASI PAJAK</t>
  </si>
  <si>
    <t>KEGIATAN KANTOR PUSAT</t>
  </si>
  <si>
    <t>KEGIATAN KONSULTASI MANAJEMEN</t>
  </si>
  <si>
    <t>JASA ARSITEKTUR DAN TEKNIK SIPIL SERTA KONSULTASI TEKNIS YBDI</t>
  </si>
  <si>
    <t>ANALISIS DAN UJI TEKNIS</t>
  </si>
  <si>
    <t>PENELITIAN DAN PENGEMBANGAN ILMU PENGETAHUAN ALAM DAN ILMU TEKNOLOGI DAN REKAYASA</t>
  </si>
  <si>
    <t>PENELITIAN DAN PENGEMBANGAN ILMU PENGETAHUAN SOSIAL DAN HUMANIORA</t>
  </si>
  <si>
    <t>PERIKLANAN</t>
  </si>
  <si>
    <t>PENELITIAN PASAR DAN JAJAK PENDAPAT MASYARAKAT</t>
  </si>
  <si>
    <t>JASA PERANCANGAN KHUSUS</t>
  </si>
  <si>
    <t>JASA FOTOGRAFI</t>
  </si>
  <si>
    <t>JASA PROFESIONAL, ILMIAH DAN TEKNIS LAINNYA YTDL</t>
  </si>
  <si>
    <t>JASA KESEHATAN HEWAN</t>
  </si>
  <si>
    <t>N</t>
  </si>
  <si>
    <t>JASA PERSEWAAN, KETENAGAKERJAAN, AGEN PERJALANAN DAN PENUNJANG USAHA LAINYA</t>
  </si>
  <si>
    <t>JASA PERSEWAAN DAN SEWA GUNA USAHA TANPA HAK OPSI MOBIL, BUS, TRUK DAN SEJENISNYA</t>
  </si>
  <si>
    <t>JASA PERSEWAAN DAN SEWA GUNA USAHA TANPA HAK OPSI BARANG PRIBADI DAN RUMAH TANGGA</t>
  </si>
  <si>
    <t>JASA PERSEWAAN DAN SEWA GUNA USAHA TANPA HAK OPSI MESIN, PERALATAN DAN BARANG BERWUJUD LAINNYA</t>
  </si>
  <si>
    <t>SEWA GUNA USAHA TANPA HAK OPSI ASET NON FINANSIAL, BUKAN KARYA HAK CIPTA</t>
  </si>
  <si>
    <t>JASA PENEMPATAN TENAGA KERJA</t>
  </si>
  <si>
    <t>JASA PENYEDIAAN TENAGA KERJA WAKTU TERTENTU</t>
  </si>
  <si>
    <t>JASA PENYEDIAAN SUMBER DAYA MANUSIA DAN MANAJEMEN FUNGSI SUMBER DAYA MANUSIA</t>
  </si>
  <si>
    <t>JASA AGEN PERJALANAN DAN PENYELENGGARA TUR</t>
  </si>
  <si>
    <t>JASA RESERVASI LAINNYA YBDI</t>
  </si>
  <si>
    <t>JASA KEAMANAN SWASTA (PRIBADI)</t>
  </si>
  <si>
    <t>JASA SISTEM KEAMANAN</t>
  </si>
  <si>
    <t>JASA PENYELIDIKAN</t>
  </si>
  <si>
    <t>PENYEDIA GABUNGAN JASA PENUNJANG FASILITAS</t>
  </si>
  <si>
    <t>JASA KEBERSIHAN</t>
  </si>
  <si>
    <t>JASA PERAWATAN DAN PEMELIHARAAN TAMAN</t>
  </si>
  <si>
    <t>JASA ADMINISTRASI KANTOR DAN PENUNJANG KANTOR</t>
  </si>
  <si>
    <t>JASA CALL CENTRE</t>
  </si>
  <si>
    <t>JASA PENYELENGGARA KONVENSI DAN PAMERAN DAGANG</t>
  </si>
  <si>
    <t>JASA PENUNJANG USAHA YTDL</t>
  </si>
  <si>
    <t>O</t>
  </si>
  <si>
    <t>ADMINISTRASI PEMERINTAHAN, PERTAHANAN DAN JAMINAN SOSIAL WAJIB</t>
  </si>
  <si>
    <t>ADMINISTRASI PEMERINTAHAN DAN KEBIJAKAN EKONOMI DAN SOSIAL</t>
  </si>
  <si>
    <t>PENYEDIAAN LAYANAN UNTUK MASYARAKAT DALAM BIDANG HUBUNGAN LUAR NEGERI, PERTAHANAN, KEAMANAN DAN KETERTIBAN</t>
  </si>
  <si>
    <t>JAMINAN SOSIAL WAJIB</t>
  </si>
  <si>
    <t>JASA PENDIDIKAN</t>
  </si>
  <si>
    <t>JASA PENDIDIKAN DASAR</t>
  </si>
  <si>
    <t>JASA PENDIDIKAN MENENGAH</t>
  </si>
  <si>
    <t>JASA PENDIDIKAN TINGGI</t>
  </si>
  <si>
    <t>JASA PENDIDIKAN LAINNYA</t>
  </si>
  <si>
    <t>JASA PENUNJANG PENDIDIKAN</t>
  </si>
  <si>
    <t>JASA PENDIDIKAN ANAK USIA DINI</t>
  </si>
  <si>
    <t>Q</t>
  </si>
  <si>
    <t>JASA KESEHATAN DAN KEGIATAN SOSIAL</t>
  </si>
  <si>
    <t>JASA RUMAH SAKIT</t>
  </si>
  <si>
    <t>JASA PRAKTIK DOKTER DAN DOKTER GIGI</t>
  </si>
  <si>
    <t>JASA KEGIATAN SOSIAL DI DALAM PANTI UNTUK PERAWATAN DAN PEMULIHAN KESEHATAN</t>
  </si>
  <si>
    <t>JASA KEGIATAN SOSIAL DI DALAM PANTI UNTUK KETERBELAKANGAN MENTAL, GANGGUAN MENTAL DAN TERLARANGPENYALAHGUNAAN OBAT</t>
  </si>
  <si>
    <t>JASA KEGIATAN SOSIAL DI DALAM PANTI LAINNYA YTDL</t>
  </si>
  <si>
    <t>JASA KEGIATAN SOSIAL DI LUAR PANTI UNTUK JOMPO DAN CACAT</t>
  </si>
  <si>
    <t>JASA KEGIATAN SOSIAL DI LUAR PANTI LAINNYA</t>
  </si>
  <si>
    <t>R</t>
  </si>
  <si>
    <t>KEBUDAYAAN, HIBURAN DAN REKREASI</t>
  </si>
  <si>
    <t>KEGIATAN HIBURAN, KESENIAN DAN KREATIVITAS</t>
  </si>
  <si>
    <t>PERPUSTAKAAN, ARSIP, MUSEUM DAN KEGIATAN KEBUDAYAAN LAINNYA</t>
  </si>
  <si>
    <t>KEGIATAN PERJUDIAN DAN PERTARUHAN</t>
  </si>
  <si>
    <t>KEGIATAN OLAHRAGA</t>
  </si>
  <si>
    <t>KEGIATAN REKREASI LAINNYA</t>
  </si>
  <si>
    <t>S</t>
  </si>
  <si>
    <t>KEGIATAN JASA LAINNYA</t>
  </si>
  <si>
    <t>KEGIATAN ORGANISASI BISNIS, PENGUSAHA DAN PROFESI</t>
  </si>
  <si>
    <t>KEGIATAN ORGANISASI BURUH</t>
  </si>
  <si>
    <t>JASA REPARASI KOMPUTER DAN ALAT KOMUNIKASI</t>
  </si>
  <si>
    <t>JASA REPARASI BARANG KEPERLUAN PRIBADI DAN PERLENGKAPAN RUMAH TANGGA</t>
  </si>
  <si>
    <t>JASA PERORANGAN UNTUK KEBUGARAN, BUKAN OLAHRAGA</t>
  </si>
  <si>
    <t>JASA PERORANGAN LAINNYA YTDL</t>
  </si>
  <si>
    <t>T</t>
  </si>
  <si>
    <t>JASA PERORANGAN YANG MELAYANI RUMAH TANGGA; KEGIATAN YANG MENGHASILKAN BARANG DAN JASA OLEH RUMAH TANGGA YANG DIGUNAKAN SENDIRI UNTUK MEMENUHI KEBUTUH</t>
  </si>
  <si>
    <t>JASA PERORANGAN YANG MELAYANI RUMAH TANGGA</t>
  </si>
  <si>
    <t>KEGIATAN YANG MENGHASILKAN BARANG OLEH RUMAH TANGGA YANG DIGUNAKAN SENDIRI UNTUK MEMENUHI KEBUTUHAN</t>
  </si>
  <si>
    <t>KEGIATAN YANG MENGHASILKAN JASA OLEH RUMAH TANGGA YANG DIGUNAKAN SENDIRI UNTUK MEMENUHI KEBUTUHAN</t>
  </si>
  <si>
    <t>U</t>
  </si>
  <si>
    <t>KEGIATAN BADAN INTERNASIONAL DAN BADAN EKSTRA INTERNASIONAL LAINNYA</t>
  </si>
  <si>
    <t xml:space="preserve">IPK III/7 : PENCARI KERJA YANG TERDAFTAR, DITEMPATKAN DAN DIHAPUSKAN </t>
  </si>
  <si>
    <t>DI KABUPATEN PASER MENURUT LAMA LULUSAN DAN TINGKAT PENDIDIKAN</t>
  </si>
  <si>
    <t>(0-2)</t>
  </si>
  <si>
    <t>(3-5)</t>
  </si>
  <si>
    <t>(6+)</t>
  </si>
  <si>
    <t>BH &amp; TIDAK TAMAT SD</t>
  </si>
  <si>
    <t>S.D</t>
  </si>
  <si>
    <t>SLTP UMUM</t>
  </si>
  <si>
    <t>SETINGKAT SLTP</t>
  </si>
  <si>
    <t>SLTP - LAINNYA</t>
  </si>
  <si>
    <t xml:space="preserve">SMK  </t>
  </si>
  <si>
    <t>SMK - TEKNOLOGI DAN REKAYASA</t>
  </si>
  <si>
    <t>TEKNIK LAINNYA</t>
  </si>
  <si>
    <t>SMK - TEKNOLOGI INFORMASI DAN KOMUNIKASI</t>
  </si>
  <si>
    <t>SMK - KESEHATAN</t>
  </si>
  <si>
    <t>SMK - SENI, KERAJINAN DAN PARIWISATA</t>
  </si>
  <si>
    <t>SMK - AGRISBISNIS DAN AGROTEKNOLOGI</t>
  </si>
  <si>
    <t>SMK - BISNIS DAN MANAJEMEN</t>
  </si>
  <si>
    <t>SETINGKAT SMU LAINNYA</t>
  </si>
  <si>
    <t>DIII</t>
  </si>
  <si>
    <t>DIII - ILMU PASTI/ILMU ALAM</t>
  </si>
  <si>
    <t>DIII - TEKNOLOGI</t>
  </si>
  <si>
    <t>D3 KEJURUAN</t>
  </si>
  <si>
    <t>TEKNIK INFORMATIKA</t>
  </si>
  <si>
    <t>TEKNIK ELEKTRO</t>
  </si>
  <si>
    <t>MANAJEMEN INFORMATIKA</t>
  </si>
  <si>
    <t>DIII - PERTANIAN</t>
  </si>
  <si>
    <t>DIII - KESEHATAN</t>
  </si>
  <si>
    <t>MANAJEMEN INDUSTRI</t>
  </si>
  <si>
    <t>DIII - ILMU PENGETAHUAN SOSIAL/BUDAYA</t>
  </si>
  <si>
    <t>DIII - ILMU PENDIDIKAN DAN KEGURUAN</t>
  </si>
  <si>
    <t>S1</t>
  </si>
  <si>
    <t>S1 - ILMU PASTI/ILMU ALAM</t>
  </si>
  <si>
    <t>S1 - TEKNOLOGI</t>
  </si>
  <si>
    <t>TEKNIK KELAUTAN</t>
  </si>
  <si>
    <t>SISTEM INFORMASI</t>
  </si>
  <si>
    <t>S1 - PERTANIAN</t>
  </si>
  <si>
    <t>S1 - KESEHATAN</t>
  </si>
  <si>
    <t>S1 - ILMU PENGETAHUAN SOSIAL/BUDAYA</t>
  </si>
  <si>
    <t>S1 - ILMU PENDIDIKAN DAN KEGURUAN</t>
  </si>
  <si>
    <t>S2</t>
  </si>
  <si>
    <t>S2 - ILMU PASTI/ILMU ALAM</t>
  </si>
  <si>
    <t>S2 - TEKNOLOGI</t>
  </si>
  <si>
    <t>S2 - PERTANIAN</t>
  </si>
  <si>
    <t>S2 - KESEHATAN</t>
  </si>
  <si>
    <t>S2 - ILMU PENGETAHUAN SOSIAL/BUDAYA</t>
  </si>
  <si>
    <t>S2 - ILMU PENDIDIKAN DAN KEGURUAN</t>
  </si>
  <si>
    <t xml:space="preserve">DIV </t>
  </si>
  <si>
    <t>DIV - ILMU PASTI/ILMU ALAM</t>
  </si>
  <si>
    <t>DIV - TEKNOLOGI</t>
  </si>
  <si>
    <t>D4 KEJURUAN</t>
  </si>
  <si>
    <t>DIV - PERTANIAN</t>
  </si>
  <si>
    <t>DIV - KESEHATAN</t>
  </si>
  <si>
    <t>DIV - ILMU PENGETAHUAN SOSIAL/BUDAYA</t>
  </si>
  <si>
    <t>DIV - ILMU PENDIDIKAN DAN KEGURUAN</t>
  </si>
  <si>
    <t>IPK III/8 : PENEMPATAN PENCARI KERJA MENURUT JENIS ANTAR KERJA TINGKAT PENDIDIKAN PENCARI KERJA,</t>
  </si>
  <si>
    <t>PENERIMA TENAGA KERJA DAN JENIS KELAMIN</t>
  </si>
  <si>
    <t>DI KABUPATEN PASER</t>
  </si>
  <si>
    <t>I . Tingkat Pendidikan Pencari Kerja yg ditempatkan</t>
  </si>
  <si>
    <t>Jenis Antar Kerja</t>
  </si>
  <si>
    <t>Jumlah</t>
  </si>
  <si>
    <t>AKL</t>
  </si>
  <si>
    <t>AKAD</t>
  </si>
  <si>
    <t>AKAN</t>
  </si>
  <si>
    <t>JML</t>
  </si>
  <si>
    <t>NON</t>
  </si>
  <si>
    <t>SD</t>
  </si>
  <si>
    <t>SLTP</t>
  </si>
  <si>
    <t>SLTA</t>
  </si>
  <si>
    <t>DIPLOMA 1</t>
  </si>
  <si>
    <t>DIPLOMA 2</t>
  </si>
  <si>
    <t>D3/SARJANA MUDA</t>
  </si>
  <si>
    <t>D4/SARJANA SAINS TERAPAN</t>
  </si>
  <si>
    <t>AKTA 2</t>
  </si>
  <si>
    <t>AKTA 3</t>
  </si>
  <si>
    <t>SARJANA</t>
  </si>
  <si>
    <t>MAGISTER</t>
  </si>
  <si>
    <t>DOKTORAL</t>
  </si>
  <si>
    <t>No</t>
  </si>
  <si>
    <t>II. Penerima Pencari Kerja</t>
  </si>
  <si>
    <t>INSTANSI PEMERINTAH</t>
  </si>
  <si>
    <t>BUMN/BUMD</t>
  </si>
  <si>
    <t>KOPERASI</t>
  </si>
  <si>
    <t>PERUSAHAAN SWASTA</t>
  </si>
  <si>
    <t>BADAN USAHA LAINNYA</t>
  </si>
  <si>
    <t>PERORANGAN</t>
  </si>
  <si>
    <t>Mengetahui :</t>
  </si>
  <si>
    <t>Kepala Bidang Penempatan</t>
  </si>
  <si>
    <t>dan Peningkatan Kesempatan Kerja</t>
  </si>
  <si>
    <t>Agus Setiawan, S.Sos</t>
  </si>
  <si>
    <t>NIP. 197208162006041007</t>
  </si>
  <si>
    <t>Tana Paser,                            2025</t>
  </si>
  <si>
    <t>PADA TANGGAL : 1 AGUSTUS 2025 s/d  31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</si>
</sst>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3" x14ac:knownFonts="1">
    <font>
      <sz val="11"/>
      <color rgb="FF000000"/>
      <name val="Calibri"/>
      <charset val="1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color rgb="FF000000"/>
      <name val="Levenim MT"/>
      <charset val="177"/>
    </font>
    <font>
      <b/>
      <sz val="10"/>
      <color rgb="FF000000"/>
      <name val="Levenim MT"/>
      <charset val="177"/>
    </font>
    <font>
      <b/>
      <sz val="15"/>
      <color indexed="8"/>
      <name val="Calibri"/>
      <family val="2"/>
    </font>
    <font>
      <b/>
      <sz val="11"/>
      <color indexed="8"/>
      <name val="Calibri"/>
      <family val="2"/>
    </font>
    <font>
      <b/>
      <i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color indexed="8"/>
      <name val="Calibri"/>
      <family val="2"/>
    </font>
    <font>
      <b/>
      <sz val="14"/>
      <name val="Calibri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609363078707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19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rgb="FF000000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/>
      <top/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8"/>
      </bottom>
      <diagonal/>
    </border>
    <border>
      <left/>
      <right/>
      <top style="medium">
        <color indexed="63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3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3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63"/>
      </left>
      <right style="thin">
        <color indexed="8"/>
      </right>
      <top style="hair">
        <color rgb="FF333333"/>
      </top>
      <bottom/>
      <diagonal/>
    </border>
    <border>
      <left style="thin">
        <color indexed="8"/>
      </left>
      <right/>
      <top style="hair">
        <color rgb="FF333333"/>
      </top>
      <bottom/>
      <diagonal/>
    </border>
    <border>
      <left style="medium">
        <color indexed="8"/>
      </left>
      <right/>
      <top style="hair">
        <color rgb="FF333333"/>
      </top>
      <bottom/>
      <diagonal/>
    </border>
    <border>
      <left/>
      <right/>
      <top style="hair">
        <color rgb="FF333333"/>
      </top>
      <bottom/>
      <diagonal/>
    </border>
    <border>
      <left/>
      <right style="medium">
        <color indexed="8"/>
      </right>
      <top style="hair">
        <color rgb="FF333333"/>
      </top>
      <bottom/>
      <diagonal/>
    </border>
    <border>
      <left style="medium">
        <color indexed="8"/>
      </left>
      <right/>
      <top style="hair">
        <color rgb="FF333333"/>
      </top>
      <bottom style="medium">
        <color indexed="8"/>
      </bottom>
      <diagonal/>
    </border>
    <border>
      <left/>
      <right/>
      <top style="hair">
        <color rgb="FF333333"/>
      </top>
      <bottom style="medium">
        <color indexed="8"/>
      </bottom>
      <diagonal/>
    </border>
    <border>
      <left style="medium">
        <color indexed="63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3"/>
      </left>
      <right style="thin">
        <color indexed="8"/>
      </right>
      <top style="hair">
        <color rgb="FF333333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hair">
        <color rgb="FF333333"/>
      </top>
      <bottom style="medium">
        <color indexed="8"/>
      </bottom>
      <diagonal/>
    </border>
    <border>
      <left style="medium">
        <color auto="1"/>
      </left>
      <right/>
      <top style="medium">
        <color indexed="8"/>
      </top>
      <bottom/>
      <diagonal/>
    </border>
    <border>
      <left/>
      <right style="medium">
        <color auto="1"/>
      </right>
      <top style="medium">
        <color indexed="8"/>
      </top>
      <bottom/>
      <diagonal/>
    </border>
    <border>
      <left style="medium">
        <color indexed="63"/>
      </left>
      <right style="thin">
        <color indexed="8"/>
      </right>
      <top style="hair">
        <color rgb="FF333333"/>
      </top>
      <bottom style="hair">
        <color rgb="FF333333"/>
      </bottom>
      <diagonal/>
    </border>
    <border>
      <left style="thin">
        <color indexed="8"/>
      </left>
      <right style="medium">
        <color indexed="8"/>
      </right>
      <top style="hair">
        <color rgb="FF333333"/>
      </top>
      <bottom style="hair">
        <color rgb="FF333333"/>
      </bottom>
      <diagonal/>
    </border>
    <border>
      <left style="medium">
        <color indexed="8"/>
      </left>
      <right/>
      <top style="hair">
        <color rgb="FF333333"/>
      </top>
      <bottom style="hair">
        <color rgb="FF333333"/>
      </bottom>
      <diagonal/>
    </border>
    <border>
      <left/>
      <right/>
      <top style="hair">
        <color rgb="FF333333"/>
      </top>
      <bottom style="hair">
        <color rgb="FF333333"/>
      </bottom>
      <diagonal/>
    </border>
    <border>
      <left/>
      <right style="medium">
        <color indexed="8"/>
      </right>
      <top style="hair">
        <color rgb="FF333333"/>
      </top>
      <bottom style="hair">
        <color rgb="FF333333"/>
      </bottom>
      <diagonal/>
    </border>
    <border>
      <left style="medium">
        <color auto="1"/>
      </left>
      <right/>
      <top style="hair">
        <color rgb="FF333333"/>
      </top>
      <bottom style="hair">
        <color rgb="FF333333"/>
      </bottom>
      <diagonal/>
    </border>
    <border>
      <left/>
      <right style="medium">
        <color auto="1"/>
      </right>
      <top style="hair">
        <color rgb="FF333333"/>
      </top>
      <bottom style="hair">
        <color rgb="FF333333"/>
      </bottom>
      <diagonal/>
    </border>
    <border>
      <left style="medium">
        <color indexed="63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auto="1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auto="1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hair">
        <color rgb="FF333333"/>
      </top>
      <bottom/>
      <diagonal/>
    </border>
    <border>
      <left style="medium">
        <color auto="1"/>
      </left>
      <right/>
      <top style="hair">
        <color rgb="FF333333"/>
      </top>
      <bottom style="medium">
        <color indexed="8"/>
      </bottom>
      <diagonal/>
    </border>
    <border>
      <left/>
      <right style="medium">
        <color auto="1"/>
      </right>
      <top style="hair">
        <color rgb="FF333333"/>
      </top>
      <bottom style="medium">
        <color indexed="8"/>
      </bottom>
      <diagonal/>
    </border>
    <border>
      <left style="medium">
        <color indexed="63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3"/>
      </right>
      <top style="hair">
        <color indexed="63"/>
      </top>
      <bottom style="hair">
        <color indexed="63"/>
      </bottom>
      <diagonal/>
    </border>
    <border>
      <left style="medium">
        <color auto="1"/>
      </left>
      <right/>
      <top style="hair">
        <color rgb="FF333333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rgb="FF333333"/>
      </top>
      <bottom/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/>
      <right/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indexed="63"/>
      </right>
      <top style="medium">
        <color auto="1"/>
      </top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 style="hair">
        <color indexed="63"/>
      </top>
      <bottom style="hair">
        <color indexed="63"/>
      </bottom>
      <diagonal/>
    </border>
    <border>
      <left/>
      <right/>
      <top style="hair">
        <color indexed="63"/>
      </top>
      <bottom style="hair">
        <color indexed="63"/>
      </bottom>
      <diagonal/>
    </border>
    <border>
      <left style="medium">
        <color auto="1"/>
      </left>
      <right style="thin">
        <color auto="1"/>
      </right>
      <top style="hair">
        <color indexed="63"/>
      </top>
      <bottom style="hair">
        <color indexed="63"/>
      </bottom>
      <diagonal/>
    </border>
    <border>
      <left style="thin">
        <color auto="1"/>
      </left>
      <right style="medium">
        <color auto="1"/>
      </right>
      <top style="hair">
        <color indexed="63"/>
      </top>
      <bottom style="hair">
        <color indexed="63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rgb="FF333333"/>
      </left>
      <right style="medium">
        <color indexed="63"/>
      </right>
      <top/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indexed="63"/>
      </top>
      <bottom style="hair">
        <color indexed="63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3"/>
      </left>
      <right style="medium">
        <color indexed="63"/>
      </right>
      <top style="hair">
        <color indexed="63"/>
      </top>
      <bottom/>
      <diagonal/>
    </border>
    <border>
      <left/>
      <right/>
      <top style="hair">
        <color indexed="63"/>
      </top>
      <bottom/>
      <diagonal/>
    </border>
    <border>
      <left style="medium">
        <color auto="1"/>
      </left>
      <right style="thin">
        <color auto="1"/>
      </right>
      <top style="hair">
        <color indexed="63"/>
      </top>
      <bottom/>
      <diagonal/>
    </border>
    <border>
      <left style="thin">
        <color auto="1"/>
      </left>
      <right style="medium">
        <color auto="1"/>
      </right>
      <top style="hair">
        <color indexed="63"/>
      </top>
      <bottom/>
      <diagonal/>
    </border>
    <border>
      <left/>
      <right style="medium">
        <color indexed="63"/>
      </right>
      <top style="hair">
        <color indexed="63"/>
      </top>
      <bottom/>
      <diagonal/>
    </border>
    <border>
      <left style="medium">
        <color auto="1"/>
      </left>
      <right style="medium">
        <color auto="1"/>
      </right>
      <top style="hair">
        <color indexed="63"/>
      </top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auto="1"/>
      </bottom>
      <diagonal/>
    </border>
    <border>
      <left style="medium">
        <color indexed="63"/>
      </left>
      <right/>
      <top style="medium">
        <color indexed="63"/>
      </top>
      <bottom style="medium">
        <color auto="1"/>
      </bottom>
      <diagonal/>
    </border>
    <border>
      <left/>
      <right/>
      <top style="medium">
        <color indexed="63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3"/>
      </right>
      <top/>
      <bottom style="medium">
        <color auto="1"/>
      </bottom>
      <diagonal/>
    </border>
    <border>
      <left style="medium">
        <color auto="1"/>
      </left>
      <right style="medium">
        <color indexed="63"/>
      </right>
      <top style="medium">
        <color auto="1"/>
      </top>
      <bottom style="medium">
        <color indexed="63"/>
      </bottom>
      <diagonal/>
    </border>
    <border>
      <left/>
      <right style="medium">
        <color auto="1"/>
      </right>
      <top style="medium">
        <color indexed="63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3"/>
      </left>
      <right/>
      <top/>
      <bottom/>
      <diagonal/>
    </border>
    <border>
      <left style="medium">
        <color auto="1"/>
      </left>
      <right/>
      <top style="hair">
        <color indexed="63"/>
      </top>
      <bottom style="hair">
        <color indexed="63"/>
      </bottom>
      <diagonal/>
    </border>
    <border>
      <left/>
      <right style="medium">
        <color indexed="63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3"/>
      </right>
      <top style="medium">
        <color auto="1"/>
      </top>
      <bottom/>
      <diagonal/>
    </border>
    <border>
      <left style="medium">
        <color auto="1"/>
      </left>
      <right style="medium">
        <color indexed="63"/>
      </right>
      <top style="hair">
        <color indexed="63"/>
      </top>
      <bottom style="hair">
        <color indexed="63"/>
      </bottom>
      <diagonal/>
    </border>
    <border>
      <left style="medium">
        <color auto="1"/>
      </left>
      <right style="medium">
        <color indexed="63"/>
      </right>
      <top/>
      <bottom/>
      <diagonal/>
    </border>
    <border>
      <left style="medium">
        <color auto="1"/>
      </left>
      <right style="medium">
        <color indexed="63"/>
      </right>
      <top/>
      <bottom style="medium">
        <color auto="1"/>
      </bottom>
      <diagonal/>
    </border>
    <border>
      <left style="medium">
        <color auto="1"/>
      </left>
      <right style="medium">
        <color indexed="63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indexed="63"/>
      </top>
      <bottom style="medium">
        <color indexed="63"/>
      </bottom>
      <diagonal/>
    </border>
    <border>
      <left/>
      <right style="medium">
        <color auto="1"/>
      </right>
      <top style="medium">
        <color indexed="63"/>
      </top>
      <bottom style="medium">
        <color indexed="63"/>
      </bottom>
      <diagonal/>
    </border>
    <border>
      <left style="medium">
        <color rgb="FF333333"/>
      </left>
      <right style="medium">
        <color auto="1"/>
      </right>
      <top/>
      <bottom/>
      <diagonal/>
    </border>
    <border>
      <left/>
      <right style="medium">
        <color auto="1"/>
      </right>
      <top style="hair">
        <color indexed="63"/>
      </top>
      <bottom style="hair">
        <color indexed="63"/>
      </bottom>
      <diagonal/>
    </border>
    <border>
      <left style="medium">
        <color indexed="63"/>
      </left>
      <right/>
      <top style="medium">
        <color auto="1"/>
      </top>
      <bottom style="medium">
        <color auto="1"/>
      </bottom>
      <diagonal/>
    </border>
    <border>
      <left style="medium">
        <color indexed="63"/>
      </left>
      <right style="medium">
        <color theme="1"/>
      </right>
      <top style="hair">
        <color indexed="63"/>
      </top>
      <bottom style="hair">
        <color indexed="63"/>
      </bottom>
      <diagonal/>
    </border>
    <border>
      <left style="medium">
        <color rgb="FF33333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auto="1"/>
      </right>
      <top style="medium">
        <color indexed="63"/>
      </top>
      <bottom style="medium">
        <color auto="1"/>
      </bottom>
      <diagonal/>
    </border>
    <border>
      <left style="medium">
        <color indexed="63"/>
      </left>
      <right style="medium">
        <color indexed="63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/>
      <top/>
      <bottom style="medium">
        <color indexed="9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3"/>
      </left>
      <right style="thin">
        <color auto="1"/>
      </right>
      <top style="medium">
        <color indexed="63"/>
      </top>
      <bottom style="thin">
        <color auto="1"/>
      </bottom>
      <diagonal/>
    </border>
    <border>
      <left style="thin">
        <color auto="1"/>
      </left>
      <right style="medium">
        <color indexed="63"/>
      </right>
      <top style="medium">
        <color indexed="63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3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3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auto="1"/>
      </right>
      <top style="medium">
        <color indexed="63"/>
      </top>
      <bottom style="medium">
        <color indexed="63"/>
      </bottom>
      <diagonal/>
    </border>
    <border>
      <left style="thin">
        <color auto="1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auto="1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3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indexed="63"/>
      </bottom>
      <diagonal/>
    </border>
    <border>
      <left style="thin">
        <color auto="1"/>
      </left>
      <right/>
      <top style="medium">
        <color auto="1"/>
      </top>
      <bottom style="medium">
        <color indexed="63"/>
      </bottom>
      <diagonal/>
    </border>
    <border>
      <left style="medium">
        <color indexed="63"/>
      </left>
      <right style="thin">
        <color auto="1"/>
      </right>
      <top style="medium">
        <color auto="1"/>
      </top>
      <bottom style="medium">
        <color indexed="63"/>
      </bottom>
      <diagonal/>
    </border>
    <border>
      <left style="thin">
        <color auto="1"/>
      </left>
      <right style="medium">
        <color indexed="63"/>
      </right>
      <top style="medium">
        <color auto="1"/>
      </top>
      <bottom style="medium">
        <color indexed="63"/>
      </bottom>
      <diagonal/>
    </border>
    <border>
      <left/>
      <right style="thin">
        <color auto="1"/>
      </right>
      <top style="medium">
        <color auto="1"/>
      </top>
      <bottom style="medium">
        <color indexed="63"/>
      </bottom>
      <diagonal/>
    </border>
    <border>
      <left style="thin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auto="1"/>
      </left>
      <right style="thin">
        <color auto="1"/>
      </right>
      <top style="medium">
        <color indexed="63"/>
      </top>
      <bottom style="thin">
        <color auto="1"/>
      </bottom>
      <diagonal/>
    </border>
    <border>
      <left style="medium">
        <color indexed="63"/>
      </left>
      <right/>
      <top style="thin">
        <color auto="1"/>
      </top>
      <bottom/>
      <diagonal/>
    </border>
    <border>
      <left style="thin">
        <color rgb="FF333333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auto="1"/>
      </right>
      <top/>
      <bottom style="medium">
        <color indexed="63"/>
      </bottom>
      <diagonal/>
    </border>
    <border>
      <left style="thin">
        <color auto="1"/>
      </left>
      <right/>
      <top/>
      <bottom style="medium">
        <color indexed="63"/>
      </bottom>
      <diagonal/>
    </border>
    <border>
      <left style="medium">
        <color auto="1"/>
      </left>
      <right style="thin">
        <color auto="1"/>
      </right>
      <top/>
      <bottom style="medium">
        <color indexed="63"/>
      </bottom>
      <diagonal/>
    </border>
    <border>
      <left style="thin">
        <color auto="1"/>
      </left>
      <right style="medium">
        <color indexed="63"/>
      </right>
      <top/>
      <bottom style="medium">
        <color indexed="63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indexed="63"/>
      </top>
      <bottom style="medium">
        <color indexed="63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3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3"/>
      </bottom>
      <diagonal/>
    </border>
    <border>
      <left style="thin">
        <color auto="1"/>
      </left>
      <right style="medium">
        <color indexed="63"/>
      </right>
      <top style="medium">
        <color auto="1"/>
      </top>
      <bottom style="medium">
        <color auto="1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auto="1"/>
      </top>
      <bottom style="medium">
        <color indexed="63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3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3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indexed="63"/>
      </top>
      <bottom style="medium">
        <color auto="1"/>
      </bottom>
      <diagonal/>
    </border>
    <border>
      <left style="medium">
        <color auto="1"/>
      </left>
      <right style="medium">
        <color indexed="63"/>
      </right>
      <top style="hair">
        <color indexed="63"/>
      </top>
      <bottom/>
      <diagonal/>
    </border>
    <border>
      <left style="medium">
        <color auto="1"/>
      </left>
      <right style="medium">
        <color indexed="63"/>
      </right>
      <top/>
      <bottom style="hair">
        <color indexed="63"/>
      </bottom>
      <diagonal/>
    </border>
    <border>
      <left/>
      <right style="medium">
        <color indexed="63"/>
      </right>
      <top/>
      <bottom style="hair">
        <color indexed="63"/>
      </bottom>
      <diagonal/>
    </border>
  </borders>
  <cellStyleXfs count="3">
    <xf numFmtId="0" fontId="0" fillId="0" borderId="0"/>
    <xf numFmtId="0" fontId="21" fillId="0" borderId="0"/>
    <xf numFmtId="0" fontId="22" fillId="0" borderId="0"/>
  </cellStyleXfs>
  <cellXfs count="509">
    <xf numFmtId="0" fontId="0" fillId="0" borderId="0" xfId="0"/>
    <xf numFmtId="0" fontId="0" fillId="0" borderId="0" xfId="0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164" fontId="0" fillId="0" borderId="10" xfId="0" applyNumberFormat="1" applyBorder="1" applyAlignment="1">
      <alignment horizontal="center" vertical="center" wrapText="1"/>
    </xf>
    <xf numFmtId="164" fontId="0" fillId="3" borderId="10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64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right" wrapText="1"/>
    </xf>
    <xf numFmtId="0" fontId="3" fillId="0" borderId="9" xfId="0" applyFont="1" applyBorder="1" applyAlignment="1">
      <alignment horizontal="center" wrapText="1"/>
    </xf>
    <xf numFmtId="164" fontId="3" fillId="4" borderId="9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 wrapText="1"/>
    </xf>
    <xf numFmtId="164" fontId="0" fillId="3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horizontal="right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/>
    <xf numFmtId="164" fontId="3" fillId="2" borderId="8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3" borderId="18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164" fontId="3" fillId="2" borderId="23" xfId="0" applyNumberFormat="1" applyFont="1" applyFill="1" applyBorder="1" applyAlignment="1">
      <alignment horizontal="center" vertical="center" wrapText="1"/>
    </xf>
    <xf numFmtId="164" fontId="3" fillId="2" borderId="23" xfId="0" applyNumberFormat="1" applyFont="1" applyFill="1" applyBorder="1" applyAlignment="1">
      <alignment horizontal="right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vertical="top" wrapText="1"/>
    </xf>
    <xf numFmtId="164" fontId="0" fillId="0" borderId="28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29" xfId="0" applyNumberFormat="1" applyBorder="1" applyAlignment="1">
      <alignment horizontal="center" vertical="center" wrapText="1"/>
    </xf>
    <xf numFmtId="164" fontId="3" fillId="2" borderId="30" xfId="0" applyNumberFormat="1" applyFont="1" applyFill="1" applyBorder="1" applyAlignment="1">
      <alignment horizontal="center" vertical="center" wrapText="1"/>
    </xf>
    <xf numFmtId="164" fontId="3" fillId="2" borderId="31" xfId="0" applyNumberFormat="1" applyFont="1" applyFill="1" applyBorder="1" applyAlignment="1">
      <alignment horizontal="center" vertical="center" wrapText="1"/>
    </xf>
    <xf numFmtId="164" fontId="3" fillId="2" borderId="30" xfId="0" applyNumberFormat="1" applyFont="1" applyFill="1" applyBorder="1" applyAlignment="1">
      <alignment horizontal="right" vertical="top" wrapText="1"/>
    </xf>
    <xf numFmtId="164" fontId="0" fillId="0" borderId="32" xfId="0" applyNumberFormat="1" applyBorder="1" applyAlignment="1">
      <alignment horizontal="center" vertical="center" wrapText="1"/>
    </xf>
    <xf numFmtId="164" fontId="0" fillId="0" borderId="33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vertical="top" wrapText="1"/>
    </xf>
    <xf numFmtId="164" fontId="0" fillId="0" borderId="36" xfId="0" applyNumberFormat="1" applyBorder="1" applyAlignment="1">
      <alignment horizontal="center" vertical="center" wrapText="1"/>
    </xf>
    <xf numFmtId="164" fontId="0" fillId="0" borderId="37" xfId="0" applyNumberFormat="1" applyBorder="1" applyAlignment="1">
      <alignment horizontal="center" vertical="center" wrapText="1"/>
    </xf>
    <xf numFmtId="164" fontId="0" fillId="0" borderId="38" xfId="0" applyNumberFormat="1" applyBorder="1" applyAlignment="1">
      <alignment horizontal="center" vertical="center" wrapText="1"/>
    </xf>
    <xf numFmtId="164" fontId="0" fillId="0" borderId="39" xfId="0" applyNumberFormat="1" applyBorder="1" applyAlignment="1">
      <alignment horizontal="center" vertical="center" wrapText="1"/>
    </xf>
    <xf numFmtId="164" fontId="0" fillId="0" borderId="40" xfId="0" applyNumberFormat="1" applyBorder="1" applyAlignment="1">
      <alignment horizontal="center" vertical="center"/>
    </xf>
    <xf numFmtId="164" fontId="0" fillId="0" borderId="40" xfId="0" applyNumberFormat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vertical="center" wrapText="1"/>
    </xf>
    <xf numFmtId="164" fontId="0" fillId="5" borderId="30" xfId="0" applyNumberFormat="1" applyFill="1" applyBorder="1" applyAlignment="1">
      <alignment horizontal="center" vertical="center" wrapText="1"/>
    </xf>
    <xf numFmtId="164" fontId="0" fillId="5" borderId="23" xfId="0" applyNumberFormat="1" applyFill="1" applyBorder="1" applyAlignment="1">
      <alignment horizontal="center" vertical="center" wrapText="1"/>
    </xf>
    <xf numFmtId="164" fontId="0" fillId="5" borderId="31" xfId="0" applyNumberForma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vertical="center" wrapText="1"/>
    </xf>
    <xf numFmtId="164" fontId="0" fillId="6" borderId="30" xfId="0" applyNumberFormat="1" applyFill="1" applyBorder="1" applyAlignment="1">
      <alignment horizontal="center" vertical="center" wrapText="1"/>
    </xf>
    <xf numFmtId="164" fontId="0" fillId="6" borderId="23" xfId="0" applyNumberFormat="1" applyFill="1" applyBorder="1" applyAlignment="1">
      <alignment horizontal="center" vertical="center" wrapText="1"/>
    </xf>
    <xf numFmtId="164" fontId="0" fillId="6" borderId="31" xfId="0" applyNumberFormat="1" applyFill="1" applyBorder="1" applyAlignment="1">
      <alignment horizontal="center" vertical="center" wrapText="1"/>
    </xf>
    <xf numFmtId="164" fontId="10" fillId="2" borderId="30" xfId="0" applyNumberFormat="1" applyFont="1" applyFill="1" applyBorder="1" applyAlignment="1">
      <alignment horizontal="center" vertical="center" wrapText="1"/>
    </xf>
    <xf numFmtId="164" fontId="10" fillId="2" borderId="23" xfId="0" applyNumberFormat="1" applyFont="1" applyFill="1" applyBorder="1" applyAlignment="1">
      <alignment horizontal="center" vertical="center" wrapText="1"/>
    </xf>
    <xf numFmtId="164" fontId="10" fillId="2" borderId="31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top" wrapText="1"/>
    </xf>
    <xf numFmtId="0" fontId="0" fillId="0" borderId="42" xfId="0" applyBorder="1" applyAlignment="1">
      <alignment vertical="top" wrapText="1"/>
    </xf>
    <xf numFmtId="0" fontId="0" fillId="0" borderId="43" xfId="0" applyBorder="1" applyAlignment="1">
      <alignment horizontal="center" vertical="top" wrapText="1"/>
    </xf>
    <xf numFmtId="0" fontId="0" fillId="0" borderId="44" xfId="0" applyBorder="1" applyAlignment="1">
      <alignment vertical="top" wrapText="1"/>
    </xf>
    <xf numFmtId="0" fontId="0" fillId="2" borderId="24" xfId="0" applyFill="1" applyBorder="1" applyAlignment="1">
      <alignment horizontal="center" vertical="center" wrapText="1"/>
    </xf>
    <xf numFmtId="164" fontId="0" fillId="0" borderId="45" xfId="0" applyNumberFormat="1" applyBorder="1" applyAlignment="1">
      <alignment horizontal="center" vertical="center" wrapText="1"/>
    </xf>
    <xf numFmtId="164" fontId="0" fillId="0" borderId="46" xfId="0" applyNumberFormat="1" applyBorder="1" applyAlignment="1">
      <alignment horizontal="center" vertical="center" wrapText="1"/>
    </xf>
    <xf numFmtId="0" fontId="0" fillId="0" borderId="47" xfId="0" applyBorder="1" applyAlignment="1">
      <alignment horizontal="center" vertical="top" wrapText="1"/>
    </xf>
    <xf numFmtId="0" fontId="0" fillId="0" borderId="48" xfId="0" applyBorder="1" applyAlignment="1">
      <alignment vertical="top" wrapText="1"/>
    </xf>
    <xf numFmtId="164" fontId="0" fillId="0" borderId="49" xfId="0" applyNumberFormat="1" applyBorder="1" applyAlignment="1">
      <alignment horizontal="center" vertical="center" wrapText="1"/>
    </xf>
    <xf numFmtId="164" fontId="0" fillId="0" borderId="50" xfId="0" applyNumberForma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 wrapText="1"/>
    </xf>
    <xf numFmtId="164" fontId="0" fillId="0" borderId="52" xfId="0" applyNumberFormat="1" applyBorder="1" applyAlignment="1">
      <alignment horizontal="center" vertical="center" wrapText="1"/>
    </xf>
    <xf numFmtId="164" fontId="0" fillId="0" borderId="50" xfId="0" applyNumberFormat="1" applyBorder="1" applyAlignment="1">
      <alignment horizontal="center" vertical="center" wrapText="1"/>
    </xf>
    <xf numFmtId="164" fontId="0" fillId="0" borderId="53" xfId="0" applyNumberFormat="1" applyBorder="1" applyAlignment="1">
      <alignment horizontal="center" vertical="center" wrapText="1"/>
    </xf>
    <xf numFmtId="164" fontId="0" fillId="3" borderId="52" xfId="0" applyNumberFormat="1" applyFill="1" applyBorder="1" applyAlignment="1">
      <alignment horizontal="center" vertical="center" wrapText="1"/>
    </xf>
    <xf numFmtId="164" fontId="0" fillId="3" borderId="50" xfId="0" applyNumberFormat="1" applyFill="1" applyBorder="1" applyAlignment="1">
      <alignment horizontal="center" vertical="center" wrapText="1"/>
    </xf>
    <xf numFmtId="164" fontId="0" fillId="0" borderId="49" xfId="0" applyNumberFormat="1" applyBorder="1" applyAlignment="1">
      <alignment horizontal="center" vertical="top" wrapText="1"/>
    </xf>
    <xf numFmtId="164" fontId="0" fillId="0" borderId="50" xfId="0" applyNumberFormat="1" applyBorder="1" applyAlignment="1">
      <alignment horizontal="center" vertical="top"/>
    </xf>
    <xf numFmtId="164" fontId="0" fillId="0" borderId="51" xfId="0" applyNumberFormat="1" applyBorder="1" applyAlignment="1">
      <alignment horizontal="center" vertical="top" wrapText="1"/>
    </xf>
    <xf numFmtId="164" fontId="0" fillId="3" borderId="52" xfId="0" applyNumberFormat="1" applyFill="1" applyBorder="1" applyAlignment="1">
      <alignment horizontal="center" vertical="top" wrapText="1"/>
    </xf>
    <xf numFmtId="164" fontId="0" fillId="3" borderId="50" xfId="0" applyNumberFormat="1" applyFill="1" applyBorder="1" applyAlignment="1">
      <alignment horizontal="center" vertical="top" wrapText="1"/>
    </xf>
    <xf numFmtId="164" fontId="0" fillId="0" borderId="53" xfId="0" applyNumberFormat="1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55" xfId="0" applyBorder="1" applyAlignment="1">
      <alignment vertical="top" wrapText="1"/>
    </xf>
    <xf numFmtId="0" fontId="3" fillId="6" borderId="24" xfId="0" applyFont="1" applyFill="1" applyBorder="1" applyAlignment="1">
      <alignment horizontal="center" vertical="top" wrapText="1"/>
    </xf>
    <xf numFmtId="0" fontId="3" fillId="6" borderId="25" xfId="0" applyFont="1" applyFill="1" applyBorder="1" applyAlignment="1">
      <alignment horizontal="left" vertical="top" wrapText="1"/>
    </xf>
    <xf numFmtId="164" fontId="0" fillId="3" borderId="45" xfId="0" applyNumberFormat="1" applyFill="1" applyBorder="1" applyAlignment="1">
      <alignment horizontal="center" vertical="center" wrapText="1"/>
    </xf>
    <xf numFmtId="164" fontId="0" fillId="3" borderId="33" xfId="0" applyNumberForma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164" fontId="0" fillId="3" borderId="56" xfId="0" applyNumberFormat="1" applyFill="1" applyBorder="1" applyAlignment="1">
      <alignment horizontal="center" vertical="center" wrapText="1"/>
    </xf>
    <xf numFmtId="164" fontId="0" fillId="3" borderId="57" xfId="0" applyNumberFormat="1" applyFill="1" applyBorder="1" applyAlignment="1">
      <alignment horizontal="center" vertical="center" wrapText="1"/>
    </xf>
    <xf numFmtId="164" fontId="0" fillId="0" borderId="58" xfId="0" applyNumberFormat="1" applyBorder="1" applyAlignment="1">
      <alignment horizontal="center" vertical="center" wrapText="1"/>
    </xf>
    <xf numFmtId="0" fontId="0" fillId="0" borderId="59" xfId="0" applyBorder="1" applyAlignment="1">
      <alignment vertical="top" wrapText="1"/>
    </xf>
    <xf numFmtId="164" fontId="0" fillId="3" borderId="60" xfId="0" applyNumberFormat="1" applyFill="1" applyBorder="1" applyAlignment="1">
      <alignment horizontal="center" vertical="center" wrapText="1"/>
    </xf>
    <xf numFmtId="164" fontId="0" fillId="3" borderId="40" xfId="0" applyNumberFormat="1" applyFill="1" applyBorder="1" applyAlignment="1">
      <alignment horizontal="center" vertical="center" wrapText="1"/>
    </xf>
    <xf numFmtId="164" fontId="0" fillId="0" borderId="61" xfId="0" applyNumberFormat="1" applyBorder="1" applyAlignment="1">
      <alignment horizontal="center" vertical="center" wrapText="1"/>
    </xf>
    <xf numFmtId="0" fontId="3" fillId="6" borderId="62" xfId="0" applyFont="1" applyFill="1" applyBorder="1" applyAlignment="1">
      <alignment horizontal="center" vertical="top" wrapText="1"/>
    </xf>
    <xf numFmtId="0" fontId="3" fillId="6" borderId="63" xfId="0" applyFont="1" applyFill="1" applyBorder="1" applyAlignment="1">
      <alignment vertical="top" wrapText="1"/>
    </xf>
    <xf numFmtId="0" fontId="0" fillId="0" borderId="64" xfId="0" applyBorder="1" applyAlignment="1">
      <alignment vertical="top" wrapText="1"/>
    </xf>
    <xf numFmtId="0" fontId="0" fillId="0" borderId="33" xfId="0" applyBorder="1" applyAlignment="1">
      <alignment horizontal="center" vertical="center" wrapText="1"/>
    </xf>
    <xf numFmtId="164" fontId="3" fillId="2" borderId="65" xfId="0" applyNumberFormat="1" applyFont="1" applyFill="1" applyBorder="1" applyAlignment="1">
      <alignment horizontal="right" vertical="top" wrapText="1"/>
    </xf>
    <xf numFmtId="164" fontId="3" fillId="2" borderId="65" xfId="0" applyNumberFormat="1" applyFont="1" applyFill="1" applyBorder="1" applyAlignment="1">
      <alignment horizontal="center" vertical="center" wrapText="1"/>
    </xf>
    <xf numFmtId="164" fontId="0" fillId="0" borderId="66" xfId="0" applyNumberFormat="1" applyBorder="1" applyAlignment="1">
      <alignment horizontal="center" vertical="center" wrapText="1"/>
    </xf>
    <xf numFmtId="164" fontId="0" fillId="0" borderId="67" xfId="0" applyNumberFormat="1" applyBorder="1" applyAlignment="1">
      <alignment horizontal="center" vertical="center" wrapText="1"/>
    </xf>
    <xf numFmtId="164" fontId="0" fillId="0" borderId="68" xfId="0" applyNumberFormat="1" applyBorder="1" applyAlignment="1">
      <alignment horizontal="center" vertical="center" wrapText="1"/>
    </xf>
    <xf numFmtId="164" fontId="0" fillId="0" borderId="69" xfId="0" applyNumberFormat="1" applyBorder="1" applyAlignment="1">
      <alignment horizontal="center" vertical="center" wrapText="1"/>
    </xf>
    <xf numFmtId="164" fontId="3" fillId="2" borderId="70" xfId="0" applyNumberFormat="1" applyFont="1" applyFill="1" applyBorder="1" applyAlignment="1">
      <alignment horizontal="right" vertical="top" wrapText="1"/>
    </xf>
    <xf numFmtId="164" fontId="3" fillId="2" borderId="71" xfId="0" applyNumberFormat="1" applyFont="1" applyFill="1" applyBorder="1" applyAlignment="1">
      <alignment horizontal="right" vertical="top" wrapText="1"/>
    </xf>
    <xf numFmtId="164" fontId="0" fillId="2" borderId="72" xfId="0" applyNumberFormat="1" applyFill="1" applyBorder="1" applyAlignment="1">
      <alignment horizontal="center" vertical="center" wrapText="1"/>
    </xf>
    <xf numFmtId="164" fontId="0" fillId="2" borderId="65" xfId="0" applyNumberFormat="1" applyFill="1" applyBorder="1" applyAlignment="1">
      <alignment horizontal="center" vertical="center" wrapText="1"/>
    </xf>
    <xf numFmtId="0" fontId="0" fillId="0" borderId="73" xfId="0" applyBorder="1" applyAlignment="1">
      <alignment horizontal="center" vertical="top" wrapText="1"/>
    </xf>
    <xf numFmtId="164" fontId="0" fillId="0" borderId="60" xfId="0" applyNumberFormat="1" applyBorder="1" applyAlignment="1">
      <alignment horizontal="center" vertical="center" wrapText="1"/>
    </xf>
    <xf numFmtId="164" fontId="0" fillId="0" borderId="74" xfId="0" applyNumberFormat="1" applyBorder="1" applyAlignment="1">
      <alignment horizontal="center" vertical="center" wrapText="1"/>
    </xf>
    <xf numFmtId="164" fontId="0" fillId="5" borderId="70" xfId="0" applyNumberFormat="1" applyFill="1" applyBorder="1" applyAlignment="1">
      <alignment horizontal="center" vertical="center" wrapText="1"/>
    </xf>
    <xf numFmtId="164" fontId="0" fillId="5" borderId="71" xfId="0" applyNumberFormat="1" applyFill="1" applyBorder="1" applyAlignment="1">
      <alignment horizontal="center" vertical="center" wrapText="1"/>
    </xf>
    <xf numFmtId="164" fontId="0" fillId="5" borderId="72" xfId="0" applyNumberFormat="1" applyFill="1" applyBorder="1" applyAlignment="1">
      <alignment horizontal="center" vertical="center" wrapText="1"/>
    </xf>
    <xf numFmtId="164" fontId="0" fillId="5" borderId="65" xfId="0" applyNumberFormat="1" applyFill="1" applyBorder="1" applyAlignment="1">
      <alignment horizontal="center" vertical="center" wrapText="1"/>
    </xf>
    <xf numFmtId="164" fontId="0" fillId="6" borderId="70" xfId="0" applyNumberFormat="1" applyFill="1" applyBorder="1" applyAlignment="1">
      <alignment horizontal="center" vertical="center" wrapText="1"/>
    </xf>
    <xf numFmtId="164" fontId="0" fillId="6" borderId="71" xfId="0" applyNumberFormat="1" applyFill="1" applyBorder="1" applyAlignment="1">
      <alignment horizontal="center" vertical="center" wrapText="1"/>
    </xf>
    <xf numFmtId="164" fontId="10" fillId="2" borderId="70" xfId="0" applyNumberFormat="1" applyFont="1" applyFill="1" applyBorder="1" applyAlignment="1">
      <alignment horizontal="center" vertical="center" wrapText="1"/>
    </xf>
    <xf numFmtId="164" fontId="10" fillId="2" borderId="71" xfId="0" applyNumberFormat="1" applyFont="1" applyFill="1" applyBorder="1" applyAlignment="1">
      <alignment horizontal="center" vertical="center" wrapText="1"/>
    </xf>
    <xf numFmtId="164" fontId="3" fillId="2" borderId="70" xfId="0" applyNumberFormat="1" applyFont="1" applyFill="1" applyBorder="1" applyAlignment="1">
      <alignment horizontal="center" vertical="center" wrapText="1"/>
    </xf>
    <xf numFmtId="164" fontId="3" fillId="2" borderId="71" xfId="0" applyNumberFormat="1" applyFont="1" applyFill="1" applyBorder="1" applyAlignment="1">
      <alignment horizontal="center" vertical="center" wrapText="1"/>
    </xf>
    <xf numFmtId="164" fontId="0" fillId="0" borderId="52" xfId="0" applyNumberFormat="1" applyBorder="1" applyAlignment="1">
      <alignment horizontal="center" vertical="top" wrapText="1"/>
    </xf>
    <xf numFmtId="164" fontId="0" fillId="0" borderId="50" xfId="0" applyNumberFormat="1" applyBorder="1" applyAlignment="1">
      <alignment horizontal="center" vertical="top" wrapText="1"/>
    </xf>
    <xf numFmtId="164" fontId="11" fillId="0" borderId="52" xfId="0" applyNumberFormat="1" applyFont="1" applyBorder="1" applyAlignment="1">
      <alignment horizontal="center" vertical="center" wrapText="1"/>
    </xf>
    <xf numFmtId="164" fontId="11" fillId="0" borderId="50" xfId="0" applyNumberFormat="1" applyFont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164" fontId="3" fillId="2" borderId="76" xfId="0" applyNumberFormat="1" applyFont="1" applyFill="1" applyBorder="1" applyAlignment="1">
      <alignment horizontal="center" vertical="center" wrapText="1"/>
    </xf>
    <xf numFmtId="164" fontId="0" fillId="0" borderId="77" xfId="0" applyNumberFormat="1" applyBorder="1" applyAlignment="1">
      <alignment horizontal="center" vertical="center" wrapText="1"/>
    </xf>
    <xf numFmtId="164" fontId="0" fillId="2" borderId="78" xfId="0" applyNumberFormat="1" applyFill="1" applyBorder="1" applyAlignment="1">
      <alignment horizontal="center" vertical="center" wrapText="1"/>
    </xf>
    <xf numFmtId="164" fontId="0" fillId="0" borderId="79" xfId="0" applyNumberFormat="1" applyBorder="1" applyAlignment="1">
      <alignment horizontal="center" vertical="center" wrapText="1"/>
    </xf>
    <xf numFmtId="164" fontId="0" fillId="5" borderId="78" xfId="0" applyNumberFormat="1" applyFill="1" applyBorder="1" applyAlignment="1">
      <alignment horizontal="center" vertical="center" wrapText="1"/>
    </xf>
    <xf numFmtId="164" fontId="11" fillId="0" borderId="53" xfId="0" applyNumberFormat="1" applyFont="1" applyBorder="1" applyAlignment="1">
      <alignment horizontal="center" vertical="center" wrapText="1"/>
    </xf>
    <xf numFmtId="164" fontId="0" fillId="3" borderId="66" xfId="0" applyNumberFormat="1" applyFill="1" applyBorder="1" applyAlignment="1">
      <alignment horizontal="center" vertical="center" wrapText="1"/>
    </xf>
    <xf numFmtId="0" fontId="3" fillId="6" borderId="62" xfId="0" applyFont="1" applyFill="1" applyBorder="1" applyAlignment="1">
      <alignment horizontal="center" vertical="center" wrapText="1"/>
    </xf>
    <xf numFmtId="0" fontId="3" fillId="6" borderId="63" xfId="0" applyFont="1" applyFill="1" applyBorder="1" applyAlignment="1">
      <alignment vertical="center" wrapText="1"/>
    </xf>
    <xf numFmtId="164" fontId="0" fillId="6" borderId="30" xfId="0" applyNumberFormat="1" applyFill="1" applyBorder="1" applyAlignment="1">
      <alignment horizontal="center" vertical="top" wrapText="1"/>
    </xf>
    <xf numFmtId="164" fontId="0" fillId="6" borderId="23" xfId="0" applyNumberFormat="1" applyFill="1" applyBorder="1" applyAlignment="1">
      <alignment horizontal="center" vertical="top" wrapText="1"/>
    </xf>
    <xf numFmtId="0" fontId="3" fillId="2" borderId="62" xfId="0" applyFont="1" applyFill="1" applyBorder="1" applyAlignment="1">
      <alignment horizontal="center" vertical="center" wrapText="1"/>
    </xf>
    <xf numFmtId="0" fontId="9" fillId="2" borderId="63" xfId="0" applyFont="1" applyFill="1" applyBorder="1" applyAlignment="1">
      <alignment horizontal="center" vertical="center" wrapText="1"/>
    </xf>
    <xf numFmtId="164" fontId="0" fillId="2" borderId="23" xfId="0" applyNumberFormat="1" applyFill="1" applyBorder="1" applyAlignment="1">
      <alignment horizontal="center" vertical="center" wrapText="1"/>
    </xf>
    <xf numFmtId="164" fontId="0" fillId="2" borderId="31" xfId="0" applyNumberFormat="1" applyFill="1" applyBorder="1" applyAlignment="1">
      <alignment horizontal="center" vertical="center" wrapText="1"/>
    </xf>
    <xf numFmtId="164" fontId="0" fillId="2" borderId="30" xfId="0" applyNumberFormat="1" applyFill="1" applyBorder="1" applyAlignment="1">
      <alignment horizontal="center" vertical="top" wrapText="1"/>
    </xf>
    <xf numFmtId="164" fontId="0" fillId="2" borderId="23" xfId="0" applyNumberFormat="1" applyFill="1" applyBorder="1" applyAlignment="1">
      <alignment horizontal="center" vertical="top" wrapText="1"/>
    </xf>
    <xf numFmtId="0" fontId="0" fillId="0" borderId="26" xfId="0" applyBorder="1" applyAlignment="1">
      <alignment horizontal="center" vertical="center" wrapText="1"/>
    </xf>
    <xf numFmtId="0" fontId="0" fillId="0" borderId="64" xfId="0" applyBorder="1" applyAlignment="1">
      <alignment vertical="center" wrapText="1"/>
    </xf>
    <xf numFmtId="0" fontId="0" fillId="2" borderId="62" xfId="0" applyFill="1" applyBorder="1" applyAlignment="1">
      <alignment horizontal="center" vertical="center" wrapText="1"/>
    </xf>
    <xf numFmtId="164" fontId="3" fillId="2" borderId="30" xfId="0" applyNumberFormat="1" applyFont="1" applyFill="1" applyBorder="1" applyAlignment="1">
      <alignment horizontal="center" vertical="top" wrapText="1"/>
    </xf>
    <xf numFmtId="164" fontId="3" fillId="2" borderId="23" xfId="0" applyNumberFormat="1" applyFont="1" applyFill="1" applyBorder="1" applyAlignment="1">
      <alignment horizontal="center" vertical="top" wrapText="1"/>
    </xf>
    <xf numFmtId="164" fontId="0" fillId="7" borderId="0" xfId="0" applyNumberFormat="1" applyFill="1" applyAlignment="1">
      <alignment horizontal="center" vertical="center" wrapText="1"/>
    </xf>
    <xf numFmtId="164" fontId="0" fillId="7" borderId="50" xfId="0" applyNumberFormat="1" applyFill="1" applyBorder="1" applyAlignment="1">
      <alignment horizontal="center" vertical="center" wrapText="1"/>
    </xf>
    <xf numFmtId="164" fontId="0" fillId="0" borderId="28" xfId="0" applyNumberFormat="1" applyBorder="1" applyAlignment="1">
      <alignment horizontal="center" vertical="top" wrapText="1"/>
    </xf>
    <xf numFmtId="164" fontId="0" fillId="7" borderId="0" xfId="0" applyNumberFormat="1" applyFill="1" applyAlignment="1">
      <alignment horizontal="center" vertical="top" wrapText="1"/>
    </xf>
    <xf numFmtId="164" fontId="0" fillId="0" borderId="29" xfId="0" applyNumberFormat="1" applyBorder="1" applyAlignment="1">
      <alignment horizontal="center" vertical="top" wrapText="1"/>
    </xf>
    <xf numFmtId="164" fontId="0" fillId="0" borderId="66" xfId="0" applyNumberFormat="1" applyBorder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64" fontId="0" fillId="0" borderId="67" xfId="0" applyNumberFormat="1" applyBorder="1" applyAlignment="1">
      <alignment horizontal="center" vertical="top" wrapText="1"/>
    </xf>
    <xf numFmtId="164" fontId="0" fillId="6" borderId="70" xfId="0" applyNumberFormat="1" applyFill="1" applyBorder="1" applyAlignment="1">
      <alignment horizontal="center" vertical="top" wrapText="1"/>
    </xf>
    <xf numFmtId="164" fontId="0" fillId="6" borderId="71" xfId="0" applyNumberFormat="1" applyFill="1" applyBorder="1" applyAlignment="1">
      <alignment horizontal="center" vertical="top" wrapText="1"/>
    </xf>
    <xf numFmtId="0" fontId="0" fillId="2" borderId="62" xfId="0" applyFill="1" applyBorder="1" applyAlignment="1">
      <alignment horizontal="center" vertical="top" wrapText="1"/>
    </xf>
    <xf numFmtId="0" fontId="9" fillId="2" borderId="63" xfId="0" applyFont="1" applyFill="1" applyBorder="1" applyAlignment="1">
      <alignment horizontal="center" vertical="top" wrapText="1"/>
    </xf>
    <xf numFmtId="164" fontId="3" fillId="2" borderId="70" xfId="0" applyNumberFormat="1" applyFont="1" applyFill="1" applyBorder="1" applyAlignment="1">
      <alignment horizontal="center" vertical="top" wrapText="1"/>
    </xf>
    <xf numFmtId="164" fontId="3" fillId="2" borderId="71" xfId="0" applyNumberFormat="1" applyFont="1" applyFill="1" applyBorder="1" applyAlignment="1">
      <alignment horizontal="center" vertical="top" wrapText="1"/>
    </xf>
    <xf numFmtId="164" fontId="4" fillId="0" borderId="45" xfId="0" applyNumberFormat="1" applyFont="1" applyBorder="1" applyAlignment="1">
      <alignment horizontal="center" vertical="center" wrapText="1"/>
    </xf>
    <xf numFmtId="164" fontId="4" fillId="0" borderId="52" xfId="0" applyNumberFormat="1" applyFont="1" applyBorder="1" applyAlignment="1">
      <alignment horizontal="center" vertical="center" wrapText="1"/>
    </xf>
    <xf numFmtId="0" fontId="4" fillId="0" borderId="48" xfId="0" applyFont="1" applyBorder="1" applyAlignment="1">
      <alignment vertical="top" wrapText="1"/>
    </xf>
    <xf numFmtId="164" fontId="4" fillId="0" borderId="66" xfId="0" applyNumberFormat="1" applyFont="1" applyBorder="1" applyAlignment="1">
      <alignment horizontal="center" vertical="center" wrapText="1"/>
    </xf>
    <xf numFmtId="164" fontId="4" fillId="6" borderId="70" xfId="0" applyNumberFormat="1" applyFont="1" applyFill="1" applyBorder="1" applyAlignment="1">
      <alignment horizontal="center" vertical="top" wrapText="1"/>
    </xf>
    <xf numFmtId="164" fontId="4" fillId="0" borderId="45" xfId="0" applyNumberFormat="1" applyFont="1" applyBorder="1" applyAlignment="1">
      <alignment horizontal="center" vertical="top" wrapText="1"/>
    </xf>
    <xf numFmtId="164" fontId="0" fillId="0" borderId="33" xfId="0" applyNumberFormat="1" applyBorder="1" applyAlignment="1">
      <alignment horizontal="center" vertical="top" wrapText="1"/>
    </xf>
    <xf numFmtId="164" fontId="0" fillId="0" borderId="46" xfId="0" applyNumberFormat="1" applyBorder="1" applyAlignment="1">
      <alignment horizontal="center" vertical="top" wrapText="1"/>
    </xf>
    <xf numFmtId="164" fontId="4" fillId="0" borderId="52" xfId="0" applyNumberFormat="1" applyFont="1" applyBorder="1" applyAlignment="1">
      <alignment horizontal="center" vertical="top" wrapText="1"/>
    </xf>
    <xf numFmtId="164" fontId="12" fillId="0" borderId="45" xfId="0" applyNumberFormat="1" applyFont="1" applyBorder="1" applyAlignment="1">
      <alignment horizontal="center" vertical="top" wrapText="1"/>
    </xf>
    <xf numFmtId="164" fontId="13" fillId="0" borderId="46" xfId="0" applyNumberFormat="1" applyFont="1" applyBorder="1" applyAlignment="1">
      <alignment horizontal="center" vertical="top" wrapText="1"/>
    </xf>
    <xf numFmtId="164" fontId="12" fillId="0" borderId="52" xfId="0" applyNumberFormat="1" applyFont="1" applyBorder="1" applyAlignment="1">
      <alignment horizontal="center" vertical="top" wrapText="1"/>
    </xf>
    <xf numFmtId="164" fontId="0" fillId="0" borderId="45" xfId="0" applyNumberFormat="1" applyBorder="1" applyAlignment="1">
      <alignment horizontal="center" vertical="top" wrapText="1"/>
    </xf>
    <xf numFmtId="164" fontId="4" fillId="0" borderId="66" xfId="0" applyNumberFormat="1" applyFont="1" applyBorder="1" applyAlignment="1">
      <alignment horizontal="center" vertical="top" wrapText="1"/>
    </xf>
    <xf numFmtId="0" fontId="3" fillId="2" borderId="62" xfId="0" applyFont="1" applyFill="1" applyBorder="1" applyAlignment="1">
      <alignment horizontal="center" vertical="top" wrapText="1"/>
    </xf>
    <xf numFmtId="164" fontId="0" fillId="6" borderId="72" xfId="0" applyNumberFormat="1" applyFill="1" applyBorder="1" applyAlignment="1">
      <alignment horizontal="center" vertical="top" wrapText="1"/>
    </xf>
    <xf numFmtId="164" fontId="0" fillId="6" borderId="65" xfId="0" applyNumberFormat="1" applyFill="1" applyBorder="1" applyAlignment="1">
      <alignment horizontal="center" vertical="top" wrapText="1"/>
    </xf>
    <xf numFmtId="164" fontId="0" fillId="6" borderId="78" xfId="0" applyNumberFormat="1" applyFill="1" applyBorder="1" applyAlignment="1">
      <alignment horizontal="center" vertical="top" wrapText="1"/>
    </xf>
    <xf numFmtId="164" fontId="3" fillId="4" borderId="18" xfId="0" applyNumberFormat="1" applyFont="1" applyFill="1" applyBorder="1" applyAlignment="1">
      <alignment horizontal="center" vertical="center" wrapText="1"/>
    </xf>
    <xf numFmtId="164" fontId="0" fillId="0" borderId="56" xfId="0" applyNumberFormat="1" applyBorder="1" applyAlignment="1">
      <alignment horizontal="center" vertical="center" wrapText="1"/>
    </xf>
    <xf numFmtId="164" fontId="0" fillId="0" borderId="57" xfId="0" applyNumberFormat="1" applyBorder="1" applyAlignment="1">
      <alignment horizontal="center" vertical="center" wrapText="1"/>
    </xf>
    <xf numFmtId="0" fontId="8" fillId="0" borderId="81" xfId="0" applyFont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 wrapText="1"/>
    </xf>
    <xf numFmtId="0" fontId="8" fillId="0" borderId="83" xfId="0" applyFont="1" applyBorder="1" applyAlignment="1">
      <alignment horizontal="center" vertical="center" wrapText="1"/>
    </xf>
    <xf numFmtId="0" fontId="0" fillId="0" borderId="85" xfId="0" applyBorder="1" applyAlignment="1">
      <alignment horizontal="center" wrapText="1"/>
    </xf>
    <xf numFmtId="0" fontId="8" fillId="0" borderId="19" xfId="0" applyFont="1" applyBorder="1" applyAlignment="1">
      <alignment horizontal="center" vertical="top" wrapText="1"/>
    </xf>
    <xf numFmtId="0" fontId="8" fillId="0" borderId="80" xfId="0" applyFont="1" applyBorder="1" applyAlignment="1">
      <alignment vertical="top" wrapText="1"/>
    </xf>
    <xf numFmtId="0" fontId="0" fillId="0" borderId="86" xfId="0" applyBorder="1" applyAlignment="1">
      <alignment vertical="top" wrapText="1"/>
    </xf>
    <xf numFmtId="0" fontId="0" fillId="0" borderId="84" xfId="0" applyBorder="1" applyAlignment="1">
      <alignment vertical="top" wrapText="1"/>
    </xf>
    <xf numFmtId="0" fontId="0" fillId="0" borderId="8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88" xfId="0" applyBorder="1" applyAlignment="1">
      <alignment horizontal="center" vertical="top"/>
    </xf>
    <xf numFmtId="0" fontId="0" fillId="0" borderId="89" xfId="0" applyBorder="1" applyAlignment="1">
      <alignment horizontal="center" vertical="top"/>
    </xf>
    <xf numFmtId="0" fontId="0" fillId="0" borderId="90" xfId="0" applyBorder="1" applyAlignment="1">
      <alignment horizontal="center" vertical="top" wrapText="1"/>
    </xf>
    <xf numFmtId="0" fontId="0" fillId="0" borderId="91" xfId="0" applyBorder="1" applyAlignment="1">
      <alignment horizontal="center" vertical="top" wrapText="1"/>
    </xf>
    <xf numFmtId="0" fontId="0" fillId="0" borderId="92" xfId="0" applyBorder="1" applyAlignment="1">
      <alignment horizontal="center" vertical="top" wrapText="1"/>
    </xf>
    <xf numFmtId="0" fontId="0" fillId="0" borderId="93" xfId="0" applyBorder="1" applyAlignment="1">
      <alignment vertical="top" wrapText="1"/>
    </xf>
    <xf numFmtId="0" fontId="0" fillId="0" borderId="94" xfId="0" applyBorder="1" applyAlignment="1">
      <alignment horizontal="center" vertical="top"/>
    </xf>
    <xf numFmtId="0" fontId="0" fillId="0" borderId="95" xfId="0" applyBorder="1" applyAlignment="1">
      <alignment horizontal="center" vertical="top"/>
    </xf>
    <xf numFmtId="0" fontId="0" fillId="0" borderId="96" xfId="0" applyBorder="1" applyAlignment="1">
      <alignment horizontal="center" vertical="top"/>
    </xf>
    <xf numFmtId="0" fontId="0" fillId="0" borderId="97" xfId="0" applyBorder="1" applyAlignment="1">
      <alignment horizontal="center" vertical="top"/>
    </xf>
    <xf numFmtId="0" fontId="8" fillId="0" borderId="98" xfId="0" applyFont="1" applyBorder="1" applyAlignment="1">
      <alignment horizontal="center" vertical="top" wrapText="1"/>
    </xf>
    <xf numFmtId="0" fontId="8" fillId="0" borderId="84" xfId="0" applyFont="1" applyBorder="1" applyAlignment="1">
      <alignment vertical="top" wrapText="1"/>
    </xf>
    <xf numFmtId="0" fontId="0" fillId="0" borderId="65" xfId="0" applyBorder="1" applyAlignment="1">
      <alignment horizontal="center" vertical="top" wrapText="1"/>
    </xf>
    <xf numFmtId="0" fontId="0" fillId="0" borderId="99" xfId="0" applyBorder="1" applyAlignment="1">
      <alignment horizontal="center" wrapText="1"/>
    </xf>
    <xf numFmtId="0" fontId="0" fillId="0" borderId="100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101" xfId="0" applyBorder="1" applyAlignment="1">
      <alignment horizontal="center" vertical="top" wrapText="1"/>
    </xf>
    <xf numFmtId="0" fontId="0" fillId="0" borderId="93" xfId="0" applyBorder="1" applyAlignment="1">
      <alignment horizontal="center" vertical="top" wrapText="1"/>
    </xf>
    <xf numFmtId="0" fontId="0" fillId="0" borderId="102" xfId="0" applyBorder="1" applyAlignment="1">
      <alignment horizontal="center" vertical="top" wrapText="1"/>
    </xf>
    <xf numFmtId="0" fontId="0" fillId="0" borderId="103" xfId="0" applyBorder="1" applyAlignment="1">
      <alignment horizontal="center" vertical="top" wrapText="1"/>
    </xf>
    <xf numFmtId="0" fontId="0" fillId="0" borderId="65" xfId="0" applyBorder="1" applyAlignment="1">
      <alignment vertical="top" wrapText="1"/>
    </xf>
    <xf numFmtId="0" fontId="0" fillId="0" borderId="78" xfId="0" applyBorder="1" applyAlignment="1">
      <alignment vertical="top" wrapText="1"/>
    </xf>
    <xf numFmtId="0" fontId="0" fillId="0" borderId="104" xfId="0" applyBorder="1" applyAlignment="1">
      <alignment horizontal="center" vertical="top" wrapText="1"/>
    </xf>
    <xf numFmtId="0" fontId="0" fillId="0" borderId="105" xfId="0" applyBorder="1" applyAlignment="1">
      <alignment vertical="top" wrapText="1"/>
    </xf>
    <xf numFmtId="0" fontId="0" fillId="0" borderId="106" xfId="0" applyBorder="1" applyAlignment="1">
      <alignment horizontal="center" vertical="top"/>
    </xf>
    <xf numFmtId="0" fontId="0" fillId="0" borderId="107" xfId="0" applyBorder="1" applyAlignment="1">
      <alignment horizontal="center" vertical="top"/>
    </xf>
    <xf numFmtId="0" fontId="0" fillId="0" borderId="108" xfId="0" applyBorder="1" applyAlignment="1">
      <alignment horizontal="center" vertical="top" wrapText="1"/>
    </xf>
    <xf numFmtId="0" fontId="0" fillId="0" borderId="78" xfId="0" applyBorder="1" applyAlignment="1">
      <alignment horizontal="center" vertical="top" wrapText="1"/>
    </xf>
    <xf numFmtId="0" fontId="0" fillId="0" borderId="105" xfId="0" applyBorder="1" applyAlignment="1">
      <alignment horizontal="center" vertical="top" wrapText="1"/>
    </xf>
    <xf numFmtId="0" fontId="0" fillId="0" borderId="109" xfId="0" applyBorder="1" applyAlignment="1">
      <alignment horizontal="center" vertical="top" wrapText="1"/>
    </xf>
    <xf numFmtId="0" fontId="8" fillId="0" borderId="110" xfId="0" applyFont="1" applyBorder="1" applyAlignment="1">
      <alignment horizontal="center" vertical="top" wrapText="1"/>
    </xf>
    <xf numFmtId="0" fontId="8" fillId="0" borderId="111" xfId="0" applyFont="1" applyBorder="1" applyAlignment="1">
      <alignment vertical="top" wrapText="1"/>
    </xf>
    <xf numFmtId="0" fontId="0" fillId="0" borderId="112" xfId="0" applyBorder="1" applyAlignment="1">
      <alignment horizontal="center" vertical="top" wrapText="1"/>
    </xf>
    <xf numFmtId="0" fontId="0" fillId="0" borderId="113" xfId="0" applyBorder="1" applyAlignment="1">
      <alignment horizontal="center" vertical="top"/>
    </xf>
    <xf numFmtId="0" fontId="0" fillId="0" borderId="114" xfId="0" applyBorder="1" applyAlignment="1">
      <alignment horizontal="center" vertical="top"/>
    </xf>
    <xf numFmtId="0" fontId="0" fillId="0" borderId="115" xfId="0" applyBorder="1" applyAlignment="1">
      <alignment horizontal="center" vertical="top" wrapText="1"/>
    </xf>
    <xf numFmtId="0" fontId="8" fillId="0" borderId="84" xfId="0" applyFont="1" applyBorder="1" applyAlignment="1">
      <alignment horizontal="center" vertical="center" wrapText="1"/>
    </xf>
    <xf numFmtId="0" fontId="8" fillId="0" borderId="116" xfId="0" applyFont="1" applyBorder="1" applyAlignment="1">
      <alignment horizontal="center" vertical="center" wrapText="1"/>
    </xf>
    <xf numFmtId="0" fontId="14" fillId="0" borderId="72" xfId="0" applyFont="1" applyBorder="1" applyAlignment="1">
      <alignment horizontal="center" vertical="center" wrapText="1"/>
    </xf>
    <xf numFmtId="0" fontId="14" fillId="0" borderId="118" xfId="0" applyFont="1" applyBorder="1" applyAlignment="1">
      <alignment horizontal="center" vertical="center" wrapText="1"/>
    </xf>
    <xf numFmtId="0" fontId="11" fillId="0" borderId="0" xfId="0" applyFont="1"/>
    <xf numFmtId="0" fontId="0" fillId="0" borderId="0" xfId="0" applyAlignment="1">
      <alignment vertical="center"/>
    </xf>
    <xf numFmtId="0" fontId="8" fillId="0" borderId="0" xfId="0" applyFont="1" applyAlignment="1">
      <alignment vertical="top" wrapText="1"/>
    </xf>
    <xf numFmtId="0" fontId="0" fillId="0" borderId="119" xfId="0" applyBorder="1" applyAlignment="1">
      <alignment horizontal="center" vertical="top" wrapText="1"/>
    </xf>
    <xf numFmtId="0" fontId="0" fillId="0" borderId="68" xfId="0" applyBorder="1" applyAlignment="1">
      <alignment vertical="top" wrapText="1"/>
    </xf>
    <xf numFmtId="0" fontId="0" fillId="0" borderId="72" xfId="0" applyBorder="1" applyAlignment="1">
      <alignment horizontal="center" vertical="top"/>
    </xf>
    <xf numFmtId="0" fontId="0" fillId="0" borderId="118" xfId="0" applyBorder="1" applyAlignment="1">
      <alignment horizontal="center" vertical="top"/>
    </xf>
    <xf numFmtId="0" fontId="0" fillId="0" borderId="77" xfId="0" applyBorder="1" applyAlignment="1">
      <alignment horizontal="center" vertical="top" wrapText="1"/>
    </xf>
    <xf numFmtId="0" fontId="8" fillId="0" borderId="81" xfId="0" applyFont="1" applyBorder="1" applyAlignment="1">
      <alignment horizontal="center" vertical="top" wrapText="1"/>
    </xf>
    <xf numFmtId="0" fontId="8" fillId="0" borderId="72" xfId="0" applyFont="1" applyBorder="1" applyAlignment="1">
      <alignment vertical="top" wrapText="1"/>
    </xf>
    <xf numFmtId="0" fontId="0" fillId="0" borderId="66" xfId="0" applyBorder="1" applyAlignment="1">
      <alignment horizontal="center" vertical="top"/>
    </xf>
    <xf numFmtId="0" fontId="0" fillId="0" borderId="103" xfId="0" applyBorder="1" applyAlignment="1">
      <alignment horizontal="center" vertical="top"/>
    </xf>
    <xf numFmtId="0" fontId="0" fillId="0" borderId="120" xfId="0" applyBorder="1" applyAlignment="1">
      <alignment horizontal="center" vertical="top"/>
    </xf>
    <xf numFmtId="0" fontId="0" fillId="0" borderId="102" xfId="0" applyBorder="1" applyAlignment="1">
      <alignment horizontal="center" vertical="top"/>
    </xf>
    <xf numFmtId="0" fontId="8" fillId="0" borderId="72" xfId="0" applyFont="1" applyBorder="1" applyAlignment="1">
      <alignment horizontal="center" vertical="top" wrapText="1"/>
    </xf>
    <xf numFmtId="0" fontId="0" fillId="0" borderId="82" xfId="0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21" xfId="0" applyBorder="1" applyAlignment="1">
      <alignment vertical="top" wrapText="1"/>
    </xf>
    <xf numFmtId="0" fontId="0" fillId="0" borderId="122" xfId="0" applyBorder="1" applyAlignment="1">
      <alignment horizontal="center" vertical="top" wrapText="1"/>
    </xf>
    <xf numFmtId="0" fontId="0" fillId="0" borderId="123" xfId="0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124" xfId="0" applyBorder="1" applyAlignment="1">
      <alignment horizontal="center" vertical="top" wrapText="1"/>
    </xf>
    <xf numFmtId="0" fontId="0" fillId="0" borderId="125" xfId="0" applyBorder="1" applyAlignment="1">
      <alignment horizontal="center" vertical="top" wrapText="1"/>
    </xf>
    <xf numFmtId="0" fontId="15" fillId="0" borderId="72" xfId="0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0" fontId="14" fillId="0" borderId="126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0" fillId="0" borderId="72" xfId="0" applyBorder="1" applyAlignment="1">
      <alignment vertical="top" wrapText="1"/>
    </xf>
    <xf numFmtId="0" fontId="11" fillId="0" borderId="91" xfId="0" applyFont="1" applyBorder="1" applyAlignment="1">
      <alignment horizontal="center" vertical="top" wrapText="1"/>
    </xf>
    <xf numFmtId="0" fontId="11" fillId="0" borderId="73" xfId="0" applyFont="1" applyBorder="1" applyAlignment="1">
      <alignment horizontal="center" vertical="top" wrapText="1"/>
    </xf>
    <xf numFmtId="0" fontId="0" fillId="0" borderId="72" xfId="0" applyBorder="1" applyAlignment="1">
      <alignment horizontal="center" vertical="top" wrapText="1"/>
    </xf>
    <xf numFmtId="0" fontId="11" fillId="0" borderId="65" xfId="0" applyFont="1" applyBorder="1" applyAlignment="1">
      <alignment horizontal="center" vertical="top" wrapText="1"/>
    </xf>
    <xf numFmtId="0" fontId="11" fillId="0" borderId="65" xfId="0" applyFont="1" applyBorder="1" applyAlignment="1">
      <alignment vertical="top" wrapText="1"/>
    </xf>
    <xf numFmtId="0" fontId="0" fillId="0" borderId="127" xfId="0" applyBorder="1" applyAlignment="1">
      <alignment horizontal="center" vertical="top" wrapText="1"/>
    </xf>
    <xf numFmtId="0" fontId="0" fillId="0" borderId="84" xfId="0" applyBorder="1" applyAlignment="1">
      <alignment horizontal="center" vertical="top" wrapText="1"/>
    </xf>
    <xf numFmtId="0" fontId="11" fillId="0" borderId="84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8" fillId="0" borderId="128" xfId="0" applyFont="1" applyBorder="1" applyAlignment="1">
      <alignment horizontal="center" vertical="center" wrapText="1"/>
    </xf>
    <xf numFmtId="0" fontId="0" fillId="0" borderId="129" xfId="0" applyBorder="1" applyAlignment="1">
      <alignment horizontal="center" wrapText="1"/>
    </xf>
    <xf numFmtId="0" fontId="0" fillId="0" borderId="128" xfId="0" applyBorder="1" applyAlignment="1">
      <alignment vertical="top" wrapText="1"/>
    </xf>
    <xf numFmtId="0" fontId="0" fillId="0" borderId="67" xfId="0" applyBorder="1" applyAlignment="1">
      <alignment horizontal="center" vertical="top" wrapText="1"/>
    </xf>
    <xf numFmtId="0" fontId="0" fillId="0" borderId="130" xfId="0" applyBorder="1" applyAlignment="1">
      <alignment horizontal="center" vertical="top" wrapText="1"/>
    </xf>
    <xf numFmtId="0" fontId="14" fillId="0" borderId="131" xfId="0" applyFont="1" applyBorder="1" applyAlignment="1">
      <alignment horizontal="center" vertical="top" wrapText="1"/>
    </xf>
    <xf numFmtId="0" fontId="14" fillId="0" borderId="72" xfId="0" applyFont="1" applyBorder="1" applyAlignment="1">
      <alignment vertical="top" wrapText="1"/>
    </xf>
    <xf numFmtId="0" fontId="0" fillId="0" borderId="132" xfId="0" applyBorder="1" applyAlignment="1">
      <alignment horizontal="center" vertical="top" wrapText="1"/>
    </xf>
    <xf numFmtId="0" fontId="14" fillId="0" borderId="72" xfId="0" applyFont="1" applyBorder="1" applyAlignment="1">
      <alignment horizontal="center" vertical="center"/>
    </xf>
    <xf numFmtId="0" fontId="8" fillId="0" borderId="133" xfId="0" applyFont="1" applyBorder="1" applyAlignment="1">
      <alignment horizontal="center" vertical="center" wrapText="1"/>
    </xf>
    <xf numFmtId="0" fontId="14" fillId="0" borderId="78" xfId="0" applyFont="1" applyBorder="1" applyAlignment="1">
      <alignment horizontal="center" vertical="center" wrapText="1"/>
    </xf>
    <xf numFmtId="0" fontId="8" fillId="0" borderId="134" xfId="0" applyFont="1" applyBorder="1" applyAlignment="1">
      <alignment horizontal="center" vertical="top" wrapText="1"/>
    </xf>
    <xf numFmtId="0" fontId="0" fillId="0" borderId="118" xfId="0" applyBorder="1" applyAlignment="1">
      <alignment vertical="top" wrapText="1"/>
    </xf>
    <xf numFmtId="0" fontId="0" fillId="0" borderId="68" xfId="0" applyBorder="1" applyAlignment="1">
      <alignment horizontal="center" vertical="top"/>
    </xf>
    <xf numFmtId="0" fontId="0" fillId="0" borderId="101" xfId="0" applyBorder="1" applyAlignment="1">
      <alignment horizontal="center" vertical="top"/>
    </xf>
    <xf numFmtId="0" fontId="0" fillId="0" borderId="65" xfId="0" applyBorder="1" applyAlignment="1">
      <alignment horizontal="center" vertical="top"/>
    </xf>
    <xf numFmtId="0" fontId="0" fillId="0" borderId="66" xfId="0" applyBorder="1" applyAlignment="1">
      <alignment horizontal="center" vertical="top" wrapText="1"/>
    </xf>
    <xf numFmtId="0" fontId="0" fillId="0" borderId="120" xfId="0" applyBorder="1" applyAlignment="1">
      <alignment horizontal="center" vertical="top" wrapText="1"/>
    </xf>
    <xf numFmtId="0" fontId="0" fillId="0" borderId="135" xfId="0" applyBorder="1" applyAlignment="1">
      <alignment horizontal="center" vertical="top" wrapText="1"/>
    </xf>
    <xf numFmtId="0" fontId="0" fillId="0" borderId="136" xfId="0" applyBorder="1" applyAlignment="1">
      <alignment vertical="top" wrapText="1"/>
    </xf>
    <xf numFmtId="0" fontId="0" fillId="0" borderId="66" xfId="0" applyBorder="1" applyAlignment="1">
      <alignment horizontal="center" wrapText="1"/>
    </xf>
    <xf numFmtId="0" fontId="0" fillId="0" borderId="136" xfId="0" applyBorder="1" applyAlignment="1">
      <alignment horizontal="center" vertical="top" wrapText="1"/>
    </xf>
    <xf numFmtId="0" fontId="0" fillId="0" borderId="137" xfId="0" applyBorder="1" applyAlignment="1">
      <alignment horizontal="center" vertical="top" wrapText="1"/>
    </xf>
    <xf numFmtId="0" fontId="4" fillId="0" borderId="120" xfId="0" applyFont="1" applyBorder="1" applyAlignment="1">
      <alignment horizontal="center" vertical="top" wrapText="1"/>
    </xf>
    <xf numFmtId="0" fontId="4" fillId="0" borderId="102" xfId="0" applyFont="1" applyBorder="1" applyAlignment="1">
      <alignment horizontal="center" vertical="top"/>
    </xf>
    <xf numFmtId="0" fontId="4" fillId="0" borderId="73" xfId="0" applyFont="1" applyBorder="1" applyAlignment="1">
      <alignment horizontal="center" vertical="top" wrapText="1"/>
    </xf>
    <xf numFmtId="0" fontId="4" fillId="0" borderId="93" xfId="0" applyFont="1" applyBorder="1" applyAlignment="1">
      <alignment horizontal="center" vertical="top" wrapText="1"/>
    </xf>
    <xf numFmtId="0" fontId="4" fillId="0" borderId="102" xfId="0" applyFont="1" applyBorder="1" applyAlignment="1">
      <alignment horizontal="center" vertical="top" wrapText="1"/>
    </xf>
    <xf numFmtId="0" fontId="8" fillId="0" borderId="111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6" fillId="0" borderId="103" xfId="0" applyFont="1" applyBorder="1" applyAlignment="1">
      <alignment horizontal="center" vertical="top" wrapText="1"/>
    </xf>
    <xf numFmtId="0" fontId="8" fillId="0" borderId="138" xfId="0" applyFont="1" applyBorder="1" applyAlignment="1">
      <alignment horizontal="center" vertical="center" wrapText="1"/>
    </xf>
    <xf numFmtId="0" fontId="8" fillId="0" borderId="98" xfId="0" applyFont="1" applyBorder="1" applyAlignment="1">
      <alignment horizontal="center" vertical="center" wrapText="1"/>
    </xf>
    <xf numFmtId="0" fontId="17" fillId="0" borderId="98" xfId="0" applyFont="1" applyBorder="1" applyAlignment="1">
      <alignment horizontal="center" vertical="center" wrapText="1"/>
    </xf>
    <xf numFmtId="0" fontId="8" fillId="0" borderId="7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18" fillId="0" borderId="0" xfId="0" applyFont="1"/>
    <xf numFmtId="0" fontId="16" fillId="0" borderId="0" xfId="0" applyFont="1"/>
    <xf numFmtId="0" fontId="0" fillId="0" borderId="85" xfId="0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0" fillId="0" borderId="68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6" fillId="0" borderId="0" xfId="0" applyFont="1" applyAlignment="1">
      <alignment vertical="top" wrapText="1"/>
    </xf>
    <xf numFmtId="0" fontId="16" fillId="0" borderId="92" xfId="0" applyFont="1" applyBorder="1" applyAlignment="1">
      <alignment horizontal="center" vertical="top" wrapText="1"/>
    </xf>
    <xf numFmtId="0" fontId="16" fillId="0" borderId="93" xfId="0" applyFont="1" applyBorder="1" applyAlignment="1">
      <alignment vertical="top" wrapText="1"/>
    </xf>
    <xf numFmtId="0" fontId="16" fillId="0" borderId="120" xfId="0" applyFont="1" applyBorder="1" applyAlignment="1">
      <alignment horizontal="center" vertical="top" wrapText="1"/>
    </xf>
    <xf numFmtId="0" fontId="16" fillId="0" borderId="102" xfId="0" applyFont="1" applyBorder="1" applyAlignment="1">
      <alignment horizontal="center" vertical="top" wrapText="1"/>
    </xf>
    <xf numFmtId="0" fontId="0" fillId="0" borderId="66" xfId="0" applyBorder="1"/>
    <xf numFmtId="0" fontId="0" fillId="0" borderId="129" xfId="0" applyBorder="1" applyAlignment="1">
      <alignment horizontal="center" vertical="top" wrapText="1"/>
    </xf>
    <xf numFmtId="0" fontId="0" fillId="0" borderId="77" xfId="0" applyBorder="1" applyAlignment="1">
      <alignment vertical="top" wrapText="1"/>
    </xf>
    <xf numFmtId="0" fontId="16" fillId="0" borderId="66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4" fillId="0" borderId="118" xfId="0" applyFont="1" applyBorder="1" applyAlignment="1">
      <alignment horizontal="center" vertical="top" wrapText="1"/>
    </xf>
    <xf numFmtId="0" fontId="0" fillId="3" borderId="93" xfId="0" applyFill="1" applyBorder="1" applyAlignment="1">
      <alignment horizontal="center" vertical="top" wrapText="1"/>
    </xf>
    <xf numFmtId="0" fontId="4" fillId="3" borderId="93" xfId="0" applyFont="1" applyFill="1" applyBorder="1" applyAlignment="1">
      <alignment horizontal="center" vertical="top" wrapText="1"/>
    </xf>
    <xf numFmtId="0" fontId="4" fillId="3" borderId="102" xfId="0" applyFont="1" applyFill="1" applyBorder="1" applyAlignment="1">
      <alignment horizontal="center" vertical="top" wrapText="1"/>
    </xf>
    <xf numFmtId="0" fontId="0" fillId="3" borderId="102" xfId="0" applyFill="1" applyBorder="1" applyAlignment="1">
      <alignment horizontal="center" vertical="top" wrapText="1"/>
    </xf>
    <xf numFmtId="0" fontId="4" fillId="0" borderId="91" xfId="0" applyFont="1" applyBorder="1" applyAlignment="1">
      <alignment horizontal="center" vertical="top" wrapText="1"/>
    </xf>
    <xf numFmtId="0" fontId="4" fillId="0" borderId="93" xfId="0" applyFont="1" applyBorder="1" applyAlignment="1">
      <alignment vertical="top" wrapText="1"/>
    </xf>
    <xf numFmtId="0" fontId="11" fillId="0" borderId="120" xfId="0" applyFont="1" applyBorder="1" applyAlignment="1">
      <alignment horizontal="center" vertical="top" wrapText="1"/>
    </xf>
    <xf numFmtId="0" fontId="11" fillId="0" borderId="102" xfId="0" applyFont="1" applyBorder="1" applyAlignment="1">
      <alignment horizontal="center" vertical="top" wrapText="1"/>
    </xf>
    <xf numFmtId="0" fontId="4" fillId="0" borderId="65" xfId="0" applyFont="1" applyBorder="1" applyAlignment="1">
      <alignment vertical="top" wrapText="1"/>
    </xf>
    <xf numFmtId="0" fontId="14" fillId="0" borderId="118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66" xfId="0" applyFont="1" applyBorder="1" applyAlignment="1">
      <alignment horizontal="center"/>
    </xf>
    <xf numFmtId="0" fontId="19" fillId="0" borderId="0" xfId="0" applyFont="1"/>
    <xf numFmtId="0" fontId="0" fillId="0" borderId="139" xfId="0" applyBorder="1"/>
    <xf numFmtId="0" fontId="8" fillId="0" borderId="80" xfId="0" applyFont="1" applyBorder="1" applyAlignment="1">
      <alignment horizontal="center" vertical="center" wrapText="1"/>
    </xf>
    <xf numFmtId="0" fontId="8" fillId="0" borderId="140" xfId="0" applyFont="1" applyBorder="1" applyAlignment="1">
      <alignment horizontal="center" vertical="center" wrapText="1"/>
    </xf>
    <xf numFmtId="0" fontId="0" fillId="0" borderId="141" xfId="0" applyBorder="1" applyAlignment="1">
      <alignment vertical="center" wrapText="1"/>
    </xf>
    <xf numFmtId="0" fontId="0" fillId="0" borderId="142" xfId="0" applyBorder="1" applyAlignment="1">
      <alignment vertical="center"/>
    </xf>
    <xf numFmtId="0" fontId="0" fillId="0" borderId="143" xfId="0" applyBorder="1" applyAlignment="1">
      <alignment vertical="center"/>
    </xf>
    <xf numFmtId="0" fontId="0" fillId="0" borderId="144" xfId="0" applyBorder="1" applyAlignment="1">
      <alignment vertical="center"/>
    </xf>
    <xf numFmtId="0" fontId="0" fillId="0" borderId="145" xfId="0" applyBorder="1" applyAlignment="1">
      <alignment vertical="center"/>
    </xf>
    <xf numFmtId="0" fontId="0" fillId="0" borderId="146" xfId="0" applyBorder="1" applyAlignment="1">
      <alignment vertical="center"/>
    </xf>
    <xf numFmtId="0" fontId="0" fillId="0" borderId="119" xfId="0" applyBorder="1" applyAlignment="1">
      <alignment vertical="center" wrapText="1"/>
    </xf>
    <xf numFmtId="0" fontId="0" fillId="0" borderId="147" xfId="0" applyBorder="1" applyAlignment="1">
      <alignment vertical="center" wrapText="1"/>
    </xf>
    <xf numFmtId="0" fontId="0" fillId="0" borderId="148" xfId="0" applyBorder="1" applyAlignment="1">
      <alignment vertical="center" wrapText="1"/>
    </xf>
    <xf numFmtId="0" fontId="0" fillId="0" borderId="149" xfId="0" applyBorder="1" applyAlignment="1">
      <alignment vertical="center" wrapText="1"/>
    </xf>
    <xf numFmtId="0" fontId="0" fillId="0" borderId="150" xfId="0" applyBorder="1" applyAlignment="1">
      <alignment vertical="center" wrapText="1"/>
    </xf>
    <xf numFmtId="0" fontId="0" fillId="0" borderId="151" xfId="0" applyBorder="1" applyAlignment="1">
      <alignment vertical="center" wrapText="1"/>
    </xf>
    <xf numFmtId="0" fontId="0" fillId="0" borderId="81" xfId="0" applyBorder="1" applyAlignment="1">
      <alignment vertical="center" wrapText="1"/>
    </xf>
    <xf numFmtId="0" fontId="0" fillId="0" borderId="127" xfId="0" applyBorder="1" applyAlignment="1">
      <alignment vertical="center" wrapText="1"/>
    </xf>
    <xf numFmtId="0" fontId="0" fillId="0" borderId="152" xfId="0" applyBorder="1" applyAlignment="1">
      <alignment vertical="center" wrapText="1"/>
    </xf>
    <xf numFmtId="0" fontId="0" fillId="0" borderId="153" xfId="0" applyBorder="1" applyAlignment="1">
      <alignment vertical="center" wrapText="1"/>
    </xf>
    <xf numFmtId="0" fontId="0" fillId="0" borderId="154" xfId="0" applyBorder="1" applyAlignment="1">
      <alignment vertical="center" wrapText="1"/>
    </xf>
    <xf numFmtId="0" fontId="0" fillId="0" borderId="155" xfId="0" applyBorder="1" applyAlignment="1">
      <alignment vertical="center" wrapText="1"/>
    </xf>
    <xf numFmtId="0" fontId="0" fillId="0" borderId="142" xfId="0" applyBorder="1" applyAlignment="1">
      <alignment vertical="center" wrapText="1"/>
    </xf>
    <xf numFmtId="0" fontId="0" fillId="0" borderId="143" xfId="0" applyBorder="1" applyAlignment="1">
      <alignment vertical="center" wrapText="1"/>
    </xf>
    <xf numFmtId="0" fontId="0" fillId="0" borderId="156" xfId="0" applyBorder="1" applyAlignment="1">
      <alignment vertical="center" wrapText="1"/>
    </xf>
    <xf numFmtId="0" fontId="0" fillId="0" borderId="157" xfId="0" applyBorder="1" applyAlignment="1">
      <alignment vertical="center" wrapText="1"/>
    </xf>
    <xf numFmtId="0" fontId="0" fillId="0" borderId="146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158" xfId="0" applyBorder="1" applyAlignment="1">
      <alignment vertical="center" wrapText="1"/>
    </xf>
    <xf numFmtId="0" fontId="0" fillId="0" borderId="159" xfId="0" applyBorder="1" applyAlignment="1">
      <alignment vertical="center" wrapText="1"/>
    </xf>
    <xf numFmtId="0" fontId="0" fillId="0" borderId="160" xfId="0" applyBorder="1" applyAlignment="1">
      <alignment vertical="center" wrapText="1"/>
    </xf>
    <xf numFmtId="0" fontId="0" fillId="0" borderId="161" xfId="0" applyBorder="1" applyAlignment="1">
      <alignment vertical="center" wrapText="1"/>
    </xf>
    <xf numFmtId="0" fontId="0" fillId="0" borderId="162" xfId="0" applyBorder="1" applyAlignment="1">
      <alignment vertical="center" wrapText="1"/>
    </xf>
    <xf numFmtId="0" fontId="0" fillId="0" borderId="98" xfId="0" applyBorder="1" applyAlignment="1">
      <alignment vertical="center" wrapText="1"/>
    </xf>
    <xf numFmtId="0" fontId="0" fillId="0" borderId="80" xfId="0" applyBorder="1" applyAlignment="1">
      <alignment vertical="center" wrapText="1"/>
    </xf>
    <xf numFmtId="0" fontId="0" fillId="0" borderId="163" xfId="0" applyBorder="1" applyAlignment="1">
      <alignment vertical="center" wrapText="1"/>
    </xf>
    <xf numFmtId="0" fontId="0" fillId="0" borderId="164" xfId="0" applyBorder="1" applyAlignment="1">
      <alignment vertical="center" wrapText="1"/>
    </xf>
    <xf numFmtId="0" fontId="0" fillId="0" borderId="140" xfId="0" applyBorder="1" applyAlignment="1">
      <alignment vertical="center" wrapText="1"/>
    </xf>
    <xf numFmtId="0" fontId="0" fillId="0" borderId="165" xfId="0" applyBorder="1" applyAlignment="1">
      <alignment vertical="center" wrapText="1"/>
    </xf>
    <xf numFmtId="0" fontId="19" fillId="0" borderId="81" xfId="0" applyFont="1" applyBorder="1" applyAlignment="1">
      <alignment horizontal="center" vertical="center" wrapText="1"/>
    </xf>
    <xf numFmtId="0" fontId="19" fillId="0" borderId="98" xfId="0" applyFont="1" applyBorder="1" applyAlignment="1">
      <alignment horizontal="center" vertical="center" wrapText="1"/>
    </xf>
    <xf numFmtId="0" fontId="19" fillId="0" borderId="82" xfId="0" applyFont="1" applyBorder="1" applyAlignment="1">
      <alignment horizontal="center" vertical="center" wrapText="1"/>
    </xf>
    <xf numFmtId="0" fontId="0" fillId="0" borderId="167" xfId="0" applyBorder="1" applyAlignment="1">
      <alignment vertical="center" wrapText="1"/>
    </xf>
    <xf numFmtId="0" fontId="0" fillId="0" borderId="168" xfId="0" applyBorder="1" applyAlignment="1">
      <alignment vertical="center" wrapText="1"/>
    </xf>
    <xf numFmtId="0" fontId="0" fillId="0" borderId="139" xfId="0" applyBorder="1" applyAlignment="1">
      <alignment vertical="center"/>
    </xf>
    <xf numFmtId="0" fontId="0" fillId="0" borderId="170" xfId="0" applyBorder="1" applyAlignment="1">
      <alignment vertical="center" wrapText="1"/>
    </xf>
    <xf numFmtId="0" fontId="0" fillId="0" borderId="171" xfId="0" applyBorder="1" applyAlignment="1">
      <alignment vertical="center" wrapText="1"/>
    </xf>
    <xf numFmtId="0" fontId="8" fillId="0" borderId="163" xfId="0" applyFont="1" applyBorder="1" applyAlignment="1">
      <alignment horizontal="center" vertical="center" wrapText="1"/>
    </xf>
    <xf numFmtId="0" fontId="0" fillId="0" borderId="174" xfId="0" applyBorder="1" applyAlignment="1">
      <alignment vertical="center"/>
    </xf>
    <xf numFmtId="0" fontId="16" fillId="0" borderId="146" xfId="0" applyFont="1" applyBorder="1" applyAlignment="1">
      <alignment vertical="center"/>
    </xf>
    <xf numFmtId="0" fontId="16" fillId="0" borderId="175" xfId="0" applyFont="1" applyBorder="1" applyAlignment="1">
      <alignment vertical="center"/>
    </xf>
    <xf numFmtId="0" fontId="16" fillId="0" borderId="157" xfId="0" applyFont="1" applyBorder="1" applyAlignment="1">
      <alignment vertical="center"/>
    </xf>
    <xf numFmtId="0" fontId="0" fillId="0" borderId="176" xfId="0" applyBorder="1" applyAlignment="1">
      <alignment vertical="center" wrapText="1"/>
    </xf>
    <xf numFmtId="0" fontId="16" fillId="0" borderId="151" xfId="0" applyFont="1" applyBorder="1" applyAlignment="1">
      <alignment vertical="center"/>
    </xf>
    <xf numFmtId="0" fontId="16" fillId="0" borderId="177" xfId="0" applyFont="1" applyBorder="1" applyAlignment="1">
      <alignment vertical="center"/>
    </xf>
    <xf numFmtId="0" fontId="0" fillId="0" borderId="178" xfId="0" applyBorder="1" applyAlignment="1">
      <alignment vertical="center" wrapText="1"/>
    </xf>
    <xf numFmtId="0" fontId="16" fillId="0" borderId="155" xfId="0" applyFont="1" applyBorder="1" applyAlignment="1">
      <alignment vertical="center"/>
    </xf>
    <xf numFmtId="0" fontId="16" fillId="0" borderId="152" xfId="0" applyFont="1" applyBorder="1" applyAlignment="1">
      <alignment vertical="center"/>
    </xf>
    <xf numFmtId="0" fontId="0" fillId="0" borderId="174" xfId="0" applyBorder="1" applyAlignment="1">
      <alignment vertical="center" wrapText="1"/>
    </xf>
    <xf numFmtId="0" fontId="16" fillId="0" borderId="179" xfId="0" applyFont="1" applyBorder="1" applyAlignment="1">
      <alignment vertical="center"/>
    </xf>
    <xf numFmtId="0" fontId="16" fillId="0" borderId="180" xfId="0" applyFont="1" applyBorder="1" applyAlignment="1">
      <alignment vertical="center"/>
    </xf>
    <xf numFmtId="0" fontId="16" fillId="0" borderId="147" xfId="0" applyFont="1" applyBorder="1" applyAlignment="1">
      <alignment vertical="center"/>
    </xf>
    <xf numFmtId="0" fontId="0" fillId="0" borderId="181" xfId="0" applyBorder="1" applyAlignment="1">
      <alignment vertical="center" wrapText="1"/>
    </xf>
    <xf numFmtId="0" fontId="0" fillId="0" borderId="182" xfId="0" applyBorder="1" applyAlignment="1">
      <alignment vertical="center" wrapText="1"/>
    </xf>
    <xf numFmtId="0" fontId="0" fillId="0" borderId="183" xfId="0" applyBorder="1" applyAlignment="1">
      <alignment vertical="center" wrapText="1"/>
    </xf>
    <xf numFmtId="0" fontId="0" fillId="0" borderId="84" xfId="0" applyBorder="1" applyAlignment="1">
      <alignment vertical="center" wrapText="1"/>
    </xf>
    <xf numFmtId="0" fontId="0" fillId="0" borderId="184" xfId="0" applyBorder="1" applyAlignment="1">
      <alignment vertical="center" wrapText="1"/>
    </xf>
    <xf numFmtId="0" fontId="0" fillId="0" borderId="185" xfId="0" applyBorder="1" applyAlignment="1">
      <alignment vertical="center" wrapText="1"/>
    </xf>
    <xf numFmtId="0" fontId="0" fillId="0" borderId="186" xfId="0" applyBorder="1" applyAlignment="1">
      <alignment horizontal="center" vertical="top"/>
    </xf>
    <xf numFmtId="0" fontId="0" fillId="0" borderId="187" xfId="0" applyBorder="1" applyAlignment="1">
      <alignment horizontal="center" vertical="top" wrapText="1"/>
    </xf>
    <xf numFmtId="0" fontId="11" fillId="0" borderId="187" xfId="0" applyFont="1" applyBorder="1" applyAlignment="1">
      <alignment horizontal="center" vertical="top" wrapText="1"/>
    </xf>
    <xf numFmtId="0" fontId="0" fillId="0" borderId="188" xfId="0" applyBorder="1" applyAlignment="1">
      <alignment horizontal="center" vertical="top" wrapText="1"/>
    </xf>
    <xf numFmtId="0" fontId="16" fillId="0" borderId="186" xfId="0" applyFont="1" applyBorder="1" applyAlignment="1">
      <alignment horizontal="center" vertical="top" wrapText="1"/>
    </xf>
    <xf numFmtId="0" fontId="16" fillId="0" borderId="188" xfId="0" applyFont="1" applyBorder="1" applyAlignment="1">
      <alignment horizontal="center" vertical="top" wrapText="1"/>
    </xf>
    <xf numFmtId="0" fontId="13" fillId="0" borderId="93" xfId="0" applyFont="1" applyBorder="1" applyAlignment="1">
      <alignment vertical="top" wrapText="1"/>
    </xf>
    <xf numFmtId="0" fontId="0" fillId="0" borderId="72" xfId="0" applyBorder="1" applyAlignment="1">
      <alignment vertical="top"/>
    </xf>
    <xf numFmtId="0" fontId="0" fillId="0" borderId="65" xfId="0" applyBorder="1" applyAlignment="1">
      <alignment vertical="top"/>
    </xf>
    <xf numFmtId="0" fontId="0" fillId="0" borderId="189" xfId="0" applyBorder="1" applyAlignment="1">
      <alignment horizontal="center" vertical="top" wrapText="1"/>
    </xf>
    <xf numFmtId="0" fontId="4" fillId="0" borderId="124" xfId="0" applyFont="1" applyBorder="1" applyAlignment="1">
      <alignment horizontal="center" vertical="top" wrapText="1"/>
    </xf>
    <xf numFmtId="0" fontId="4" fillId="0" borderId="123" xfId="0" applyFont="1" applyBorder="1" applyAlignment="1">
      <alignment horizontal="center" vertical="top" wrapText="1"/>
    </xf>
    <xf numFmtId="0" fontId="0" fillId="0" borderId="190" xfId="0" applyBorder="1" applyAlignment="1">
      <alignment vertical="top"/>
    </xf>
    <xf numFmtId="0" fontId="0" fillId="0" borderId="112" xfId="0" applyBorder="1" applyAlignment="1">
      <alignment vertical="top"/>
    </xf>
    <xf numFmtId="0" fontId="0" fillId="0" borderId="112" xfId="0" applyBorder="1" applyAlignment="1">
      <alignment vertical="top" wrapText="1"/>
    </xf>
    <xf numFmtId="0" fontId="0" fillId="0" borderId="117" xfId="0" applyBorder="1" applyAlignment="1">
      <alignment vertical="top" wrapText="1"/>
    </xf>
    <xf numFmtId="0" fontId="0" fillId="0" borderId="78" xfId="0" applyBorder="1" applyAlignment="1">
      <alignment vertical="top"/>
    </xf>
    <xf numFmtId="0" fontId="0" fillId="0" borderId="191" xfId="0" applyBorder="1" applyAlignment="1">
      <alignment horizontal="center" vertical="top" wrapText="1"/>
    </xf>
    <xf numFmtId="0" fontId="0" fillId="0" borderId="192" xfId="0" applyBorder="1" applyAlignment="1">
      <alignment horizontal="center" vertical="top" wrapText="1"/>
    </xf>
    <xf numFmtId="0" fontId="0" fillId="0" borderId="193" xfId="0" applyBorder="1" applyAlignment="1">
      <alignment horizontal="center" vertical="top" wrapText="1"/>
    </xf>
    <xf numFmtId="0" fontId="1" fillId="0" borderId="65" xfId="0" applyFont="1" applyBorder="1" applyAlignment="1">
      <alignment vertical="top" wrapText="1"/>
    </xf>
    <xf numFmtId="0" fontId="1" fillId="0" borderId="91" xfId="0" applyFont="1" applyBorder="1" applyAlignment="1">
      <alignment horizontal="center" vertical="top" wrapText="1"/>
    </xf>
    <xf numFmtId="0" fontId="1" fillId="0" borderId="73" xfId="0" applyFont="1" applyBorder="1" applyAlignment="1">
      <alignment horizontal="center" vertical="top" wrapText="1"/>
    </xf>
    <xf numFmtId="0" fontId="1" fillId="0" borderId="65" xfId="0" applyFont="1" applyBorder="1" applyAlignment="1">
      <alignment horizontal="center" vertical="top" wrapText="1"/>
    </xf>
    <xf numFmtId="0" fontId="1" fillId="0" borderId="84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142" xfId="0" applyBorder="1" applyAlignment="1">
      <alignment vertical="center" wrapText="1"/>
    </xf>
    <xf numFmtId="0" fontId="0" fillId="0" borderId="157" xfId="0" applyBorder="1" applyAlignment="1">
      <alignment vertical="center" wrapText="1"/>
    </xf>
    <xf numFmtId="0" fontId="0" fillId="0" borderId="147" xfId="0" applyBorder="1" applyAlignment="1">
      <alignment vertical="center" wrapText="1"/>
    </xf>
    <xf numFmtId="0" fontId="0" fillId="0" borderId="150" xfId="0" applyBorder="1" applyAlignment="1">
      <alignment vertical="center" wrapText="1"/>
    </xf>
    <xf numFmtId="0" fontId="0" fillId="0" borderId="169" xfId="0" applyBorder="1" applyAlignment="1">
      <alignment vertical="center" wrapText="1"/>
    </xf>
    <xf numFmtId="0" fontId="0" fillId="0" borderId="154" xfId="0" applyBorder="1" applyAlignment="1">
      <alignment vertical="center" wrapText="1"/>
    </xf>
    <xf numFmtId="0" fontId="0" fillId="0" borderId="172" xfId="0" applyBorder="1" applyAlignment="1">
      <alignment vertical="center" wrapText="1"/>
    </xf>
    <xf numFmtId="0" fontId="0" fillId="0" borderId="173" xfId="0" applyBorder="1" applyAlignment="1">
      <alignment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81" xfId="0" applyFont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 wrapText="1"/>
    </xf>
    <xf numFmtId="0" fontId="19" fillId="0" borderId="81" xfId="0" applyFont="1" applyBorder="1" applyAlignment="1">
      <alignment horizontal="center" vertical="center" wrapText="1"/>
    </xf>
    <xf numFmtId="0" fontId="19" fillId="0" borderId="82" xfId="0" applyFont="1" applyBorder="1" applyAlignment="1">
      <alignment horizontal="center" vertical="center" wrapText="1"/>
    </xf>
    <xf numFmtId="0" fontId="0" fillId="0" borderId="166" xfId="0" applyBorder="1" applyAlignment="1">
      <alignment vertical="center" wrapText="1"/>
    </xf>
    <xf numFmtId="0" fontId="0" fillId="0" borderId="145" xfId="0" applyBorder="1" applyAlignment="1">
      <alignment vertical="center" wrapText="1"/>
    </xf>
    <xf numFmtId="0" fontId="7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0" fillId="0" borderId="80" xfId="0" applyBorder="1" applyAlignment="1">
      <alignment wrapText="1"/>
    </xf>
    <xf numFmtId="0" fontId="8" fillId="0" borderId="8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86" xfId="0" applyFont="1" applyBorder="1" applyAlignment="1">
      <alignment horizontal="center" vertical="center" wrapText="1"/>
    </xf>
    <xf numFmtId="0" fontId="8" fillId="0" borderId="10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80" xfId="0" applyFont="1" applyBorder="1" applyAlignment="1">
      <alignment horizontal="center" vertical="center" wrapText="1"/>
    </xf>
    <xf numFmtId="0" fontId="8" fillId="0" borderId="83" xfId="0" applyFont="1" applyBorder="1" applyAlignment="1">
      <alignment horizontal="center" vertical="center" wrapText="1"/>
    </xf>
    <xf numFmtId="0" fontId="0" fillId="0" borderId="81" xfId="0" applyBorder="1" applyAlignment="1">
      <alignment horizontal="center" vertical="top" wrapText="1"/>
    </xf>
    <xf numFmtId="0" fontId="0" fillId="0" borderId="86" xfId="0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8" fillId="0" borderId="128" xfId="0" applyFont="1" applyBorder="1" applyAlignment="1">
      <alignment horizontal="center" vertical="center" wrapText="1"/>
    </xf>
    <xf numFmtId="0" fontId="0" fillId="0" borderId="81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0" fillId="0" borderId="8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1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15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13" xfId="0" applyNumberFormat="1" applyFont="1" applyFill="1" applyBorder="1" applyAlignment="1">
      <alignment horizontal="center" vertical="center" wrapText="1"/>
    </xf>
    <xf numFmtId="164" fontId="3" fillId="2" borderId="1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164" fontId="3" fillId="2" borderId="1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Normal" xfId="0" builtinId="0"/>
    <cellStyle name="Normal 2" xfId="2" xr:uid="{B7BECC70-70EB-4ABF-97F3-F5FC90AD980C}"/>
    <cellStyle name="Normal 4" xfId="1" xr:uid="{00000000-0005-0000-0000-000032000000}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showGridLines="0" tabSelected="1" view="pageBreakPreview" zoomScaleNormal="100" workbookViewId="0">
      <selection activeCell="V12" sqref="V12"/>
    </sheetView>
  </sheetViews>
  <sheetFormatPr defaultColWidth="9" defaultRowHeight="15" x14ac:dyDescent="0.25"/>
  <cols>
    <col min="1" max="1" width="68.7109375" customWidth="1"/>
    <col min="2" max="14" width="6.42578125" customWidth="1"/>
  </cols>
  <sheetData>
    <row r="1" spans="1:14" ht="19.5" customHeight="1" x14ac:dyDescent="0.3">
      <c r="A1" s="462" t="s">
        <v>0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</row>
    <row r="2" spans="1:14" ht="18.75" customHeight="1" x14ac:dyDescent="0.3">
      <c r="A2" s="463" t="s">
        <v>1012</v>
      </c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</row>
    <row r="3" spans="1:14" x14ac:dyDescent="0.25">
      <c r="A3" s="464"/>
      <c r="B3" s="464"/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</row>
    <row r="4" spans="1:14" x14ac:dyDescent="0.25">
      <c r="A4" s="453" t="s">
        <v>1</v>
      </c>
      <c r="B4" s="456" t="s">
        <v>2</v>
      </c>
      <c r="C4" s="465"/>
      <c r="D4" s="465"/>
      <c r="E4" s="465"/>
      <c r="F4" s="465"/>
      <c r="G4" s="465"/>
      <c r="H4" s="465"/>
      <c r="I4" s="465"/>
      <c r="J4" s="465"/>
      <c r="K4" s="457"/>
      <c r="L4" s="466" t="s">
        <v>3</v>
      </c>
      <c r="M4" s="467"/>
      <c r="N4" s="468"/>
    </row>
    <row r="5" spans="1:14" x14ac:dyDescent="0.25">
      <c r="A5" s="454"/>
      <c r="B5" s="456" t="s">
        <v>4</v>
      </c>
      <c r="C5" s="457"/>
      <c r="D5" s="456" t="s">
        <v>5</v>
      </c>
      <c r="E5" s="457"/>
      <c r="F5" s="456" t="s">
        <v>6</v>
      </c>
      <c r="G5" s="457"/>
      <c r="H5" s="456" t="s">
        <v>7</v>
      </c>
      <c r="I5" s="457"/>
      <c r="J5" s="456" t="s">
        <v>8</v>
      </c>
      <c r="K5" s="457"/>
      <c r="L5" s="469"/>
      <c r="M5" s="470"/>
      <c r="N5" s="471"/>
    </row>
    <row r="6" spans="1:14" ht="15.75" thickBot="1" x14ac:dyDescent="0.3">
      <c r="A6" s="455"/>
      <c r="B6" s="353" t="s">
        <v>9</v>
      </c>
      <c r="C6" s="354" t="s">
        <v>10</v>
      </c>
      <c r="D6" s="353" t="s">
        <v>9</v>
      </c>
      <c r="E6" s="354" t="s">
        <v>10</v>
      </c>
      <c r="F6" s="353" t="s">
        <v>9</v>
      </c>
      <c r="G6" s="354" t="s">
        <v>10</v>
      </c>
      <c r="H6" s="353" t="s">
        <v>9</v>
      </c>
      <c r="I6" s="354" t="s">
        <v>10</v>
      </c>
      <c r="J6" s="353" t="s">
        <v>9</v>
      </c>
      <c r="K6" s="354" t="s">
        <v>10</v>
      </c>
      <c r="L6" s="353" t="s">
        <v>9</v>
      </c>
      <c r="M6" s="398" t="s">
        <v>10</v>
      </c>
      <c r="N6" s="354" t="s">
        <v>11</v>
      </c>
    </row>
    <row r="7" spans="1:14" ht="22.5" customHeight="1" x14ac:dyDescent="0.25">
      <c r="A7" s="355" t="s">
        <v>12</v>
      </c>
      <c r="B7" s="356">
        <v>2726</v>
      </c>
      <c r="C7" s="357">
        <v>944</v>
      </c>
      <c r="D7" s="358">
        <v>3866</v>
      </c>
      <c r="E7" s="359">
        <v>1869</v>
      </c>
      <c r="F7" s="360">
        <v>421</v>
      </c>
      <c r="G7" s="357">
        <v>27</v>
      </c>
      <c r="H7" s="358">
        <v>30</v>
      </c>
      <c r="I7" s="359">
        <v>6</v>
      </c>
      <c r="J7" s="360">
        <v>0</v>
      </c>
      <c r="K7" s="399">
        <v>0</v>
      </c>
      <c r="L7" s="400">
        <f>B7+D7+F7+H7+J7</f>
        <v>7043</v>
      </c>
      <c r="M7" s="401">
        <f>C7+E7+G7+I7+K7</f>
        <v>2846</v>
      </c>
      <c r="N7" s="402">
        <f t="shared" ref="N7:N13" si="0">L7+M7</f>
        <v>9889</v>
      </c>
    </row>
    <row r="8" spans="1:14" ht="22.5" customHeight="1" thickBot="1" x14ac:dyDescent="0.3">
      <c r="A8" s="361" t="s">
        <v>13</v>
      </c>
      <c r="B8" s="362">
        <v>9</v>
      </c>
      <c r="C8" s="363">
        <v>5</v>
      </c>
      <c r="D8" s="364">
        <v>39</v>
      </c>
      <c r="E8" s="365">
        <v>10</v>
      </c>
      <c r="F8" s="366">
        <v>8</v>
      </c>
      <c r="G8" s="363">
        <v>2</v>
      </c>
      <c r="H8" s="364">
        <v>0</v>
      </c>
      <c r="I8" s="365">
        <v>0</v>
      </c>
      <c r="J8" s="366">
        <v>0</v>
      </c>
      <c r="K8" s="403">
        <v>0</v>
      </c>
      <c r="L8" s="404">
        <f t="shared" ref="L8:M11" si="1">J8+B8+D8+F8+H8</f>
        <v>56</v>
      </c>
      <c r="M8" s="405">
        <f t="shared" si="1"/>
        <v>17</v>
      </c>
      <c r="N8" s="365">
        <f t="shared" si="0"/>
        <v>73</v>
      </c>
    </row>
    <row r="9" spans="1:14" ht="22.5" customHeight="1" thickBot="1" x14ac:dyDescent="0.3">
      <c r="A9" s="367" t="s">
        <v>14</v>
      </c>
      <c r="B9" s="368">
        <f>B7+B8</f>
        <v>2735</v>
      </c>
      <c r="C9" s="369">
        <f t="shared" ref="C9:K9" si="2">C7+C8</f>
        <v>949</v>
      </c>
      <c r="D9" s="370">
        <f t="shared" si="2"/>
        <v>3905</v>
      </c>
      <c r="E9" s="371">
        <f t="shared" si="2"/>
        <v>1879</v>
      </c>
      <c r="F9" s="372">
        <f t="shared" si="2"/>
        <v>429</v>
      </c>
      <c r="G9" s="369">
        <f t="shared" si="2"/>
        <v>29</v>
      </c>
      <c r="H9" s="370">
        <f t="shared" si="2"/>
        <v>30</v>
      </c>
      <c r="I9" s="371">
        <f t="shared" si="2"/>
        <v>6</v>
      </c>
      <c r="J9" s="372">
        <f t="shared" si="2"/>
        <v>0</v>
      </c>
      <c r="K9" s="406">
        <f t="shared" si="2"/>
        <v>0</v>
      </c>
      <c r="L9" s="407">
        <f>J9+B9+D9+F9+H9</f>
        <v>7099</v>
      </c>
      <c r="M9" s="408">
        <f t="shared" si="1"/>
        <v>2863</v>
      </c>
      <c r="N9" s="371">
        <f t="shared" si="0"/>
        <v>9962</v>
      </c>
    </row>
    <row r="10" spans="1:14" ht="22.5" customHeight="1" x14ac:dyDescent="0.25">
      <c r="A10" s="355" t="s">
        <v>15</v>
      </c>
      <c r="B10" s="373">
        <v>0</v>
      </c>
      <c r="C10" s="374">
        <v>0</v>
      </c>
      <c r="D10" s="375">
        <v>0</v>
      </c>
      <c r="E10" s="376">
        <v>0</v>
      </c>
      <c r="F10" s="377">
        <v>0</v>
      </c>
      <c r="G10" s="374">
        <v>0</v>
      </c>
      <c r="H10" s="375">
        <v>0</v>
      </c>
      <c r="I10" s="376">
        <v>0</v>
      </c>
      <c r="J10" s="377">
        <v>0</v>
      </c>
      <c r="K10" s="409">
        <v>0</v>
      </c>
      <c r="L10" s="410">
        <f t="shared" si="1"/>
        <v>0</v>
      </c>
      <c r="M10" s="411">
        <f t="shared" si="1"/>
        <v>0</v>
      </c>
      <c r="N10" s="376">
        <f t="shared" si="0"/>
        <v>0</v>
      </c>
    </row>
    <row r="11" spans="1:14" ht="22.5" customHeight="1" x14ac:dyDescent="0.25">
      <c r="A11" s="378" t="s">
        <v>16</v>
      </c>
      <c r="B11" s="362">
        <v>0</v>
      </c>
      <c r="C11" s="363">
        <v>0</v>
      </c>
      <c r="D11" s="364">
        <v>0</v>
      </c>
      <c r="E11" s="365">
        <v>0</v>
      </c>
      <c r="F11" s="366">
        <v>0</v>
      </c>
      <c r="G11" s="363">
        <v>0</v>
      </c>
      <c r="H11" s="364">
        <v>0</v>
      </c>
      <c r="I11" s="365">
        <v>0</v>
      </c>
      <c r="J11" s="366">
        <v>0</v>
      </c>
      <c r="K11" s="403">
        <v>0</v>
      </c>
      <c r="L11" s="412">
        <f>J11+B11+D11+F11+H11</f>
        <v>0</v>
      </c>
      <c r="M11" s="405">
        <f t="shared" si="1"/>
        <v>0</v>
      </c>
      <c r="N11" s="365">
        <f t="shared" si="0"/>
        <v>0</v>
      </c>
    </row>
    <row r="12" spans="1:14" ht="22.5" customHeight="1" x14ac:dyDescent="0.25">
      <c r="A12" s="361" t="s">
        <v>17</v>
      </c>
      <c r="B12" s="379">
        <f t="shared" ref="B12:M12" si="3">B10+B11</f>
        <v>0</v>
      </c>
      <c r="C12" s="380">
        <f t="shared" si="3"/>
        <v>0</v>
      </c>
      <c r="D12" s="381">
        <f t="shared" si="3"/>
        <v>0</v>
      </c>
      <c r="E12" s="382">
        <f t="shared" si="3"/>
        <v>0</v>
      </c>
      <c r="F12" s="383">
        <f t="shared" si="3"/>
        <v>0</v>
      </c>
      <c r="G12" s="380">
        <f t="shared" si="3"/>
        <v>0</v>
      </c>
      <c r="H12" s="381">
        <f t="shared" si="3"/>
        <v>0</v>
      </c>
      <c r="I12" s="382">
        <f t="shared" si="3"/>
        <v>0</v>
      </c>
      <c r="J12" s="383">
        <f t="shared" si="3"/>
        <v>0</v>
      </c>
      <c r="K12" s="413">
        <f t="shared" si="3"/>
        <v>0</v>
      </c>
      <c r="L12" s="379">
        <f t="shared" si="3"/>
        <v>0</v>
      </c>
      <c r="M12" s="414">
        <f t="shared" si="3"/>
        <v>0</v>
      </c>
      <c r="N12" s="415">
        <f t="shared" si="0"/>
        <v>0</v>
      </c>
    </row>
    <row r="13" spans="1:14" ht="22.5" customHeight="1" x14ac:dyDescent="0.25">
      <c r="A13" s="384" t="s">
        <v>18</v>
      </c>
      <c r="B13" s="385">
        <f>B9-B12</f>
        <v>2735</v>
      </c>
      <c r="C13" s="386">
        <f t="shared" ref="C13:M13" si="4">C9-C12</f>
        <v>949</v>
      </c>
      <c r="D13" s="387">
        <f t="shared" si="4"/>
        <v>3905</v>
      </c>
      <c r="E13" s="388">
        <f t="shared" si="4"/>
        <v>1879</v>
      </c>
      <c r="F13" s="389">
        <f t="shared" si="4"/>
        <v>429</v>
      </c>
      <c r="G13" s="386">
        <f t="shared" si="4"/>
        <v>29</v>
      </c>
      <c r="H13" s="387">
        <f t="shared" si="4"/>
        <v>30</v>
      </c>
      <c r="I13" s="388">
        <f t="shared" si="4"/>
        <v>6</v>
      </c>
      <c r="J13" s="416">
        <f t="shared" si="4"/>
        <v>0</v>
      </c>
      <c r="K13" s="386">
        <f t="shared" si="4"/>
        <v>0</v>
      </c>
      <c r="L13" s="387">
        <f t="shared" si="4"/>
        <v>7099</v>
      </c>
      <c r="M13" s="417">
        <f t="shared" si="4"/>
        <v>2863</v>
      </c>
      <c r="N13" s="418">
        <f t="shared" si="0"/>
        <v>9962</v>
      </c>
    </row>
    <row r="14" spans="1:14" ht="22.5" customHeight="1" x14ac:dyDescent="0.25">
      <c r="A14" s="196" t="s">
        <v>19</v>
      </c>
      <c r="B14" s="316" t="s">
        <v>9</v>
      </c>
      <c r="C14" s="197" t="s">
        <v>20</v>
      </c>
      <c r="D14" s="456" t="s">
        <v>21</v>
      </c>
      <c r="E14" s="457"/>
      <c r="F14" s="247"/>
      <c r="G14" s="247"/>
      <c r="H14" s="247"/>
      <c r="I14" s="247"/>
      <c r="J14" s="247"/>
      <c r="K14" s="247"/>
      <c r="L14" s="247"/>
      <c r="M14" s="247"/>
      <c r="N14" s="247"/>
    </row>
    <row r="15" spans="1:14" s="351" customFormat="1" ht="22.5" customHeight="1" x14ac:dyDescent="0.2">
      <c r="A15" s="390">
        <v>1</v>
      </c>
      <c r="B15" s="391">
        <v>2</v>
      </c>
      <c r="C15" s="392">
        <v>3</v>
      </c>
      <c r="D15" s="458">
        <v>4</v>
      </c>
      <c r="E15" s="459"/>
      <c r="F15" s="247"/>
      <c r="G15" s="247"/>
      <c r="H15" s="247"/>
      <c r="I15" s="247"/>
      <c r="J15" s="247"/>
      <c r="K15" s="247"/>
      <c r="L15" s="247"/>
      <c r="M15" s="247"/>
      <c r="N15" s="247"/>
    </row>
    <row r="16" spans="1:14" ht="22.5" customHeight="1" x14ac:dyDescent="0.25">
      <c r="A16" s="355" t="s">
        <v>22</v>
      </c>
      <c r="B16" s="375">
        <v>485</v>
      </c>
      <c r="C16" s="374">
        <v>17</v>
      </c>
      <c r="D16" s="460">
        <f>B16+C16</f>
        <v>502</v>
      </c>
      <c r="E16" s="461"/>
      <c r="F16" s="247"/>
      <c r="G16" s="247"/>
      <c r="H16" s="247"/>
      <c r="I16" s="247"/>
      <c r="J16" s="247"/>
      <c r="K16" s="247"/>
      <c r="L16" s="247"/>
      <c r="M16" s="247"/>
      <c r="N16" s="247"/>
    </row>
    <row r="17" spans="1:14" ht="22.5" customHeight="1" thickBot="1" x14ac:dyDescent="0.3">
      <c r="A17" s="393" t="s">
        <v>23</v>
      </c>
      <c r="B17" s="393">
        <v>0</v>
      </c>
      <c r="C17" s="394">
        <v>0</v>
      </c>
      <c r="D17" s="447">
        <f>B17+C17</f>
        <v>0</v>
      </c>
      <c r="E17" s="448"/>
      <c r="F17" s="247"/>
      <c r="G17" s="247"/>
      <c r="H17" s="247"/>
      <c r="I17" s="247"/>
      <c r="J17" s="247"/>
      <c r="K17" s="247"/>
      <c r="L17" s="247"/>
      <c r="M17" s="247"/>
      <c r="N17" s="247"/>
    </row>
    <row r="18" spans="1:14" ht="22.5" customHeight="1" thickBot="1" x14ac:dyDescent="0.3">
      <c r="A18" s="367" t="s">
        <v>24</v>
      </c>
      <c r="B18" s="370">
        <f>B16+B17</f>
        <v>485</v>
      </c>
      <c r="C18" s="369">
        <f>C16+C17</f>
        <v>17</v>
      </c>
      <c r="D18" s="449">
        <f>D16+D17</f>
        <v>502</v>
      </c>
      <c r="E18" s="450"/>
      <c r="F18" s="247"/>
      <c r="G18" s="247"/>
      <c r="H18" s="247"/>
      <c r="I18" s="247"/>
      <c r="J18" s="247"/>
      <c r="K18" s="247"/>
      <c r="L18" s="444"/>
      <c r="M18" s="444"/>
      <c r="N18" s="247"/>
    </row>
    <row r="19" spans="1:14" ht="22.5" customHeight="1" x14ac:dyDescent="0.25">
      <c r="A19" s="355" t="s">
        <v>25</v>
      </c>
      <c r="B19" s="375">
        <f>L10</f>
        <v>0</v>
      </c>
      <c r="C19" s="375">
        <f>M10</f>
        <v>0</v>
      </c>
      <c r="D19" s="445">
        <f>B19+C19</f>
        <v>0</v>
      </c>
      <c r="E19" s="446"/>
      <c r="F19" s="247"/>
      <c r="G19" s="247"/>
      <c r="H19" s="247"/>
      <c r="I19" s="247"/>
      <c r="J19" s="247"/>
      <c r="K19" s="247"/>
      <c r="L19" s="247"/>
      <c r="M19" s="247"/>
      <c r="N19" s="247"/>
    </row>
    <row r="20" spans="1:14" ht="22.5" customHeight="1" x14ac:dyDescent="0.25">
      <c r="A20" s="393" t="s">
        <v>26</v>
      </c>
      <c r="B20" s="393">
        <v>0</v>
      </c>
      <c r="C20" s="394">
        <v>0</v>
      </c>
      <c r="D20" s="447">
        <f>B20+C20</f>
        <v>0</v>
      </c>
      <c r="E20" s="448"/>
      <c r="F20" s="247"/>
      <c r="G20" s="247"/>
      <c r="H20" s="247"/>
      <c r="I20" s="247"/>
      <c r="J20" s="247"/>
      <c r="K20" s="247"/>
      <c r="L20" s="247"/>
      <c r="M20" s="247"/>
      <c r="N20" s="247"/>
    </row>
    <row r="21" spans="1:14" ht="22.5" customHeight="1" x14ac:dyDescent="0.25">
      <c r="A21" s="367" t="s">
        <v>27</v>
      </c>
      <c r="B21" s="370">
        <f>B19+B20</f>
        <v>0</v>
      </c>
      <c r="C21" s="369">
        <f>C19+C20</f>
        <v>0</v>
      </c>
      <c r="D21" s="449">
        <f>D19+D20</f>
        <v>0</v>
      </c>
      <c r="E21" s="450"/>
      <c r="F21" s="247"/>
      <c r="G21" s="247"/>
      <c r="H21" s="395"/>
      <c r="I21" s="247"/>
      <c r="J21" s="247"/>
      <c r="K21" s="247"/>
      <c r="L21" s="395"/>
      <c r="M21" s="247"/>
      <c r="N21" s="247"/>
    </row>
    <row r="22" spans="1:14" s="352" customFormat="1" ht="22.5" customHeight="1" x14ac:dyDescent="0.25">
      <c r="A22" s="378" t="s">
        <v>28</v>
      </c>
      <c r="B22" s="396">
        <f>B18-B21</f>
        <v>485</v>
      </c>
      <c r="C22" s="397">
        <f>C18-C21</f>
        <v>17</v>
      </c>
      <c r="D22" s="451">
        <f>D18-D21</f>
        <v>502</v>
      </c>
      <c r="E22" s="452"/>
      <c r="F22" s="395"/>
      <c r="G22" s="395"/>
      <c r="H22" s="247"/>
      <c r="I22" s="395"/>
      <c r="J22" s="395"/>
      <c r="K22" s="395"/>
      <c r="L22" s="395"/>
      <c r="M22" s="395"/>
      <c r="N22" s="395"/>
    </row>
  </sheetData>
  <mergeCells count="21">
    <mergeCell ref="A1:N1"/>
    <mergeCell ref="A2:N2"/>
    <mergeCell ref="A3:N3"/>
    <mergeCell ref="B4:K4"/>
    <mergeCell ref="B5:C5"/>
    <mergeCell ref="D5:E5"/>
    <mergeCell ref="F5:G5"/>
    <mergeCell ref="H5:I5"/>
    <mergeCell ref="J5:K5"/>
    <mergeCell ref="L4:N5"/>
    <mergeCell ref="A4:A6"/>
    <mergeCell ref="D14:E14"/>
    <mergeCell ref="D15:E15"/>
    <mergeCell ref="D16:E16"/>
    <mergeCell ref="D17:E17"/>
    <mergeCell ref="L18:M18"/>
    <mergeCell ref="D19:E19"/>
    <mergeCell ref="D20:E20"/>
    <mergeCell ref="D21:E21"/>
    <mergeCell ref="D22:E22"/>
    <mergeCell ref="D18:E18"/>
  </mergeCells>
  <printOptions horizontalCentered="1"/>
  <pageMargins left="0.67916666666666703" right="0.15625" top="0.98402777777777795" bottom="0.98402777777777795" header="0.51180555555555596" footer="0.51180555555555596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98"/>
  <sheetViews>
    <sheetView view="pageBreakPreview" zoomScale="110" zoomScaleNormal="100" zoomScaleSheetLayoutView="110" workbookViewId="0">
      <selection activeCell="A4" sqref="A4:L4"/>
    </sheetView>
  </sheetViews>
  <sheetFormatPr defaultColWidth="9.140625" defaultRowHeight="15" x14ac:dyDescent="0.25"/>
  <cols>
    <col min="1" max="1" width="8.140625" customWidth="1"/>
    <col min="2" max="2" width="45.7109375" customWidth="1"/>
    <col min="3" max="12" width="7.140625" customWidth="1"/>
    <col min="18" max="18" width="9.28515625" customWidth="1"/>
  </cols>
  <sheetData>
    <row r="1" spans="1:18" ht="19.5" x14ac:dyDescent="0.3">
      <c r="A1" s="462" t="s">
        <v>29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</row>
    <row r="2" spans="1:18" ht="19.5" x14ac:dyDescent="0.3">
      <c r="A2" s="462" t="s">
        <v>30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8" ht="18.75" customHeight="1" x14ac:dyDescent="0.3">
      <c r="A3" s="474" t="str">
        <f>'ipk3.1'!A2</f>
        <v>PADA TANGGAL : 1 AGUSTUS 2025 s/d  31 AGUSTUS 2025</v>
      </c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  <c r="M3" s="283"/>
      <c r="N3" s="283"/>
    </row>
    <row r="4" spans="1:18" x14ac:dyDescent="0.25">
      <c r="A4" s="464"/>
      <c r="B4" s="464"/>
      <c r="C4" s="464"/>
      <c r="D4" s="464"/>
      <c r="E4" s="464"/>
      <c r="F4" s="464"/>
      <c r="G4" s="464"/>
      <c r="H4" s="464"/>
      <c r="I4" s="464"/>
      <c r="J4" s="464"/>
      <c r="K4" s="464"/>
      <c r="L4" s="464"/>
    </row>
    <row r="5" spans="1:18" ht="41.25" customHeight="1" x14ac:dyDescent="0.25">
      <c r="A5" s="453" t="s">
        <v>31</v>
      </c>
      <c r="B5" s="453" t="s">
        <v>32</v>
      </c>
      <c r="C5" s="456" t="s">
        <v>33</v>
      </c>
      <c r="D5" s="457"/>
      <c r="E5" s="456" t="s">
        <v>34</v>
      </c>
      <c r="F5" s="457"/>
      <c r="G5" s="456" t="s">
        <v>35</v>
      </c>
      <c r="H5" s="457"/>
      <c r="I5" s="456" t="s">
        <v>36</v>
      </c>
      <c r="J5" s="457"/>
      <c r="K5" s="456" t="s">
        <v>37</v>
      </c>
      <c r="L5" s="475"/>
      <c r="M5" s="332"/>
    </row>
    <row r="6" spans="1:18" x14ac:dyDescent="0.25">
      <c r="A6" s="455"/>
      <c r="B6" s="455"/>
      <c r="C6" s="198" t="s">
        <v>9</v>
      </c>
      <c r="D6" s="198" t="s">
        <v>20</v>
      </c>
      <c r="E6" s="198" t="s">
        <v>9</v>
      </c>
      <c r="F6" s="198" t="s">
        <v>20</v>
      </c>
      <c r="G6" s="198" t="s">
        <v>9</v>
      </c>
      <c r="H6" s="198" t="s">
        <v>20</v>
      </c>
      <c r="I6" s="198" t="s">
        <v>9</v>
      </c>
      <c r="J6" s="198" t="s">
        <v>20</v>
      </c>
      <c r="K6" s="198" t="s">
        <v>9</v>
      </c>
      <c r="L6" s="284" t="s">
        <v>20</v>
      </c>
      <c r="M6" s="332"/>
    </row>
    <row r="7" spans="1:18" x14ac:dyDescent="0.25">
      <c r="A7" s="472">
        <v>1</v>
      </c>
      <c r="B7" s="473"/>
      <c r="C7" s="323">
        <v>2</v>
      </c>
      <c r="D7" s="323">
        <v>3</v>
      </c>
      <c r="E7" s="323">
        <v>4</v>
      </c>
      <c r="F7" s="323">
        <v>5</v>
      </c>
      <c r="G7" s="323">
        <v>6</v>
      </c>
      <c r="H7" s="323">
        <v>7</v>
      </c>
      <c r="I7" s="323">
        <v>8</v>
      </c>
      <c r="J7" s="323">
        <v>9</v>
      </c>
      <c r="K7" s="323">
        <v>10</v>
      </c>
      <c r="L7" s="333">
        <v>11</v>
      </c>
      <c r="M7" s="332"/>
    </row>
    <row r="8" spans="1:18" ht="15.75" thickBot="1" x14ac:dyDescent="0.3">
      <c r="A8" s="324">
        <v>1000</v>
      </c>
      <c r="B8" s="255" t="s">
        <v>38</v>
      </c>
      <c r="C8" s="226"/>
      <c r="D8" s="226"/>
      <c r="E8" s="226"/>
      <c r="F8" s="226"/>
      <c r="G8" s="226"/>
      <c r="H8" s="226"/>
      <c r="I8" s="226"/>
      <c r="J8" s="226"/>
      <c r="K8" s="226"/>
      <c r="L8" s="334"/>
      <c r="M8" s="332"/>
    </row>
    <row r="9" spans="1:18" x14ac:dyDescent="0.25">
      <c r="A9" s="204">
        <v>1101</v>
      </c>
      <c r="B9" s="205" t="s">
        <v>39</v>
      </c>
      <c r="C9" s="325">
        <v>87</v>
      </c>
      <c r="D9" s="298">
        <v>7</v>
      </c>
      <c r="E9" s="268">
        <v>0</v>
      </c>
      <c r="F9" s="209">
        <v>0</v>
      </c>
      <c r="G9" s="275">
        <v>0</v>
      </c>
      <c r="H9" s="275">
        <v>0</v>
      </c>
      <c r="I9" s="209">
        <v>0</v>
      </c>
      <c r="J9" s="209">
        <v>0</v>
      </c>
      <c r="K9" s="221">
        <f>C9+E9-G9-I9</f>
        <v>87</v>
      </c>
      <c r="L9" s="222">
        <f t="shared" ref="K9:L12" si="0">D9+F9-H9-J9</f>
        <v>7</v>
      </c>
      <c r="M9" s="262"/>
      <c r="N9" s="262"/>
      <c r="O9" s="263"/>
      <c r="P9" s="262"/>
      <c r="Q9" s="262"/>
      <c r="R9" s="262"/>
    </row>
    <row r="10" spans="1:18" x14ac:dyDescent="0.25">
      <c r="A10" s="210">
        <v>1102</v>
      </c>
      <c r="B10" s="211" t="s">
        <v>40</v>
      </c>
      <c r="C10" s="301">
        <v>89</v>
      </c>
      <c r="D10" s="259">
        <v>0</v>
      </c>
      <c r="E10" s="266">
        <v>0</v>
      </c>
      <c r="F10" s="120">
        <v>0</v>
      </c>
      <c r="G10" s="276">
        <v>0</v>
      </c>
      <c r="H10" s="276">
        <v>0</v>
      </c>
      <c r="I10" s="120">
        <v>0</v>
      </c>
      <c r="J10" s="120">
        <v>0</v>
      </c>
      <c r="K10" s="223">
        <f t="shared" si="0"/>
        <v>89</v>
      </c>
      <c r="L10" s="224">
        <f t="shared" si="0"/>
        <v>0</v>
      </c>
      <c r="M10" s="262"/>
      <c r="N10" s="262"/>
      <c r="O10" s="263"/>
      <c r="P10" s="262"/>
      <c r="Q10" s="262"/>
      <c r="R10" s="262"/>
    </row>
    <row r="11" spans="1:18" x14ac:dyDescent="0.25">
      <c r="A11" s="210">
        <v>1103</v>
      </c>
      <c r="B11" s="211" t="s">
        <v>41</v>
      </c>
      <c r="C11" s="301">
        <v>0</v>
      </c>
      <c r="D11" s="259">
        <v>0</v>
      </c>
      <c r="E11" s="266">
        <v>0</v>
      </c>
      <c r="F11" s="120">
        <v>0</v>
      </c>
      <c r="G11" s="276">
        <v>0</v>
      </c>
      <c r="H11" s="276">
        <v>0</v>
      </c>
      <c r="I11" s="120">
        <v>0</v>
      </c>
      <c r="J11" s="120">
        <v>0</v>
      </c>
      <c r="K11" s="223">
        <f t="shared" si="0"/>
        <v>0</v>
      </c>
      <c r="L11" s="224">
        <f t="shared" si="0"/>
        <v>0</v>
      </c>
      <c r="M11" s="262"/>
      <c r="N11" s="262"/>
      <c r="O11" s="263"/>
      <c r="P11" s="262"/>
      <c r="Q11" s="262"/>
      <c r="R11" s="262"/>
    </row>
    <row r="12" spans="1:18" ht="15.75" thickBot="1" x14ac:dyDescent="0.3">
      <c r="A12" s="204">
        <v>1199</v>
      </c>
      <c r="B12" s="205" t="s">
        <v>42</v>
      </c>
      <c r="C12" s="300">
        <v>0</v>
      </c>
      <c r="D12" s="257">
        <v>0</v>
      </c>
      <c r="E12" s="268">
        <v>0</v>
      </c>
      <c r="F12" s="209">
        <v>0</v>
      </c>
      <c r="G12" s="275">
        <v>0</v>
      </c>
      <c r="H12" s="275">
        <v>0</v>
      </c>
      <c r="I12" s="209">
        <v>0</v>
      </c>
      <c r="J12" s="209">
        <v>0</v>
      </c>
      <c r="K12" s="221">
        <f t="shared" si="0"/>
        <v>0</v>
      </c>
      <c r="L12" s="225">
        <f t="shared" si="0"/>
        <v>0</v>
      </c>
      <c r="M12" s="262"/>
      <c r="N12" s="262"/>
      <c r="O12" s="263"/>
      <c r="P12" s="262"/>
      <c r="Q12" s="262"/>
      <c r="R12" s="262"/>
    </row>
    <row r="13" spans="1:18" ht="15.75" thickBot="1" x14ac:dyDescent="0.3">
      <c r="A13" s="254">
        <v>2000</v>
      </c>
      <c r="B13" s="255" t="s">
        <v>43</v>
      </c>
      <c r="C13" s="299"/>
      <c r="D13" s="299"/>
      <c r="E13" s="226"/>
      <c r="F13" s="226"/>
      <c r="G13" s="278"/>
      <c r="H13" s="278"/>
      <c r="I13" s="226"/>
      <c r="J13" s="226"/>
      <c r="K13" s="226"/>
      <c r="L13" s="227"/>
      <c r="M13" s="262"/>
      <c r="N13" s="263"/>
      <c r="O13" s="263"/>
      <c r="P13" s="262"/>
      <c r="Q13" s="262"/>
      <c r="R13" s="262"/>
    </row>
    <row r="14" spans="1:18" x14ac:dyDescent="0.25">
      <c r="A14" s="204">
        <v>2101</v>
      </c>
      <c r="B14" s="205" t="s">
        <v>44</v>
      </c>
      <c r="C14" s="300">
        <v>194</v>
      </c>
      <c r="D14" s="257">
        <v>52</v>
      </c>
      <c r="E14" s="268">
        <v>1</v>
      </c>
      <c r="F14" s="209">
        <v>0</v>
      </c>
      <c r="G14" s="275">
        <v>0</v>
      </c>
      <c r="H14" s="275">
        <v>0</v>
      </c>
      <c r="I14" s="209">
        <v>0</v>
      </c>
      <c r="J14" s="209">
        <v>0</v>
      </c>
      <c r="K14" s="221">
        <f>C14+E14-G14-I14</f>
        <v>195</v>
      </c>
      <c r="L14" s="225">
        <f t="shared" ref="K14:L18" si="1">D14+F14-H14-J14</f>
        <v>52</v>
      </c>
      <c r="M14" s="304"/>
      <c r="N14" s="262"/>
      <c r="O14" s="263"/>
      <c r="P14" s="262"/>
      <c r="Q14" s="262"/>
      <c r="R14" s="262"/>
    </row>
    <row r="15" spans="1:18" x14ac:dyDescent="0.25">
      <c r="A15" s="210">
        <v>2102</v>
      </c>
      <c r="B15" s="211" t="s">
        <v>45</v>
      </c>
      <c r="C15" s="301">
        <v>58</v>
      </c>
      <c r="D15" s="259">
        <v>8</v>
      </c>
      <c r="E15" s="266">
        <v>0</v>
      </c>
      <c r="F15" s="120">
        <v>0</v>
      </c>
      <c r="G15" s="276">
        <v>0</v>
      </c>
      <c r="H15" s="276">
        <v>0</v>
      </c>
      <c r="I15" s="120">
        <v>0</v>
      </c>
      <c r="J15" s="120">
        <v>0</v>
      </c>
      <c r="K15" s="223">
        <f t="shared" si="1"/>
        <v>58</v>
      </c>
      <c r="L15" s="224">
        <f t="shared" si="1"/>
        <v>8</v>
      </c>
      <c r="M15" s="304"/>
      <c r="N15" s="262"/>
      <c r="O15" s="263"/>
      <c r="P15" s="262"/>
      <c r="Q15" s="262"/>
      <c r="R15" s="262"/>
    </row>
    <row r="16" spans="1:18" x14ac:dyDescent="0.25">
      <c r="A16" s="210">
        <v>2103</v>
      </c>
      <c r="B16" s="211" t="s">
        <v>46</v>
      </c>
      <c r="C16" s="301">
        <v>66</v>
      </c>
      <c r="D16" s="259">
        <v>12</v>
      </c>
      <c r="E16" s="266">
        <v>0</v>
      </c>
      <c r="F16" s="120">
        <v>0</v>
      </c>
      <c r="G16" s="276">
        <v>0</v>
      </c>
      <c r="H16" s="276">
        <v>0</v>
      </c>
      <c r="I16" s="120">
        <v>0</v>
      </c>
      <c r="J16" s="120">
        <v>0</v>
      </c>
      <c r="K16" s="223">
        <f t="shared" si="1"/>
        <v>66</v>
      </c>
      <c r="L16" s="224">
        <f t="shared" si="1"/>
        <v>12</v>
      </c>
      <c r="M16" s="304"/>
      <c r="N16" s="262"/>
      <c r="O16" s="263"/>
    </row>
    <row r="17" spans="1:15" x14ac:dyDescent="0.25">
      <c r="A17" s="210">
        <v>2104</v>
      </c>
      <c r="B17" s="211" t="s">
        <v>47</v>
      </c>
      <c r="C17" s="301">
        <v>0</v>
      </c>
      <c r="D17" s="259">
        <v>0</v>
      </c>
      <c r="E17" s="266">
        <v>0</v>
      </c>
      <c r="F17" s="120">
        <v>0</v>
      </c>
      <c r="G17" s="276">
        <v>0</v>
      </c>
      <c r="H17" s="276">
        <v>0</v>
      </c>
      <c r="I17" s="120">
        <v>0</v>
      </c>
      <c r="J17" s="120">
        <v>0</v>
      </c>
      <c r="K17" s="223">
        <f t="shared" si="1"/>
        <v>0</v>
      </c>
      <c r="L17" s="224">
        <f t="shared" si="1"/>
        <v>0</v>
      </c>
      <c r="M17" s="304"/>
      <c r="N17" s="262"/>
      <c r="O17" s="263"/>
    </row>
    <row r="18" spans="1:15" ht="15.75" thickBot="1" x14ac:dyDescent="0.3">
      <c r="A18" s="204">
        <v>2199</v>
      </c>
      <c r="B18" s="205" t="s">
        <v>48</v>
      </c>
      <c r="C18" s="300">
        <v>0</v>
      </c>
      <c r="D18" s="257">
        <v>0</v>
      </c>
      <c r="E18" s="266">
        <v>0</v>
      </c>
      <c r="F18" s="120">
        <v>0</v>
      </c>
      <c r="G18" s="275">
        <v>0</v>
      </c>
      <c r="H18" s="276">
        <v>0</v>
      </c>
      <c r="I18" s="120">
        <v>0</v>
      </c>
      <c r="J18" s="120">
        <v>0</v>
      </c>
      <c r="K18" s="221">
        <f t="shared" si="1"/>
        <v>0</v>
      </c>
      <c r="L18" s="225">
        <f t="shared" si="1"/>
        <v>0</v>
      </c>
      <c r="M18" s="304"/>
      <c r="N18" s="262"/>
      <c r="O18" s="263"/>
    </row>
    <row r="19" spans="1:15" ht="15.75" thickBot="1" x14ac:dyDescent="0.3">
      <c r="A19" s="254">
        <v>3000</v>
      </c>
      <c r="B19" s="255" t="s">
        <v>49</v>
      </c>
      <c r="C19" s="299"/>
      <c r="D19" s="299"/>
      <c r="E19" s="226"/>
      <c r="F19" s="226"/>
      <c r="G19" s="278"/>
      <c r="H19" s="279"/>
      <c r="I19" s="226"/>
      <c r="J19" s="226"/>
      <c r="K19" s="226"/>
      <c r="L19" s="227"/>
      <c r="N19" s="263"/>
      <c r="O19" s="263"/>
    </row>
    <row r="20" spans="1:15" x14ac:dyDescent="0.25">
      <c r="A20" s="326">
        <v>3101</v>
      </c>
      <c r="B20" s="327" t="s">
        <v>50</v>
      </c>
      <c r="C20" s="300">
        <v>194</v>
      </c>
      <c r="D20" s="257">
        <v>18</v>
      </c>
      <c r="E20" s="268">
        <v>0</v>
      </c>
      <c r="F20" s="209">
        <v>0</v>
      </c>
      <c r="G20" s="275">
        <v>0</v>
      </c>
      <c r="H20" s="275">
        <v>0</v>
      </c>
      <c r="I20" s="209">
        <v>0</v>
      </c>
      <c r="J20" s="209">
        <v>0</v>
      </c>
      <c r="K20" s="221">
        <f>C20+E20-G20-I20</f>
        <v>194</v>
      </c>
      <c r="L20" s="225">
        <f t="shared" ref="L20:L63" si="2">D20+F20-H20-J20</f>
        <v>18</v>
      </c>
      <c r="M20" s="304"/>
      <c r="N20" s="262"/>
      <c r="O20" s="263"/>
    </row>
    <row r="21" spans="1:15" x14ac:dyDescent="0.25">
      <c r="A21" s="210">
        <v>3102</v>
      </c>
      <c r="B21" s="211" t="s">
        <v>51</v>
      </c>
      <c r="C21" s="301">
        <v>0</v>
      </c>
      <c r="D21" s="419">
        <v>0</v>
      </c>
      <c r="E21" s="428">
        <v>0</v>
      </c>
      <c r="F21" s="420">
        <v>0</v>
      </c>
      <c r="G21" s="421">
        <v>0</v>
      </c>
      <c r="H21" s="421">
        <v>0</v>
      </c>
      <c r="I21" s="420">
        <v>0</v>
      </c>
      <c r="J21" s="420">
        <v>0</v>
      </c>
      <c r="K21" s="422">
        <f t="shared" ref="K21:K63" si="3">C21+E21-G21-I21</f>
        <v>0</v>
      </c>
      <c r="L21" s="224">
        <f t="shared" si="2"/>
        <v>0</v>
      </c>
      <c r="M21" s="304"/>
      <c r="N21" s="262"/>
      <c r="O21" s="263"/>
    </row>
    <row r="22" spans="1:15" x14ac:dyDescent="0.25">
      <c r="A22" s="210">
        <v>3103</v>
      </c>
      <c r="B22" s="211" t="s">
        <v>52</v>
      </c>
      <c r="C22" s="301">
        <v>4</v>
      </c>
      <c r="D22" s="419">
        <v>0</v>
      </c>
      <c r="E22" s="428">
        <v>0</v>
      </c>
      <c r="F22" s="420">
        <v>0</v>
      </c>
      <c r="G22" s="421">
        <v>0</v>
      </c>
      <c r="H22" s="421">
        <v>0</v>
      </c>
      <c r="I22" s="420">
        <v>0</v>
      </c>
      <c r="J22" s="420">
        <v>0</v>
      </c>
      <c r="K22" s="422">
        <f t="shared" si="3"/>
        <v>4</v>
      </c>
      <c r="L22" s="224">
        <f t="shared" si="2"/>
        <v>0</v>
      </c>
      <c r="M22" s="304"/>
      <c r="N22" s="262"/>
      <c r="O22" s="263"/>
    </row>
    <row r="23" spans="1:15" x14ac:dyDescent="0.25">
      <c r="A23" s="210">
        <v>3104</v>
      </c>
      <c r="B23" s="211" t="s">
        <v>53</v>
      </c>
      <c r="C23" s="301">
        <v>310</v>
      </c>
      <c r="D23" s="419">
        <v>6</v>
      </c>
      <c r="E23" s="428">
        <v>3</v>
      </c>
      <c r="F23" s="420">
        <v>0</v>
      </c>
      <c r="G23" s="421">
        <v>0</v>
      </c>
      <c r="H23" s="421">
        <v>0</v>
      </c>
      <c r="I23" s="420">
        <v>0</v>
      </c>
      <c r="J23" s="420">
        <v>0</v>
      </c>
      <c r="K23" s="422">
        <f t="shared" si="3"/>
        <v>313</v>
      </c>
      <c r="L23" s="224">
        <f t="shared" si="2"/>
        <v>6</v>
      </c>
      <c r="M23" s="304"/>
      <c r="N23" s="262"/>
      <c r="O23" s="263"/>
    </row>
    <row r="24" spans="1:15" x14ac:dyDescent="0.25">
      <c r="A24" s="210">
        <v>3105</v>
      </c>
      <c r="B24" s="211" t="s">
        <v>54</v>
      </c>
      <c r="C24" s="301">
        <v>27</v>
      </c>
      <c r="D24" s="419">
        <v>4</v>
      </c>
      <c r="E24" s="428">
        <v>0</v>
      </c>
      <c r="F24" s="420">
        <v>0</v>
      </c>
      <c r="G24" s="421">
        <v>0</v>
      </c>
      <c r="H24" s="421">
        <v>0</v>
      </c>
      <c r="I24" s="420">
        <v>0</v>
      </c>
      <c r="J24" s="420">
        <v>0</v>
      </c>
      <c r="K24" s="422">
        <f t="shared" si="3"/>
        <v>27</v>
      </c>
      <c r="L24" s="224">
        <f t="shared" si="2"/>
        <v>4</v>
      </c>
      <c r="M24" s="304"/>
      <c r="N24" s="262"/>
      <c r="O24" s="263"/>
    </row>
    <row r="25" spans="1:15" x14ac:dyDescent="0.25">
      <c r="A25" s="210">
        <v>3106</v>
      </c>
      <c r="B25" s="211" t="s">
        <v>55</v>
      </c>
      <c r="C25" s="301">
        <v>173</v>
      </c>
      <c r="D25" s="419">
        <v>3</v>
      </c>
      <c r="E25" s="428">
        <v>0</v>
      </c>
      <c r="F25" s="420">
        <v>0</v>
      </c>
      <c r="G25" s="421">
        <v>0</v>
      </c>
      <c r="H25" s="421">
        <v>0</v>
      </c>
      <c r="I25" s="420">
        <v>0</v>
      </c>
      <c r="J25" s="420">
        <v>0</v>
      </c>
      <c r="K25" s="422">
        <f t="shared" si="3"/>
        <v>173</v>
      </c>
      <c r="L25" s="224">
        <f t="shared" si="2"/>
        <v>3</v>
      </c>
      <c r="M25" s="304"/>
      <c r="N25" s="262"/>
      <c r="O25" s="263"/>
    </row>
    <row r="26" spans="1:15" x14ac:dyDescent="0.25">
      <c r="A26" s="210">
        <v>3107</v>
      </c>
      <c r="B26" s="211" t="s">
        <v>56</v>
      </c>
      <c r="C26" s="301">
        <v>744</v>
      </c>
      <c r="D26" s="419">
        <v>14</v>
      </c>
      <c r="E26" s="428">
        <v>10</v>
      </c>
      <c r="F26" s="420">
        <v>0</v>
      </c>
      <c r="G26" s="421">
        <v>0</v>
      </c>
      <c r="H26" s="421">
        <v>0</v>
      </c>
      <c r="I26" s="420">
        <v>0</v>
      </c>
      <c r="J26" s="420">
        <v>0</v>
      </c>
      <c r="K26" s="422">
        <f t="shared" si="3"/>
        <v>754</v>
      </c>
      <c r="L26" s="224">
        <f t="shared" si="2"/>
        <v>14</v>
      </c>
      <c r="M26" s="304"/>
      <c r="N26" s="262"/>
      <c r="O26" s="263"/>
    </row>
    <row r="27" spans="1:15" x14ac:dyDescent="0.25">
      <c r="A27" s="210">
        <v>3108</v>
      </c>
      <c r="B27" s="211" t="s">
        <v>57</v>
      </c>
      <c r="C27" s="301">
        <v>2</v>
      </c>
      <c r="D27" s="419">
        <v>0</v>
      </c>
      <c r="E27" s="428">
        <v>0</v>
      </c>
      <c r="F27" s="420">
        <v>0</v>
      </c>
      <c r="G27" s="421">
        <v>0</v>
      </c>
      <c r="H27" s="421">
        <v>0</v>
      </c>
      <c r="I27" s="420">
        <v>0</v>
      </c>
      <c r="J27" s="420">
        <v>0</v>
      </c>
      <c r="K27" s="422">
        <f t="shared" si="3"/>
        <v>2</v>
      </c>
      <c r="L27" s="224">
        <f t="shared" si="2"/>
        <v>0</v>
      </c>
      <c r="M27" s="304"/>
      <c r="N27" s="262"/>
      <c r="O27" s="263"/>
    </row>
    <row r="28" spans="1:15" x14ac:dyDescent="0.25">
      <c r="A28" s="210">
        <v>3109</v>
      </c>
      <c r="B28" s="211" t="s">
        <v>58</v>
      </c>
      <c r="C28" s="301">
        <v>3</v>
      </c>
      <c r="D28" s="419">
        <v>0</v>
      </c>
      <c r="E28" s="428">
        <v>0</v>
      </c>
      <c r="F28" s="420">
        <v>0</v>
      </c>
      <c r="G28" s="421">
        <v>0</v>
      </c>
      <c r="H28" s="421">
        <v>0</v>
      </c>
      <c r="I28" s="420">
        <v>0</v>
      </c>
      <c r="J28" s="420">
        <v>0</v>
      </c>
      <c r="K28" s="422">
        <f t="shared" si="3"/>
        <v>3</v>
      </c>
      <c r="L28" s="224">
        <f t="shared" si="2"/>
        <v>0</v>
      </c>
      <c r="M28" s="304"/>
      <c r="N28" s="262"/>
      <c r="O28" s="263"/>
    </row>
    <row r="29" spans="1:15" x14ac:dyDescent="0.25">
      <c r="A29" s="210">
        <v>3110</v>
      </c>
      <c r="B29" s="211" t="s">
        <v>59</v>
      </c>
      <c r="C29" s="301">
        <v>0</v>
      </c>
      <c r="D29" s="419">
        <v>1</v>
      </c>
      <c r="E29" s="428">
        <v>0</v>
      </c>
      <c r="F29" s="420">
        <v>0</v>
      </c>
      <c r="G29" s="421">
        <v>0</v>
      </c>
      <c r="H29" s="421">
        <v>0</v>
      </c>
      <c r="I29" s="420">
        <v>0</v>
      </c>
      <c r="J29" s="420">
        <v>0</v>
      </c>
      <c r="K29" s="422">
        <f t="shared" si="3"/>
        <v>0</v>
      </c>
      <c r="L29" s="224">
        <f t="shared" si="2"/>
        <v>1</v>
      </c>
      <c r="M29" s="304"/>
      <c r="N29" s="262"/>
      <c r="O29" s="263"/>
    </row>
    <row r="30" spans="1:15" x14ac:dyDescent="0.25">
      <c r="A30" s="210">
        <v>3111</v>
      </c>
      <c r="B30" s="211" t="s">
        <v>60</v>
      </c>
      <c r="C30" s="301">
        <v>0</v>
      </c>
      <c r="D30" s="419">
        <v>0</v>
      </c>
      <c r="E30" s="428">
        <v>0</v>
      </c>
      <c r="F30" s="420">
        <v>0</v>
      </c>
      <c r="G30" s="421">
        <v>0</v>
      </c>
      <c r="H30" s="421">
        <v>0</v>
      </c>
      <c r="I30" s="420">
        <v>0</v>
      </c>
      <c r="J30" s="420">
        <v>0</v>
      </c>
      <c r="K30" s="422">
        <f t="shared" si="3"/>
        <v>0</v>
      </c>
      <c r="L30" s="224">
        <f t="shared" si="2"/>
        <v>0</v>
      </c>
      <c r="M30" s="304"/>
      <c r="N30" s="262"/>
      <c r="O30" s="263"/>
    </row>
    <row r="31" spans="1:15" x14ac:dyDescent="0.25">
      <c r="A31" s="210">
        <v>3112</v>
      </c>
      <c r="B31" s="211" t="s">
        <v>61</v>
      </c>
      <c r="C31" s="301">
        <v>27</v>
      </c>
      <c r="D31" s="419">
        <v>3</v>
      </c>
      <c r="E31" s="428">
        <v>0</v>
      </c>
      <c r="F31" s="420">
        <v>0</v>
      </c>
      <c r="G31" s="421">
        <v>0</v>
      </c>
      <c r="H31" s="421">
        <v>0</v>
      </c>
      <c r="I31" s="420">
        <v>0</v>
      </c>
      <c r="J31" s="420">
        <v>0</v>
      </c>
      <c r="K31" s="422">
        <f t="shared" si="3"/>
        <v>27</v>
      </c>
      <c r="L31" s="224">
        <f t="shared" si="2"/>
        <v>3</v>
      </c>
      <c r="M31" s="304"/>
      <c r="N31" s="262"/>
      <c r="O31" s="263"/>
    </row>
    <row r="32" spans="1:15" x14ac:dyDescent="0.25">
      <c r="A32" s="210">
        <v>3113</v>
      </c>
      <c r="B32" s="211" t="s">
        <v>62</v>
      </c>
      <c r="C32" s="301">
        <v>0</v>
      </c>
      <c r="D32" s="419">
        <v>0</v>
      </c>
      <c r="E32" s="428">
        <v>0</v>
      </c>
      <c r="F32" s="420">
        <v>0</v>
      </c>
      <c r="G32" s="421">
        <v>0</v>
      </c>
      <c r="H32" s="421">
        <v>0</v>
      </c>
      <c r="I32" s="420">
        <v>0</v>
      </c>
      <c r="J32" s="420">
        <v>0</v>
      </c>
      <c r="K32" s="422">
        <f t="shared" si="3"/>
        <v>0</v>
      </c>
      <c r="L32" s="224">
        <f t="shared" si="2"/>
        <v>0</v>
      </c>
      <c r="M32" s="304"/>
      <c r="N32" s="262"/>
      <c r="O32" s="263"/>
    </row>
    <row r="33" spans="1:15" x14ac:dyDescent="0.25">
      <c r="A33" s="210">
        <v>3114</v>
      </c>
      <c r="B33" s="211" t="s">
        <v>63</v>
      </c>
      <c r="C33" s="301">
        <v>21</v>
      </c>
      <c r="D33" s="419">
        <v>44</v>
      </c>
      <c r="E33" s="428">
        <v>0</v>
      </c>
      <c r="F33" s="420">
        <v>0</v>
      </c>
      <c r="G33" s="421">
        <v>0</v>
      </c>
      <c r="H33" s="421">
        <v>0</v>
      </c>
      <c r="I33" s="420">
        <v>0</v>
      </c>
      <c r="J33" s="420">
        <v>0</v>
      </c>
      <c r="K33" s="422">
        <f t="shared" si="3"/>
        <v>21</v>
      </c>
      <c r="L33" s="224">
        <f t="shared" si="2"/>
        <v>44</v>
      </c>
      <c r="M33" s="304"/>
      <c r="N33" s="262"/>
      <c r="O33" s="263"/>
    </row>
    <row r="34" spans="1:15" x14ac:dyDescent="0.25">
      <c r="A34" s="210">
        <v>3115</v>
      </c>
      <c r="B34" s="211" t="s">
        <v>64</v>
      </c>
      <c r="C34" s="301">
        <v>7</v>
      </c>
      <c r="D34" s="419">
        <v>0</v>
      </c>
      <c r="E34" s="428">
        <v>0</v>
      </c>
      <c r="F34" s="420">
        <v>0</v>
      </c>
      <c r="G34" s="421">
        <v>0</v>
      </c>
      <c r="H34" s="421">
        <v>0</v>
      </c>
      <c r="I34" s="420">
        <v>0</v>
      </c>
      <c r="J34" s="420">
        <v>0</v>
      </c>
      <c r="K34" s="422">
        <f t="shared" si="3"/>
        <v>7</v>
      </c>
      <c r="L34" s="224">
        <f t="shared" si="2"/>
        <v>0</v>
      </c>
      <c r="M34" s="304"/>
      <c r="N34" s="262"/>
      <c r="O34" s="263"/>
    </row>
    <row r="35" spans="1:15" x14ac:dyDescent="0.25">
      <c r="A35" s="210">
        <v>3116</v>
      </c>
      <c r="B35" s="211" t="s">
        <v>65</v>
      </c>
      <c r="C35" s="301">
        <v>11</v>
      </c>
      <c r="D35" s="419">
        <v>2</v>
      </c>
      <c r="E35" s="428">
        <v>0</v>
      </c>
      <c r="F35" s="420">
        <v>0</v>
      </c>
      <c r="G35" s="421">
        <v>0</v>
      </c>
      <c r="H35" s="421">
        <v>0</v>
      </c>
      <c r="I35" s="420">
        <v>0</v>
      </c>
      <c r="J35" s="420">
        <v>0</v>
      </c>
      <c r="K35" s="422">
        <f t="shared" si="3"/>
        <v>11</v>
      </c>
      <c r="L35" s="224">
        <f t="shared" si="2"/>
        <v>2</v>
      </c>
      <c r="M35" s="304"/>
      <c r="N35" s="262"/>
      <c r="O35" s="263"/>
    </row>
    <row r="36" spans="1:15" x14ac:dyDescent="0.25">
      <c r="A36" s="210">
        <v>3117</v>
      </c>
      <c r="B36" s="211" t="s">
        <v>66</v>
      </c>
      <c r="C36" s="301">
        <v>0</v>
      </c>
      <c r="D36" s="419">
        <v>0</v>
      </c>
      <c r="E36" s="428">
        <v>0</v>
      </c>
      <c r="F36" s="420">
        <v>0</v>
      </c>
      <c r="G36" s="421">
        <v>0</v>
      </c>
      <c r="H36" s="421">
        <v>0</v>
      </c>
      <c r="I36" s="420">
        <v>0</v>
      </c>
      <c r="J36" s="420">
        <v>0</v>
      </c>
      <c r="K36" s="422">
        <f t="shared" si="3"/>
        <v>0</v>
      </c>
      <c r="L36" s="224">
        <f t="shared" si="2"/>
        <v>0</v>
      </c>
      <c r="M36" s="304"/>
      <c r="N36" s="262"/>
      <c r="O36" s="263"/>
    </row>
    <row r="37" spans="1:15" x14ac:dyDescent="0.25">
      <c r="A37" s="210">
        <v>3118</v>
      </c>
      <c r="B37" s="211" t="s">
        <v>67</v>
      </c>
      <c r="C37" s="301">
        <v>15</v>
      </c>
      <c r="D37" s="419">
        <v>0</v>
      </c>
      <c r="E37" s="428">
        <v>0</v>
      </c>
      <c r="F37" s="420">
        <v>0</v>
      </c>
      <c r="G37" s="421">
        <v>0</v>
      </c>
      <c r="H37" s="421">
        <v>0</v>
      </c>
      <c r="I37" s="420">
        <v>0</v>
      </c>
      <c r="J37" s="420">
        <v>0</v>
      </c>
      <c r="K37" s="422">
        <f t="shared" si="3"/>
        <v>15</v>
      </c>
      <c r="L37" s="224">
        <f t="shared" si="2"/>
        <v>0</v>
      </c>
      <c r="M37" s="304"/>
      <c r="N37" s="262"/>
      <c r="O37" s="263"/>
    </row>
    <row r="38" spans="1:15" x14ac:dyDescent="0.25">
      <c r="A38" s="210">
        <v>3201</v>
      </c>
      <c r="B38" s="425" t="s">
        <v>68</v>
      </c>
      <c r="C38" s="301">
        <v>12</v>
      </c>
      <c r="D38" s="419">
        <v>4</v>
      </c>
      <c r="E38" s="428">
        <v>0</v>
      </c>
      <c r="F38" s="420">
        <v>0</v>
      </c>
      <c r="G38" s="421">
        <v>0</v>
      </c>
      <c r="H38" s="421">
        <v>0</v>
      </c>
      <c r="I38" s="420">
        <v>0</v>
      </c>
      <c r="J38" s="420">
        <v>0</v>
      </c>
      <c r="K38" s="422">
        <f t="shared" si="3"/>
        <v>12</v>
      </c>
      <c r="L38" s="224">
        <f t="shared" si="2"/>
        <v>4</v>
      </c>
      <c r="M38" s="304"/>
      <c r="N38" s="262"/>
      <c r="O38" s="263"/>
    </row>
    <row r="39" spans="1:15" x14ac:dyDescent="0.25">
      <c r="A39" s="210">
        <v>3202</v>
      </c>
      <c r="B39" s="211" t="s">
        <v>69</v>
      </c>
      <c r="C39" s="301">
        <v>399</v>
      </c>
      <c r="D39" s="419">
        <v>103</v>
      </c>
      <c r="E39" s="428">
        <v>3</v>
      </c>
      <c r="F39" s="420">
        <v>0</v>
      </c>
      <c r="G39" s="421">
        <v>0</v>
      </c>
      <c r="H39" s="421">
        <v>0</v>
      </c>
      <c r="I39" s="420">
        <v>0</v>
      </c>
      <c r="J39" s="420">
        <v>0</v>
      </c>
      <c r="K39" s="422">
        <f t="shared" si="3"/>
        <v>402</v>
      </c>
      <c r="L39" s="224">
        <f t="shared" si="2"/>
        <v>103</v>
      </c>
      <c r="M39" s="304"/>
      <c r="N39" s="262"/>
      <c r="O39" s="263"/>
    </row>
    <row r="40" spans="1:15" x14ac:dyDescent="0.25">
      <c r="A40" s="210">
        <v>3203</v>
      </c>
      <c r="B40" s="211" t="s">
        <v>70</v>
      </c>
      <c r="C40" s="301">
        <v>0</v>
      </c>
      <c r="D40" s="419">
        <v>0</v>
      </c>
      <c r="E40" s="428">
        <v>1</v>
      </c>
      <c r="F40" s="420">
        <v>0</v>
      </c>
      <c r="G40" s="421">
        <v>0</v>
      </c>
      <c r="H40" s="421">
        <v>0</v>
      </c>
      <c r="I40" s="420">
        <v>0</v>
      </c>
      <c r="J40" s="420">
        <v>0</v>
      </c>
      <c r="K40" s="422">
        <f t="shared" si="3"/>
        <v>1</v>
      </c>
      <c r="L40" s="224">
        <f t="shared" si="2"/>
        <v>0</v>
      </c>
      <c r="M40" s="304"/>
      <c r="N40" s="262"/>
      <c r="O40" s="263"/>
    </row>
    <row r="41" spans="1:15" x14ac:dyDescent="0.25">
      <c r="A41" s="210">
        <v>3301</v>
      </c>
      <c r="B41" s="211" t="s">
        <v>71</v>
      </c>
      <c r="C41" s="301">
        <v>13</v>
      </c>
      <c r="D41" s="419">
        <v>19</v>
      </c>
      <c r="E41" s="428">
        <v>0</v>
      </c>
      <c r="F41" s="420">
        <v>0</v>
      </c>
      <c r="G41" s="421">
        <v>0</v>
      </c>
      <c r="H41" s="421">
        <v>0</v>
      </c>
      <c r="I41" s="420">
        <v>0</v>
      </c>
      <c r="J41" s="420">
        <v>0</v>
      </c>
      <c r="K41" s="422">
        <f t="shared" si="3"/>
        <v>13</v>
      </c>
      <c r="L41" s="224">
        <f t="shared" si="2"/>
        <v>19</v>
      </c>
      <c r="M41" s="304"/>
      <c r="N41" s="262"/>
      <c r="O41" s="263"/>
    </row>
    <row r="42" spans="1:15" x14ac:dyDescent="0.25">
      <c r="A42" s="210">
        <v>3302</v>
      </c>
      <c r="B42" s="211" t="s">
        <v>72</v>
      </c>
      <c r="C42" s="301">
        <v>0</v>
      </c>
      <c r="D42" s="419">
        <v>0</v>
      </c>
      <c r="E42" s="428">
        <v>0</v>
      </c>
      <c r="F42" s="420">
        <v>1</v>
      </c>
      <c r="G42" s="421">
        <v>0</v>
      </c>
      <c r="H42" s="421">
        <v>0</v>
      </c>
      <c r="I42" s="420">
        <v>0</v>
      </c>
      <c r="J42" s="420">
        <v>0</v>
      </c>
      <c r="K42" s="422">
        <f t="shared" si="3"/>
        <v>0</v>
      </c>
      <c r="L42" s="224">
        <f t="shared" si="2"/>
        <v>1</v>
      </c>
      <c r="M42" s="304"/>
      <c r="N42" s="262"/>
      <c r="O42" s="263"/>
    </row>
    <row r="43" spans="1:15" x14ac:dyDescent="0.25">
      <c r="A43" s="210">
        <v>3401</v>
      </c>
      <c r="B43" s="211" t="s">
        <v>73</v>
      </c>
      <c r="C43" s="301">
        <v>3</v>
      </c>
      <c r="D43" s="419">
        <v>0</v>
      </c>
      <c r="E43" s="428">
        <v>0</v>
      </c>
      <c r="F43" s="420">
        <v>0</v>
      </c>
      <c r="G43" s="421">
        <v>0</v>
      </c>
      <c r="H43" s="421">
        <v>0</v>
      </c>
      <c r="I43" s="420">
        <v>0</v>
      </c>
      <c r="J43" s="420">
        <v>0</v>
      </c>
      <c r="K43" s="422">
        <f t="shared" si="3"/>
        <v>3</v>
      </c>
      <c r="L43" s="224">
        <f t="shared" si="2"/>
        <v>0</v>
      </c>
      <c r="M43" s="304"/>
      <c r="N43" s="262"/>
      <c r="O43" s="263"/>
    </row>
    <row r="44" spans="1:15" x14ac:dyDescent="0.25">
      <c r="A44" s="210">
        <v>3402</v>
      </c>
      <c r="B44" s="211" t="s">
        <v>74</v>
      </c>
      <c r="C44" s="301">
        <v>0</v>
      </c>
      <c r="D44" s="419">
        <v>0</v>
      </c>
      <c r="E44" s="428">
        <v>0</v>
      </c>
      <c r="F44" s="420">
        <v>0</v>
      </c>
      <c r="G44" s="421">
        <v>0</v>
      </c>
      <c r="H44" s="421">
        <v>0</v>
      </c>
      <c r="I44" s="420">
        <v>0</v>
      </c>
      <c r="J44" s="420">
        <v>0</v>
      </c>
      <c r="K44" s="422">
        <f t="shared" si="3"/>
        <v>0</v>
      </c>
      <c r="L44" s="224">
        <f t="shared" si="2"/>
        <v>0</v>
      </c>
      <c r="M44" s="304"/>
      <c r="N44" s="262"/>
      <c r="O44" s="263"/>
    </row>
    <row r="45" spans="1:15" x14ac:dyDescent="0.25">
      <c r="A45" s="210">
        <v>3403</v>
      </c>
      <c r="B45" s="211" t="s">
        <v>75</v>
      </c>
      <c r="C45" s="301">
        <v>0</v>
      </c>
      <c r="D45" s="419">
        <v>0</v>
      </c>
      <c r="E45" s="428">
        <v>0</v>
      </c>
      <c r="F45" s="420">
        <v>0</v>
      </c>
      <c r="G45" s="421">
        <v>0</v>
      </c>
      <c r="H45" s="421">
        <v>0</v>
      </c>
      <c r="I45" s="420">
        <v>0</v>
      </c>
      <c r="J45" s="420">
        <v>0</v>
      </c>
      <c r="K45" s="422">
        <f t="shared" si="3"/>
        <v>0</v>
      </c>
      <c r="L45" s="224">
        <f t="shared" si="2"/>
        <v>0</v>
      </c>
      <c r="M45" s="304"/>
      <c r="N45" s="262"/>
      <c r="O45" s="263"/>
    </row>
    <row r="46" spans="1:15" x14ac:dyDescent="0.25">
      <c r="A46" s="210">
        <v>3404</v>
      </c>
      <c r="B46" s="211" t="s">
        <v>76</v>
      </c>
      <c r="C46" s="301">
        <v>36</v>
      </c>
      <c r="D46" s="419">
        <v>24</v>
      </c>
      <c r="E46" s="428">
        <v>0</v>
      </c>
      <c r="F46" s="420">
        <v>0</v>
      </c>
      <c r="G46" s="421">
        <v>0</v>
      </c>
      <c r="H46" s="421">
        <v>0</v>
      </c>
      <c r="I46" s="420">
        <v>0</v>
      </c>
      <c r="J46" s="420">
        <v>0</v>
      </c>
      <c r="K46" s="422">
        <f t="shared" si="3"/>
        <v>36</v>
      </c>
      <c r="L46" s="224">
        <f t="shared" si="2"/>
        <v>24</v>
      </c>
      <c r="M46" s="304"/>
      <c r="N46" s="262"/>
      <c r="O46" s="263"/>
    </row>
    <row r="47" spans="1:15" x14ac:dyDescent="0.25">
      <c r="A47" s="210">
        <v>3405</v>
      </c>
      <c r="B47" s="211" t="s">
        <v>77</v>
      </c>
      <c r="C47" s="301">
        <v>21</v>
      </c>
      <c r="D47" s="419">
        <v>16</v>
      </c>
      <c r="E47" s="428">
        <v>1</v>
      </c>
      <c r="F47" s="420">
        <v>0</v>
      </c>
      <c r="G47" s="421">
        <v>0</v>
      </c>
      <c r="H47" s="421">
        <v>0</v>
      </c>
      <c r="I47" s="420">
        <v>0</v>
      </c>
      <c r="J47" s="420">
        <v>0</v>
      </c>
      <c r="K47" s="422">
        <f t="shared" si="3"/>
        <v>22</v>
      </c>
      <c r="L47" s="224">
        <f t="shared" si="2"/>
        <v>16</v>
      </c>
      <c r="M47" s="304"/>
      <c r="N47" s="262"/>
      <c r="O47" s="263"/>
    </row>
    <row r="48" spans="1:15" x14ac:dyDescent="0.25">
      <c r="A48" s="210">
        <v>3406</v>
      </c>
      <c r="B48" s="211" t="s">
        <v>78</v>
      </c>
      <c r="C48" s="301">
        <v>0</v>
      </c>
      <c r="D48" s="419">
        <v>32</v>
      </c>
      <c r="E48" s="428">
        <v>0</v>
      </c>
      <c r="F48" s="420">
        <v>0</v>
      </c>
      <c r="G48" s="421">
        <v>0</v>
      </c>
      <c r="H48" s="421">
        <v>0</v>
      </c>
      <c r="I48" s="420">
        <v>0</v>
      </c>
      <c r="J48" s="420">
        <v>0</v>
      </c>
      <c r="K48" s="422">
        <f t="shared" si="3"/>
        <v>0</v>
      </c>
      <c r="L48" s="224">
        <f t="shared" si="2"/>
        <v>32</v>
      </c>
      <c r="M48" s="304"/>
      <c r="N48" s="262"/>
      <c r="O48" s="263"/>
    </row>
    <row r="49" spans="1:15" x14ac:dyDescent="0.25">
      <c r="A49" s="210">
        <v>3407</v>
      </c>
      <c r="B49" s="211" t="s">
        <v>79</v>
      </c>
      <c r="C49" s="301">
        <v>14</v>
      </c>
      <c r="D49" s="419">
        <v>29</v>
      </c>
      <c r="E49" s="428">
        <v>0</v>
      </c>
      <c r="F49" s="420">
        <v>0</v>
      </c>
      <c r="G49" s="421">
        <v>0</v>
      </c>
      <c r="H49" s="421">
        <v>0</v>
      </c>
      <c r="I49" s="420">
        <v>0</v>
      </c>
      <c r="J49" s="420">
        <v>0</v>
      </c>
      <c r="K49" s="422">
        <f t="shared" si="3"/>
        <v>14</v>
      </c>
      <c r="L49" s="224">
        <f t="shared" si="2"/>
        <v>29</v>
      </c>
      <c r="M49" s="304"/>
      <c r="N49" s="262"/>
      <c r="O49" s="263"/>
    </row>
    <row r="50" spans="1:15" x14ac:dyDescent="0.25">
      <c r="A50" s="210">
        <v>3501</v>
      </c>
      <c r="B50" s="211" t="s">
        <v>80</v>
      </c>
      <c r="C50" s="301">
        <v>279</v>
      </c>
      <c r="D50" s="419">
        <v>43</v>
      </c>
      <c r="E50" s="428">
        <v>0</v>
      </c>
      <c r="F50" s="420">
        <v>0</v>
      </c>
      <c r="G50" s="421">
        <v>0</v>
      </c>
      <c r="H50" s="421">
        <v>0</v>
      </c>
      <c r="I50" s="420">
        <v>0</v>
      </c>
      <c r="J50" s="420">
        <v>0</v>
      </c>
      <c r="K50" s="422">
        <f t="shared" si="3"/>
        <v>279</v>
      </c>
      <c r="L50" s="224">
        <f t="shared" si="2"/>
        <v>43</v>
      </c>
      <c r="M50" s="304"/>
      <c r="N50" s="262"/>
      <c r="O50" s="263"/>
    </row>
    <row r="51" spans="1:15" x14ac:dyDescent="0.25">
      <c r="A51" s="210">
        <v>3502</v>
      </c>
      <c r="B51" s="211" t="s">
        <v>81</v>
      </c>
      <c r="C51" s="301">
        <v>68</v>
      </c>
      <c r="D51" s="419">
        <v>0</v>
      </c>
      <c r="E51" s="428">
        <v>0</v>
      </c>
      <c r="F51" s="420">
        <v>0</v>
      </c>
      <c r="G51" s="421">
        <v>0</v>
      </c>
      <c r="H51" s="421">
        <v>0</v>
      </c>
      <c r="I51" s="420">
        <v>0</v>
      </c>
      <c r="J51" s="420">
        <v>0</v>
      </c>
      <c r="K51" s="422">
        <f t="shared" si="3"/>
        <v>68</v>
      </c>
      <c r="L51" s="224">
        <f t="shared" si="2"/>
        <v>0</v>
      </c>
      <c r="M51" s="304"/>
      <c r="N51" s="262"/>
      <c r="O51" s="263"/>
    </row>
    <row r="52" spans="1:15" x14ac:dyDescent="0.25">
      <c r="A52" s="210">
        <v>3503</v>
      </c>
      <c r="B52" s="211" t="s">
        <v>82</v>
      </c>
      <c r="C52" s="301">
        <v>86</v>
      </c>
      <c r="D52" s="419">
        <v>16</v>
      </c>
      <c r="E52" s="428">
        <v>0</v>
      </c>
      <c r="F52" s="420">
        <v>0</v>
      </c>
      <c r="G52" s="421">
        <v>0</v>
      </c>
      <c r="H52" s="421">
        <v>0</v>
      </c>
      <c r="I52" s="420">
        <v>0</v>
      </c>
      <c r="J52" s="420">
        <v>0</v>
      </c>
      <c r="K52" s="422">
        <f t="shared" si="3"/>
        <v>86</v>
      </c>
      <c r="L52" s="224">
        <f t="shared" si="2"/>
        <v>16</v>
      </c>
      <c r="M52" s="304"/>
      <c r="N52" s="262"/>
      <c r="O52" s="263"/>
    </row>
    <row r="53" spans="1:15" x14ac:dyDescent="0.25">
      <c r="A53" s="210">
        <v>3504</v>
      </c>
      <c r="B53" s="211" t="s">
        <v>83</v>
      </c>
      <c r="C53" s="301">
        <v>1</v>
      </c>
      <c r="D53" s="419">
        <v>0</v>
      </c>
      <c r="E53" s="428">
        <v>0</v>
      </c>
      <c r="F53" s="420">
        <v>0</v>
      </c>
      <c r="G53" s="421">
        <v>0</v>
      </c>
      <c r="H53" s="421">
        <v>0</v>
      </c>
      <c r="I53" s="420">
        <v>0</v>
      </c>
      <c r="J53" s="420">
        <v>0</v>
      </c>
      <c r="K53" s="422">
        <f t="shared" si="3"/>
        <v>1</v>
      </c>
      <c r="L53" s="224">
        <f t="shared" si="2"/>
        <v>0</v>
      </c>
      <c r="M53" s="304"/>
      <c r="N53" s="262"/>
      <c r="O53" s="263"/>
    </row>
    <row r="54" spans="1:15" x14ac:dyDescent="0.25">
      <c r="A54" s="210">
        <v>3505</v>
      </c>
      <c r="B54" s="211" t="s">
        <v>84</v>
      </c>
      <c r="C54" s="301">
        <v>12</v>
      </c>
      <c r="D54" s="419">
        <v>50</v>
      </c>
      <c r="E54" s="428">
        <v>0</v>
      </c>
      <c r="F54" s="420">
        <v>0</v>
      </c>
      <c r="G54" s="421">
        <v>0</v>
      </c>
      <c r="H54" s="421">
        <v>0</v>
      </c>
      <c r="I54" s="420">
        <v>0</v>
      </c>
      <c r="J54" s="420">
        <v>0</v>
      </c>
      <c r="K54" s="422">
        <f t="shared" si="3"/>
        <v>12</v>
      </c>
      <c r="L54" s="224">
        <f t="shared" si="2"/>
        <v>50</v>
      </c>
      <c r="M54" s="304"/>
      <c r="N54" s="262"/>
      <c r="O54" s="263"/>
    </row>
    <row r="55" spans="1:15" x14ac:dyDescent="0.25">
      <c r="A55" s="210">
        <v>3506</v>
      </c>
      <c r="B55" s="211" t="s">
        <v>85</v>
      </c>
      <c r="C55" s="301">
        <v>0</v>
      </c>
      <c r="D55" s="419">
        <v>0</v>
      </c>
      <c r="E55" s="428">
        <v>0</v>
      </c>
      <c r="F55" s="420">
        <v>0</v>
      </c>
      <c r="G55" s="421">
        <v>0</v>
      </c>
      <c r="H55" s="421">
        <v>0</v>
      </c>
      <c r="I55" s="420">
        <v>0</v>
      </c>
      <c r="J55" s="420">
        <v>0</v>
      </c>
      <c r="K55" s="422">
        <f t="shared" si="3"/>
        <v>0</v>
      </c>
      <c r="L55" s="224">
        <f t="shared" si="2"/>
        <v>0</v>
      </c>
      <c r="M55" s="304"/>
      <c r="N55" s="262"/>
      <c r="O55" s="263"/>
    </row>
    <row r="56" spans="1:15" x14ac:dyDescent="0.25">
      <c r="A56" s="210">
        <v>3507</v>
      </c>
      <c r="B56" s="211" t="s">
        <v>86</v>
      </c>
      <c r="C56" s="301">
        <v>2</v>
      </c>
      <c r="D56" s="419">
        <v>1</v>
      </c>
      <c r="E56" s="428">
        <v>0</v>
      </c>
      <c r="F56" s="420">
        <v>0</v>
      </c>
      <c r="G56" s="421">
        <v>0</v>
      </c>
      <c r="H56" s="421">
        <v>0</v>
      </c>
      <c r="I56" s="420">
        <v>0</v>
      </c>
      <c r="J56" s="420">
        <v>0</v>
      </c>
      <c r="K56" s="422">
        <f t="shared" si="3"/>
        <v>2</v>
      </c>
      <c r="L56" s="224">
        <f t="shared" si="2"/>
        <v>1</v>
      </c>
      <c r="M56" s="304"/>
      <c r="N56" s="262"/>
      <c r="O56" s="263"/>
    </row>
    <row r="57" spans="1:15" x14ac:dyDescent="0.25">
      <c r="A57" s="210">
        <v>3601</v>
      </c>
      <c r="B57" s="211" t="s">
        <v>87</v>
      </c>
      <c r="C57" s="301">
        <v>77</v>
      </c>
      <c r="D57" s="419">
        <v>147</v>
      </c>
      <c r="E57" s="428">
        <v>2</v>
      </c>
      <c r="F57" s="420">
        <v>0</v>
      </c>
      <c r="G57" s="421">
        <v>0</v>
      </c>
      <c r="H57" s="421">
        <v>0</v>
      </c>
      <c r="I57" s="420">
        <v>0</v>
      </c>
      <c r="J57" s="420">
        <v>0</v>
      </c>
      <c r="K57" s="422">
        <f t="shared" si="3"/>
        <v>79</v>
      </c>
      <c r="L57" s="224">
        <f t="shared" si="2"/>
        <v>147</v>
      </c>
      <c r="M57" s="304"/>
      <c r="N57" s="262"/>
      <c r="O57" s="263"/>
    </row>
    <row r="58" spans="1:15" x14ac:dyDescent="0.25">
      <c r="A58" s="210">
        <v>3602</v>
      </c>
      <c r="B58" s="211" t="s">
        <v>88</v>
      </c>
      <c r="C58" s="301">
        <v>263</v>
      </c>
      <c r="D58" s="419">
        <v>193</v>
      </c>
      <c r="E58" s="428">
        <v>1</v>
      </c>
      <c r="F58" s="420">
        <v>1</v>
      </c>
      <c r="G58" s="421">
        <v>0</v>
      </c>
      <c r="H58" s="421">
        <v>0</v>
      </c>
      <c r="I58" s="420">
        <v>0</v>
      </c>
      <c r="J58" s="420">
        <v>0</v>
      </c>
      <c r="K58" s="422">
        <f t="shared" si="3"/>
        <v>264</v>
      </c>
      <c r="L58" s="224">
        <f t="shared" si="2"/>
        <v>194</v>
      </c>
      <c r="M58" s="304"/>
      <c r="N58" s="262"/>
      <c r="O58" s="263"/>
    </row>
    <row r="59" spans="1:15" x14ac:dyDescent="0.25">
      <c r="A59" s="210">
        <v>3603</v>
      </c>
      <c r="B59" s="211" t="s">
        <v>89</v>
      </c>
      <c r="C59" s="301">
        <v>262</v>
      </c>
      <c r="D59" s="419">
        <v>84</v>
      </c>
      <c r="E59" s="428">
        <v>2</v>
      </c>
      <c r="F59" s="420">
        <v>0</v>
      </c>
      <c r="G59" s="421">
        <v>0</v>
      </c>
      <c r="H59" s="421">
        <v>0</v>
      </c>
      <c r="I59" s="420">
        <v>0</v>
      </c>
      <c r="J59" s="420">
        <v>0</v>
      </c>
      <c r="K59" s="422">
        <f t="shared" si="3"/>
        <v>264</v>
      </c>
      <c r="L59" s="224">
        <f t="shared" si="2"/>
        <v>84</v>
      </c>
      <c r="M59" s="304"/>
      <c r="N59" s="262"/>
      <c r="O59" s="263"/>
    </row>
    <row r="60" spans="1:15" x14ac:dyDescent="0.25">
      <c r="A60" s="210">
        <v>3701</v>
      </c>
      <c r="B60" s="211" t="s">
        <v>90</v>
      </c>
      <c r="C60" s="301">
        <v>501</v>
      </c>
      <c r="D60" s="419">
        <v>75</v>
      </c>
      <c r="E60" s="428">
        <v>5</v>
      </c>
      <c r="F60" s="420">
        <v>0</v>
      </c>
      <c r="G60" s="421">
        <v>0</v>
      </c>
      <c r="H60" s="421">
        <v>0</v>
      </c>
      <c r="I60" s="420">
        <v>0</v>
      </c>
      <c r="J60" s="420">
        <v>0</v>
      </c>
      <c r="K60" s="422">
        <f t="shared" si="3"/>
        <v>506</v>
      </c>
      <c r="L60" s="224">
        <f t="shared" si="2"/>
        <v>75</v>
      </c>
      <c r="M60" s="304"/>
      <c r="N60" s="262"/>
      <c r="O60" s="263"/>
    </row>
    <row r="61" spans="1:15" x14ac:dyDescent="0.25">
      <c r="A61" s="210">
        <v>3702</v>
      </c>
      <c r="B61" s="211" t="s">
        <v>91</v>
      </c>
      <c r="C61" s="301">
        <v>0</v>
      </c>
      <c r="D61" s="419">
        <v>0</v>
      </c>
      <c r="E61" s="428">
        <v>0</v>
      </c>
      <c r="F61" s="420">
        <v>0</v>
      </c>
      <c r="G61" s="421">
        <v>0</v>
      </c>
      <c r="H61" s="421">
        <v>0</v>
      </c>
      <c r="I61" s="420">
        <v>0</v>
      </c>
      <c r="J61" s="420">
        <v>0</v>
      </c>
      <c r="K61" s="422">
        <f t="shared" si="3"/>
        <v>0</v>
      </c>
      <c r="L61" s="224">
        <f t="shared" si="2"/>
        <v>0</v>
      </c>
      <c r="M61" s="304"/>
      <c r="N61" s="262"/>
      <c r="O61" s="263"/>
    </row>
    <row r="62" spans="1:15" s="322" customFormat="1" x14ac:dyDescent="0.25">
      <c r="A62" s="328">
        <v>3801</v>
      </c>
      <c r="B62" s="329" t="s">
        <v>92</v>
      </c>
      <c r="C62" s="330">
        <v>1601</v>
      </c>
      <c r="D62" s="423">
        <v>445</v>
      </c>
      <c r="E62" s="428">
        <v>14</v>
      </c>
      <c r="F62" s="420">
        <v>5</v>
      </c>
      <c r="G62" s="421">
        <v>0</v>
      </c>
      <c r="H62" s="421">
        <v>0</v>
      </c>
      <c r="I62" s="420">
        <v>0</v>
      </c>
      <c r="J62" s="420">
        <v>0</v>
      </c>
      <c r="K62" s="424">
        <f t="shared" si="3"/>
        <v>1615</v>
      </c>
      <c r="L62" s="331">
        <f t="shared" si="2"/>
        <v>450</v>
      </c>
      <c r="M62" s="335"/>
      <c r="N62" s="336"/>
      <c r="O62" s="336"/>
    </row>
    <row r="63" spans="1:15" ht="15.75" thickBot="1" x14ac:dyDescent="0.3">
      <c r="A63" s="204">
        <v>3802</v>
      </c>
      <c r="B63" s="205" t="s">
        <v>93</v>
      </c>
      <c r="C63" s="300">
        <v>520</v>
      </c>
      <c r="D63" s="257">
        <v>249</v>
      </c>
      <c r="E63" s="428">
        <v>4</v>
      </c>
      <c r="F63" s="420">
        <v>2</v>
      </c>
      <c r="G63" s="421">
        <v>0</v>
      </c>
      <c r="H63" s="421">
        <v>0</v>
      </c>
      <c r="I63" s="420">
        <v>0</v>
      </c>
      <c r="J63" s="420">
        <v>0</v>
      </c>
      <c r="K63" s="221">
        <f t="shared" si="3"/>
        <v>524</v>
      </c>
      <c r="L63" s="225">
        <f t="shared" si="2"/>
        <v>251</v>
      </c>
      <c r="M63" s="304"/>
      <c r="N63" s="336"/>
      <c r="O63" s="263"/>
    </row>
    <row r="64" spans="1:15" ht="15.75" thickBot="1" x14ac:dyDescent="0.3">
      <c r="A64" s="254">
        <v>4000</v>
      </c>
      <c r="B64" s="255" t="s">
        <v>94</v>
      </c>
      <c r="C64" s="218"/>
      <c r="D64" s="218"/>
      <c r="E64" s="226"/>
      <c r="F64" s="226"/>
      <c r="G64" s="282"/>
      <c r="H64" s="282"/>
      <c r="I64" s="439"/>
      <c r="J64" s="439"/>
      <c r="K64" s="226"/>
      <c r="L64" s="227"/>
      <c r="M64" s="262"/>
      <c r="N64" s="262"/>
      <c r="O64" s="263"/>
    </row>
    <row r="65" spans="1:15" x14ac:dyDescent="0.25">
      <c r="A65" s="204">
        <v>4101</v>
      </c>
      <c r="B65" s="205" t="s">
        <v>95</v>
      </c>
      <c r="C65" s="300">
        <v>0</v>
      </c>
      <c r="D65" s="257">
        <v>0</v>
      </c>
      <c r="E65" s="268">
        <v>0</v>
      </c>
      <c r="F65" s="209">
        <v>0</v>
      </c>
      <c r="G65" s="275">
        <v>0</v>
      </c>
      <c r="H65" s="275">
        <v>0</v>
      </c>
      <c r="I65" s="440">
        <v>0</v>
      </c>
      <c r="J65" s="440">
        <v>0</v>
      </c>
      <c r="K65" s="221">
        <f t="shared" ref="K65:K94" si="4">C65+E65-G65-I65</f>
        <v>0</v>
      </c>
      <c r="L65" s="225">
        <f t="shared" ref="L65:L94" si="5">D65+F65-H65-J65</f>
        <v>0</v>
      </c>
      <c r="M65" s="304"/>
      <c r="N65" s="262"/>
      <c r="O65" s="263"/>
    </row>
    <row r="66" spans="1:15" x14ac:dyDescent="0.25">
      <c r="A66" s="210">
        <v>4102</v>
      </c>
      <c r="B66" s="211" t="s">
        <v>96</v>
      </c>
      <c r="C66" s="301">
        <v>0</v>
      </c>
      <c r="D66" s="259">
        <v>0</v>
      </c>
      <c r="E66" s="266">
        <v>0</v>
      </c>
      <c r="F66" s="120">
        <v>0</v>
      </c>
      <c r="G66" s="276">
        <v>0</v>
      </c>
      <c r="H66" s="276">
        <v>0</v>
      </c>
      <c r="I66" s="441">
        <v>0</v>
      </c>
      <c r="J66" s="441">
        <v>0</v>
      </c>
      <c r="K66" s="223">
        <f t="shared" si="4"/>
        <v>0</v>
      </c>
      <c r="L66" s="224">
        <f t="shared" si="5"/>
        <v>0</v>
      </c>
      <c r="M66" s="304"/>
      <c r="N66" s="262"/>
      <c r="O66" s="263"/>
    </row>
    <row r="67" spans="1:15" x14ac:dyDescent="0.25">
      <c r="A67" s="210">
        <v>4103</v>
      </c>
      <c r="B67" s="211" t="s">
        <v>97</v>
      </c>
      <c r="C67" s="301">
        <v>0</v>
      </c>
      <c r="D67" s="259">
        <v>0</v>
      </c>
      <c r="E67" s="266">
        <v>0</v>
      </c>
      <c r="F67" s="120">
        <v>0</v>
      </c>
      <c r="G67" s="276">
        <v>0</v>
      </c>
      <c r="H67" s="276">
        <v>0</v>
      </c>
      <c r="I67" s="441">
        <v>0</v>
      </c>
      <c r="J67" s="441">
        <v>0</v>
      </c>
      <c r="K67" s="223">
        <f t="shared" si="4"/>
        <v>0</v>
      </c>
      <c r="L67" s="224">
        <f t="shared" si="5"/>
        <v>0</v>
      </c>
      <c r="M67" s="304"/>
      <c r="N67" s="262"/>
      <c r="O67" s="263"/>
    </row>
    <row r="68" spans="1:15" x14ac:dyDescent="0.25">
      <c r="A68" s="210">
        <v>4104</v>
      </c>
      <c r="B68" s="211" t="s">
        <v>98</v>
      </c>
      <c r="C68" s="301">
        <v>0</v>
      </c>
      <c r="D68" s="259">
        <v>0</v>
      </c>
      <c r="E68" s="266">
        <v>0</v>
      </c>
      <c r="F68" s="120">
        <v>0</v>
      </c>
      <c r="G68" s="276">
        <v>0</v>
      </c>
      <c r="H68" s="276">
        <v>0</v>
      </c>
      <c r="I68" s="441">
        <v>0</v>
      </c>
      <c r="J68" s="441">
        <v>0</v>
      </c>
      <c r="K68" s="223">
        <f t="shared" si="4"/>
        <v>0</v>
      </c>
      <c r="L68" s="224">
        <f t="shared" si="5"/>
        <v>0</v>
      </c>
      <c r="M68" s="304"/>
      <c r="N68" s="262"/>
      <c r="O68" s="263"/>
    </row>
    <row r="69" spans="1:15" x14ac:dyDescent="0.25">
      <c r="A69" s="210">
        <v>4105</v>
      </c>
      <c r="B69" s="211" t="s">
        <v>99</v>
      </c>
      <c r="C69" s="301">
        <v>0</v>
      </c>
      <c r="D69" s="259">
        <v>0</v>
      </c>
      <c r="E69" s="266">
        <v>0</v>
      </c>
      <c r="F69" s="120">
        <v>0</v>
      </c>
      <c r="G69" s="276">
        <v>0</v>
      </c>
      <c r="H69" s="276">
        <v>0</v>
      </c>
      <c r="I69" s="441">
        <v>0</v>
      </c>
      <c r="J69" s="441">
        <v>0</v>
      </c>
      <c r="K69" s="223">
        <f t="shared" si="4"/>
        <v>0</v>
      </c>
      <c r="L69" s="224">
        <f t="shared" si="5"/>
        <v>0</v>
      </c>
      <c r="M69" s="304"/>
      <c r="N69" s="262"/>
      <c r="O69" s="263"/>
    </row>
    <row r="70" spans="1:15" x14ac:dyDescent="0.25">
      <c r="A70" s="210">
        <v>4106</v>
      </c>
      <c r="B70" s="211" t="s">
        <v>100</v>
      </c>
      <c r="C70" s="301">
        <v>0</v>
      </c>
      <c r="D70" s="259">
        <v>0</v>
      </c>
      <c r="E70" s="266">
        <v>0</v>
      </c>
      <c r="F70" s="120">
        <v>0</v>
      </c>
      <c r="G70" s="276">
        <v>0</v>
      </c>
      <c r="H70" s="276">
        <v>0</v>
      </c>
      <c r="I70" s="441">
        <v>0</v>
      </c>
      <c r="J70" s="441">
        <v>0</v>
      </c>
      <c r="K70" s="223">
        <f t="shared" si="4"/>
        <v>0</v>
      </c>
      <c r="L70" s="224">
        <f t="shared" si="5"/>
        <v>0</v>
      </c>
      <c r="M70" s="304"/>
      <c r="N70" s="262"/>
      <c r="O70" s="263"/>
    </row>
    <row r="71" spans="1:15" x14ac:dyDescent="0.25">
      <c r="A71" s="210">
        <v>4107</v>
      </c>
      <c r="B71" s="211" t="s">
        <v>101</v>
      </c>
      <c r="C71" s="301">
        <v>0</v>
      </c>
      <c r="D71" s="259">
        <v>0</v>
      </c>
      <c r="E71" s="266">
        <v>0</v>
      </c>
      <c r="F71" s="120">
        <v>0</v>
      </c>
      <c r="G71" s="276">
        <v>0</v>
      </c>
      <c r="H71" s="276">
        <v>0</v>
      </c>
      <c r="I71" s="441">
        <v>0</v>
      </c>
      <c r="J71" s="441">
        <v>0</v>
      </c>
      <c r="K71" s="223">
        <f t="shared" si="4"/>
        <v>0</v>
      </c>
      <c r="L71" s="224">
        <f t="shared" si="5"/>
        <v>0</v>
      </c>
      <c r="M71" s="304"/>
      <c r="N71" s="262"/>
      <c r="O71" s="263"/>
    </row>
    <row r="72" spans="1:15" x14ac:dyDescent="0.25">
      <c r="A72" s="210">
        <v>4108</v>
      </c>
      <c r="B72" s="211" t="s">
        <v>102</v>
      </c>
      <c r="C72" s="301">
        <v>0</v>
      </c>
      <c r="D72" s="259">
        <v>0</v>
      </c>
      <c r="E72" s="266">
        <v>0</v>
      </c>
      <c r="F72" s="120">
        <v>0</v>
      </c>
      <c r="G72" s="276">
        <v>0</v>
      </c>
      <c r="H72" s="276">
        <v>0</v>
      </c>
      <c r="I72" s="441">
        <v>0</v>
      </c>
      <c r="J72" s="441">
        <v>0</v>
      </c>
      <c r="K72" s="223">
        <f t="shared" si="4"/>
        <v>0</v>
      </c>
      <c r="L72" s="224">
        <f t="shared" si="5"/>
        <v>0</v>
      </c>
      <c r="M72" s="304"/>
      <c r="N72" s="262"/>
      <c r="O72" s="263"/>
    </row>
    <row r="73" spans="1:15" x14ac:dyDescent="0.25">
      <c r="A73" s="210">
        <v>4109</v>
      </c>
      <c r="B73" s="211" t="s">
        <v>103</v>
      </c>
      <c r="C73" s="301">
        <v>0</v>
      </c>
      <c r="D73" s="259">
        <v>0</v>
      </c>
      <c r="E73" s="266">
        <v>0</v>
      </c>
      <c r="F73" s="120">
        <v>0</v>
      </c>
      <c r="G73" s="276">
        <v>0</v>
      </c>
      <c r="H73" s="276">
        <v>0</v>
      </c>
      <c r="I73" s="441">
        <v>0</v>
      </c>
      <c r="J73" s="441">
        <v>0</v>
      </c>
      <c r="K73" s="223">
        <f t="shared" si="4"/>
        <v>0</v>
      </c>
      <c r="L73" s="224">
        <f t="shared" si="5"/>
        <v>0</v>
      </c>
      <c r="M73" s="304"/>
      <c r="N73" s="262"/>
      <c r="O73" s="263"/>
    </row>
    <row r="74" spans="1:15" x14ac:dyDescent="0.25">
      <c r="A74" s="210">
        <v>4110</v>
      </c>
      <c r="B74" s="211" t="s">
        <v>104</v>
      </c>
      <c r="C74" s="301">
        <v>0</v>
      </c>
      <c r="D74" s="259">
        <v>0</v>
      </c>
      <c r="E74" s="266">
        <v>0</v>
      </c>
      <c r="F74" s="120">
        <v>0</v>
      </c>
      <c r="G74" s="276">
        <v>0</v>
      </c>
      <c r="H74" s="276">
        <v>0</v>
      </c>
      <c r="I74" s="441">
        <v>0</v>
      </c>
      <c r="J74" s="441">
        <v>0</v>
      </c>
      <c r="K74" s="223">
        <f t="shared" si="4"/>
        <v>0</v>
      </c>
      <c r="L74" s="224">
        <f t="shared" si="5"/>
        <v>0</v>
      </c>
      <c r="M74" s="304"/>
      <c r="N74" s="262"/>
      <c r="O74" s="263"/>
    </row>
    <row r="75" spans="1:15" x14ac:dyDescent="0.25">
      <c r="A75" s="210">
        <v>4111</v>
      </c>
      <c r="B75" s="211" t="s">
        <v>105</v>
      </c>
      <c r="C75" s="301">
        <v>0</v>
      </c>
      <c r="D75" s="259">
        <v>0</v>
      </c>
      <c r="E75" s="266">
        <v>0</v>
      </c>
      <c r="F75" s="120">
        <v>0</v>
      </c>
      <c r="G75" s="276">
        <v>0</v>
      </c>
      <c r="H75" s="276">
        <v>0</v>
      </c>
      <c r="I75" s="441">
        <v>0</v>
      </c>
      <c r="J75" s="441">
        <v>0</v>
      </c>
      <c r="K75" s="223">
        <f t="shared" si="4"/>
        <v>0</v>
      </c>
      <c r="L75" s="224">
        <f t="shared" si="5"/>
        <v>0</v>
      </c>
      <c r="M75" s="304"/>
      <c r="N75" s="262"/>
      <c r="O75" s="263"/>
    </row>
    <row r="76" spans="1:15" x14ac:dyDescent="0.25">
      <c r="A76" s="210">
        <v>4112</v>
      </c>
      <c r="B76" s="211" t="s">
        <v>106</v>
      </c>
      <c r="C76" s="301">
        <v>0</v>
      </c>
      <c r="D76" s="259">
        <v>0</v>
      </c>
      <c r="E76" s="266">
        <v>0</v>
      </c>
      <c r="F76" s="120">
        <v>0</v>
      </c>
      <c r="G76" s="276">
        <v>0</v>
      </c>
      <c r="H76" s="276">
        <v>0</v>
      </c>
      <c r="I76" s="441">
        <v>0</v>
      </c>
      <c r="J76" s="441">
        <v>0</v>
      </c>
      <c r="K76" s="223">
        <f t="shared" si="4"/>
        <v>0</v>
      </c>
      <c r="L76" s="224">
        <f t="shared" si="5"/>
        <v>0</v>
      </c>
      <c r="M76" s="304"/>
      <c r="N76" s="262"/>
      <c r="O76" s="263"/>
    </row>
    <row r="77" spans="1:15" x14ac:dyDescent="0.25">
      <c r="A77" s="210">
        <v>4113</v>
      </c>
      <c r="B77" s="211" t="s">
        <v>107</v>
      </c>
      <c r="C77" s="301">
        <v>0</v>
      </c>
      <c r="D77" s="259">
        <v>0</v>
      </c>
      <c r="E77" s="266">
        <v>0</v>
      </c>
      <c r="F77" s="120">
        <v>0</v>
      </c>
      <c r="G77" s="276">
        <v>0</v>
      </c>
      <c r="H77" s="276">
        <v>0</v>
      </c>
      <c r="I77" s="441">
        <v>0</v>
      </c>
      <c r="J77" s="441">
        <v>0</v>
      </c>
      <c r="K77" s="223">
        <f t="shared" si="4"/>
        <v>0</v>
      </c>
      <c r="L77" s="224">
        <f t="shared" si="5"/>
        <v>0</v>
      </c>
      <c r="M77" s="304"/>
      <c r="N77" s="262"/>
      <c r="O77" s="263"/>
    </row>
    <row r="78" spans="1:15" x14ac:dyDescent="0.25">
      <c r="A78" s="210">
        <v>4114</v>
      </c>
      <c r="B78" s="211" t="s">
        <v>108</v>
      </c>
      <c r="C78" s="301">
        <v>0</v>
      </c>
      <c r="D78" s="259">
        <v>0</v>
      </c>
      <c r="E78" s="266">
        <v>0</v>
      </c>
      <c r="F78" s="120">
        <v>0</v>
      </c>
      <c r="G78" s="276">
        <v>0</v>
      </c>
      <c r="H78" s="276">
        <v>0</v>
      </c>
      <c r="I78" s="441">
        <v>0</v>
      </c>
      <c r="J78" s="441">
        <v>0</v>
      </c>
      <c r="K78" s="223">
        <f t="shared" si="4"/>
        <v>0</v>
      </c>
      <c r="L78" s="224">
        <f t="shared" si="5"/>
        <v>0</v>
      </c>
      <c r="M78" s="304"/>
      <c r="N78" s="262"/>
      <c r="O78" s="263"/>
    </row>
    <row r="79" spans="1:15" x14ac:dyDescent="0.25">
      <c r="A79" s="210">
        <v>4115</v>
      </c>
      <c r="B79" s="211" t="s">
        <v>109</v>
      </c>
      <c r="C79" s="301">
        <v>0</v>
      </c>
      <c r="D79" s="259">
        <v>0</v>
      </c>
      <c r="E79" s="266">
        <v>0</v>
      </c>
      <c r="F79" s="120">
        <v>0</v>
      </c>
      <c r="G79" s="276">
        <v>0</v>
      </c>
      <c r="H79" s="276">
        <v>0</v>
      </c>
      <c r="I79" s="441">
        <v>0</v>
      </c>
      <c r="J79" s="441">
        <v>0</v>
      </c>
      <c r="K79" s="223">
        <f t="shared" si="4"/>
        <v>0</v>
      </c>
      <c r="L79" s="224">
        <f t="shared" si="5"/>
        <v>0</v>
      </c>
      <c r="M79" s="304"/>
      <c r="N79" s="262"/>
      <c r="O79" s="263"/>
    </row>
    <row r="80" spans="1:15" x14ac:dyDescent="0.25">
      <c r="A80" s="210">
        <v>4116</v>
      </c>
      <c r="B80" s="211" t="s">
        <v>110</v>
      </c>
      <c r="C80" s="301">
        <v>0</v>
      </c>
      <c r="D80" s="259">
        <v>0</v>
      </c>
      <c r="E80" s="266">
        <v>0</v>
      </c>
      <c r="F80" s="120">
        <v>0</v>
      </c>
      <c r="G80" s="276">
        <v>0</v>
      </c>
      <c r="H80" s="276">
        <v>0</v>
      </c>
      <c r="I80" s="441">
        <v>0</v>
      </c>
      <c r="J80" s="441">
        <v>0</v>
      </c>
      <c r="K80" s="223">
        <f t="shared" si="4"/>
        <v>0</v>
      </c>
      <c r="L80" s="224">
        <f t="shared" si="5"/>
        <v>0</v>
      </c>
      <c r="M80" s="304"/>
      <c r="N80" s="262"/>
      <c r="O80" s="263"/>
    </row>
    <row r="81" spans="1:19" x14ac:dyDescent="0.25">
      <c r="A81" s="210">
        <v>4117</v>
      </c>
      <c r="B81" s="211" t="s">
        <v>111</v>
      </c>
      <c r="C81" s="301">
        <v>0</v>
      </c>
      <c r="D81" s="259">
        <v>0</v>
      </c>
      <c r="E81" s="266">
        <v>0</v>
      </c>
      <c r="F81" s="120">
        <v>0</v>
      </c>
      <c r="G81" s="276">
        <v>0</v>
      </c>
      <c r="H81" s="276">
        <v>0</v>
      </c>
      <c r="I81" s="441">
        <v>0</v>
      </c>
      <c r="J81" s="441">
        <v>0</v>
      </c>
      <c r="K81" s="223">
        <f t="shared" si="4"/>
        <v>0</v>
      </c>
      <c r="L81" s="224">
        <f t="shared" si="5"/>
        <v>0</v>
      </c>
      <c r="M81" s="304"/>
      <c r="N81" s="262"/>
      <c r="O81" s="263"/>
    </row>
    <row r="82" spans="1:19" x14ac:dyDescent="0.25">
      <c r="A82" s="210">
        <v>4118</v>
      </c>
      <c r="B82" s="211" t="s">
        <v>112</v>
      </c>
      <c r="C82" s="301">
        <v>0</v>
      </c>
      <c r="D82" s="259">
        <v>0</v>
      </c>
      <c r="E82" s="266">
        <v>0</v>
      </c>
      <c r="F82" s="120">
        <v>0</v>
      </c>
      <c r="G82" s="276">
        <v>0</v>
      </c>
      <c r="H82" s="276">
        <v>0</v>
      </c>
      <c r="I82" s="441">
        <v>0</v>
      </c>
      <c r="J82" s="441">
        <v>0</v>
      </c>
      <c r="K82" s="223">
        <f t="shared" si="4"/>
        <v>0</v>
      </c>
      <c r="L82" s="224">
        <f t="shared" si="5"/>
        <v>0</v>
      </c>
      <c r="M82" s="304"/>
      <c r="N82" s="262"/>
      <c r="O82" s="263"/>
    </row>
    <row r="83" spans="1:19" x14ac:dyDescent="0.25">
      <c r="A83" s="210">
        <v>4119</v>
      </c>
      <c r="B83" s="211" t="s">
        <v>113</v>
      </c>
      <c r="C83" s="301">
        <v>0</v>
      </c>
      <c r="D83" s="259">
        <v>0</v>
      </c>
      <c r="E83" s="266">
        <v>0</v>
      </c>
      <c r="F83" s="120">
        <v>0</v>
      </c>
      <c r="G83" s="276">
        <v>0</v>
      </c>
      <c r="H83" s="276">
        <v>0</v>
      </c>
      <c r="I83" s="441">
        <v>0</v>
      </c>
      <c r="J83" s="441">
        <v>0</v>
      </c>
      <c r="K83" s="223">
        <f t="shared" si="4"/>
        <v>0</v>
      </c>
      <c r="L83" s="224">
        <f t="shared" si="5"/>
        <v>0</v>
      </c>
      <c r="M83" s="304"/>
      <c r="N83" s="262"/>
      <c r="O83" s="263"/>
    </row>
    <row r="84" spans="1:19" x14ac:dyDescent="0.25">
      <c r="A84" s="210">
        <v>4120</v>
      </c>
      <c r="B84" s="211" t="s">
        <v>114</v>
      </c>
      <c r="C84" s="301">
        <v>0</v>
      </c>
      <c r="D84" s="259">
        <v>0</v>
      </c>
      <c r="E84" s="266">
        <v>0</v>
      </c>
      <c r="F84" s="120">
        <v>0</v>
      </c>
      <c r="G84" s="276">
        <v>0</v>
      </c>
      <c r="H84" s="276">
        <v>0</v>
      </c>
      <c r="I84" s="441">
        <v>0</v>
      </c>
      <c r="J84" s="441">
        <v>0</v>
      </c>
      <c r="K84" s="223">
        <f t="shared" si="4"/>
        <v>0</v>
      </c>
      <c r="L84" s="224">
        <f t="shared" si="5"/>
        <v>0</v>
      </c>
      <c r="M84" s="304"/>
      <c r="N84" s="262"/>
      <c r="O84" s="263"/>
    </row>
    <row r="85" spans="1:19" x14ac:dyDescent="0.25">
      <c r="A85" s="210">
        <v>4121</v>
      </c>
      <c r="B85" s="211" t="s">
        <v>115</v>
      </c>
      <c r="C85" s="301">
        <v>1</v>
      </c>
      <c r="D85" s="259">
        <v>0</v>
      </c>
      <c r="E85" s="266">
        <v>0</v>
      </c>
      <c r="F85" s="120">
        <v>0</v>
      </c>
      <c r="G85" s="276">
        <v>0</v>
      </c>
      <c r="H85" s="276">
        <v>0</v>
      </c>
      <c r="I85" s="441">
        <v>0</v>
      </c>
      <c r="J85" s="441">
        <v>0</v>
      </c>
      <c r="K85" s="223">
        <f t="shared" si="4"/>
        <v>1</v>
      </c>
      <c r="L85" s="224">
        <f t="shared" si="5"/>
        <v>0</v>
      </c>
      <c r="M85" s="304"/>
      <c r="N85" s="262"/>
      <c r="O85" s="263"/>
    </row>
    <row r="86" spans="1:19" x14ac:dyDescent="0.25">
      <c r="A86" s="210">
        <v>4122</v>
      </c>
      <c r="B86" s="211" t="s">
        <v>116</v>
      </c>
      <c r="C86" s="301">
        <v>0</v>
      </c>
      <c r="D86" s="259">
        <v>0</v>
      </c>
      <c r="E86" s="266">
        <v>0</v>
      </c>
      <c r="F86" s="120">
        <v>0</v>
      </c>
      <c r="G86" s="276">
        <v>0</v>
      </c>
      <c r="H86" s="276">
        <v>0</v>
      </c>
      <c r="I86" s="441">
        <v>0</v>
      </c>
      <c r="J86" s="441">
        <v>0</v>
      </c>
      <c r="K86" s="223">
        <f t="shared" si="4"/>
        <v>0</v>
      </c>
      <c r="L86" s="224">
        <f t="shared" si="5"/>
        <v>0</v>
      </c>
      <c r="M86" s="304"/>
      <c r="N86" s="262"/>
      <c r="O86" s="263"/>
    </row>
    <row r="87" spans="1:19" x14ac:dyDescent="0.25">
      <c r="A87" s="210">
        <v>4123</v>
      </c>
      <c r="B87" s="211" t="s">
        <v>117</v>
      </c>
      <c r="C87" s="301">
        <v>0</v>
      </c>
      <c r="D87" s="259">
        <v>0</v>
      </c>
      <c r="E87" s="266">
        <v>0</v>
      </c>
      <c r="F87" s="120">
        <v>0</v>
      </c>
      <c r="G87" s="276">
        <v>0</v>
      </c>
      <c r="H87" s="276">
        <v>0</v>
      </c>
      <c r="I87" s="441">
        <v>0</v>
      </c>
      <c r="J87" s="441">
        <v>0</v>
      </c>
      <c r="K87" s="223">
        <f t="shared" si="4"/>
        <v>0</v>
      </c>
      <c r="L87" s="224">
        <f t="shared" si="5"/>
        <v>0</v>
      </c>
      <c r="M87" s="304"/>
      <c r="N87" s="262"/>
      <c r="O87" s="263"/>
    </row>
    <row r="88" spans="1:19" x14ac:dyDescent="0.25">
      <c r="A88" s="210">
        <v>4124</v>
      </c>
      <c r="B88" s="211" t="s">
        <v>118</v>
      </c>
      <c r="C88" s="301">
        <v>0</v>
      </c>
      <c r="D88" s="259">
        <v>0</v>
      </c>
      <c r="E88" s="266">
        <v>0</v>
      </c>
      <c r="F88" s="120">
        <v>0</v>
      </c>
      <c r="G88" s="276">
        <v>0</v>
      </c>
      <c r="H88" s="276">
        <v>0</v>
      </c>
      <c r="I88" s="441">
        <v>0</v>
      </c>
      <c r="J88" s="441">
        <v>0</v>
      </c>
      <c r="K88" s="223">
        <f t="shared" si="4"/>
        <v>0</v>
      </c>
      <c r="L88" s="224">
        <f t="shared" si="5"/>
        <v>0</v>
      </c>
      <c r="M88" s="304"/>
      <c r="N88" s="262"/>
      <c r="O88" s="263"/>
    </row>
    <row r="89" spans="1:19" x14ac:dyDescent="0.25">
      <c r="A89" s="210">
        <v>4125</v>
      </c>
      <c r="B89" s="211" t="s">
        <v>55</v>
      </c>
      <c r="C89" s="301">
        <v>0</v>
      </c>
      <c r="D89" s="259">
        <v>0</v>
      </c>
      <c r="E89" s="266">
        <v>0</v>
      </c>
      <c r="F89" s="120">
        <v>0</v>
      </c>
      <c r="G89" s="276">
        <v>0</v>
      </c>
      <c r="H89" s="276">
        <v>0</v>
      </c>
      <c r="I89" s="441">
        <v>0</v>
      </c>
      <c r="J89" s="441">
        <v>0</v>
      </c>
      <c r="K89" s="223">
        <f t="shared" si="4"/>
        <v>0</v>
      </c>
      <c r="L89" s="224">
        <f t="shared" si="5"/>
        <v>0</v>
      </c>
      <c r="M89" s="304"/>
      <c r="N89" s="262"/>
      <c r="O89" s="263"/>
    </row>
    <row r="90" spans="1:19" x14ac:dyDescent="0.25">
      <c r="A90" s="210">
        <v>4126</v>
      </c>
      <c r="B90" s="211" t="s">
        <v>119</v>
      </c>
      <c r="C90" s="301">
        <v>0</v>
      </c>
      <c r="D90" s="259">
        <v>0</v>
      </c>
      <c r="E90" s="266">
        <v>0</v>
      </c>
      <c r="F90" s="120">
        <v>0</v>
      </c>
      <c r="G90" s="276">
        <v>0</v>
      </c>
      <c r="H90" s="276">
        <v>0</v>
      </c>
      <c r="I90" s="441">
        <v>0</v>
      </c>
      <c r="J90" s="441">
        <v>0</v>
      </c>
      <c r="K90" s="223">
        <f t="shared" si="4"/>
        <v>0</v>
      </c>
      <c r="L90" s="224">
        <f t="shared" si="5"/>
        <v>0</v>
      </c>
      <c r="M90" s="304"/>
      <c r="N90" s="262"/>
      <c r="O90" s="263"/>
    </row>
    <row r="91" spans="1:19" x14ac:dyDescent="0.25">
      <c r="A91" s="210">
        <v>4127</v>
      </c>
      <c r="B91" s="211" t="s">
        <v>120</v>
      </c>
      <c r="C91" s="301">
        <v>0</v>
      </c>
      <c r="D91" s="259">
        <v>0</v>
      </c>
      <c r="E91" s="266">
        <v>0</v>
      </c>
      <c r="F91" s="120">
        <v>0</v>
      </c>
      <c r="G91" s="276">
        <v>0</v>
      </c>
      <c r="H91" s="276">
        <v>0</v>
      </c>
      <c r="I91" s="441">
        <v>0</v>
      </c>
      <c r="J91" s="441">
        <v>0</v>
      </c>
      <c r="K91" s="223">
        <f t="shared" si="4"/>
        <v>0</v>
      </c>
      <c r="L91" s="224">
        <f t="shared" si="5"/>
        <v>0</v>
      </c>
      <c r="M91" s="304"/>
      <c r="N91" s="262"/>
      <c r="O91" s="263"/>
    </row>
    <row r="92" spans="1:19" x14ac:dyDescent="0.25">
      <c r="A92" s="210">
        <v>4128</v>
      </c>
      <c r="B92" s="211" t="s">
        <v>121</v>
      </c>
      <c r="C92" s="301">
        <v>0</v>
      </c>
      <c r="D92" s="259">
        <v>0</v>
      </c>
      <c r="E92" s="266">
        <v>0</v>
      </c>
      <c r="F92" s="120">
        <v>0</v>
      </c>
      <c r="G92" s="276">
        <v>0</v>
      </c>
      <c r="H92" s="276">
        <v>0</v>
      </c>
      <c r="I92" s="441">
        <v>0</v>
      </c>
      <c r="J92" s="441">
        <v>0</v>
      </c>
      <c r="K92" s="223">
        <f t="shared" si="4"/>
        <v>0</v>
      </c>
      <c r="L92" s="224">
        <f t="shared" si="5"/>
        <v>0</v>
      </c>
      <c r="M92" s="304"/>
      <c r="N92" s="262"/>
      <c r="O92" s="263"/>
    </row>
    <row r="93" spans="1:19" x14ac:dyDescent="0.25">
      <c r="A93" s="210">
        <v>4129</v>
      </c>
      <c r="B93" s="211" t="s">
        <v>122</v>
      </c>
      <c r="C93" s="301">
        <v>0</v>
      </c>
      <c r="D93" s="259">
        <v>0</v>
      </c>
      <c r="E93" s="266">
        <v>0</v>
      </c>
      <c r="F93" s="120">
        <v>0</v>
      </c>
      <c r="G93" s="276">
        <v>0</v>
      </c>
      <c r="H93" s="276">
        <v>0</v>
      </c>
      <c r="I93" s="441">
        <v>0</v>
      </c>
      <c r="J93" s="441">
        <v>0</v>
      </c>
      <c r="K93" s="223">
        <f t="shared" si="4"/>
        <v>0</v>
      </c>
      <c r="L93" s="224">
        <f t="shared" si="5"/>
        <v>0</v>
      </c>
      <c r="M93" s="304"/>
      <c r="N93" s="262"/>
      <c r="O93" s="263"/>
    </row>
    <row r="94" spans="1:19" ht="15.75" thickBot="1" x14ac:dyDescent="0.3">
      <c r="A94" s="204">
        <v>4199</v>
      </c>
      <c r="B94" s="205" t="s">
        <v>123</v>
      </c>
      <c r="C94" s="300">
        <v>0</v>
      </c>
      <c r="D94" s="257">
        <v>3</v>
      </c>
      <c r="E94" s="436">
        <v>0</v>
      </c>
      <c r="F94" s="232">
        <v>0</v>
      </c>
      <c r="G94" s="275">
        <v>0</v>
      </c>
      <c r="H94" s="275">
        <v>0</v>
      </c>
      <c r="I94" s="440">
        <v>0</v>
      </c>
      <c r="J94" s="440">
        <v>0</v>
      </c>
      <c r="K94" s="221">
        <f t="shared" si="4"/>
        <v>0</v>
      </c>
      <c r="L94" s="225">
        <f t="shared" si="5"/>
        <v>3</v>
      </c>
      <c r="M94" s="304"/>
      <c r="N94" s="262"/>
      <c r="O94" s="263"/>
    </row>
    <row r="95" spans="1:19" ht="15.75" thickBot="1" x14ac:dyDescent="0.3">
      <c r="A95" s="337">
        <v>4000</v>
      </c>
      <c r="B95" s="290" t="s">
        <v>124</v>
      </c>
      <c r="C95" s="218"/>
      <c r="D95" s="299"/>
      <c r="E95" s="218"/>
      <c r="F95" s="218"/>
      <c r="G95" s="282"/>
      <c r="H95" s="282"/>
      <c r="I95" s="442"/>
      <c r="J95" s="442"/>
      <c r="K95" s="218"/>
      <c r="L95" s="233"/>
      <c r="M95" s="262"/>
      <c r="N95" s="262"/>
      <c r="O95" s="263"/>
    </row>
    <row r="96" spans="1:19" x14ac:dyDescent="0.25">
      <c r="A96" s="204">
        <v>4201</v>
      </c>
      <c r="B96" s="205" t="s">
        <v>95</v>
      </c>
      <c r="C96" s="300">
        <v>2</v>
      </c>
      <c r="D96" s="225">
        <v>1</v>
      </c>
      <c r="E96" s="437">
        <v>0</v>
      </c>
      <c r="F96" s="438">
        <v>0</v>
      </c>
      <c r="G96" s="275">
        <v>0</v>
      </c>
      <c r="H96" s="275">
        <v>0</v>
      </c>
      <c r="I96" s="440">
        <v>0</v>
      </c>
      <c r="J96" s="440">
        <v>0</v>
      </c>
      <c r="K96" s="221">
        <f t="shared" ref="K96:K126" si="6">C96+E96-G96-I96</f>
        <v>2</v>
      </c>
      <c r="L96" s="225">
        <f t="shared" ref="L96:L126" si="7">D96+F96-H96-J96</f>
        <v>1</v>
      </c>
      <c r="M96" s="304"/>
      <c r="N96" s="262"/>
      <c r="O96" s="262"/>
      <c r="P96" s="262"/>
      <c r="Q96" s="262"/>
      <c r="R96" s="262"/>
      <c r="S96" s="262"/>
    </row>
    <row r="97" spans="1:19" x14ac:dyDescent="0.25">
      <c r="A97" s="210">
        <v>4202</v>
      </c>
      <c r="B97" s="211" t="s">
        <v>125</v>
      </c>
      <c r="C97" s="301">
        <v>0</v>
      </c>
      <c r="D97" s="224">
        <v>0</v>
      </c>
      <c r="E97" s="266">
        <v>0</v>
      </c>
      <c r="F97" s="120">
        <v>0</v>
      </c>
      <c r="G97" s="276">
        <v>0</v>
      </c>
      <c r="H97" s="276">
        <v>0</v>
      </c>
      <c r="I97" s="441">
        <v>0</v>
      </c>
      <c r="J97" s="441">
        <v>0</v>
      </c>
      <c r="K97" s="223">
        <f t="shared" si="6"/>
        <v>0</v>
      </c>
      <c r="L97" s="224">
        <f t="shared" si="7"/>
        <v>0</v>
      </c>
      <c r="M97" s="304"/>
      <c r="N97" s="262"/>
      <c r="O97" s="262"/>
      <c r="P97" s="262"/>
      <c r="Q97" s="262"/>
      <c r="R97" s="262"/>
      <c r="S97" s="262"/>
    </row>
    <row r="98" spans="1:19" x14ac:dyDescent="0.25">
      <c r="A98" s="210">
        <v>4203</v>
      </c>
      <c r="B98" s="211" t="s">
        <v>96</v>
      </c>
      <c r="C98" s="301">
        <v>0</v>
      </c>
      <c r="D98" s="224">
        <v>0</v>
      </c>
      <c r="E98" s="266">
        <v>0</v>
      </c>
      <c r="F98" s="120">
        <v>0</v>
      </c>
      <c r="G98" s="276">
        <v>0</v>
      </c>
      <c r="H98" s="276">
        <v>0</v>
      </c>
      <c r="I98" s="441">
        <v>0</v>
      </c>
      <c r="J98" s="441">
        <v>0</v>
      </c>
      <c r="K98" s="223">
        <f t="shared" si="6"/>
        <v>0</v>
      </c>
      <c r="L98" s="224">
        <f t="shared" si="7"/>
        <v>0</v>
      </c>
      <c r="M98" s="304"/>
      <c r="N98" s="262"/>
      <c r="O98" s="262"/>
      <c r="P98" s="262"/>
      <c r="Q98" s="262"/>
      <c r="R98" s="262"/>
      <c r="S98" s="262"/>
    </row>
    <row r="99" spans="1:19" x14ac:dyDescent="0.25">
      <c r="A99" s="210">
        <v>4204</v>
      </c>
      <c r="B99" s="211" t="s">
        <v>98</v>
      </c>
      <c r="C99" s="301">
        <v>0</v>
      </c>
      <c r="D99" s="224">
        <v>0</v>
      </c>
      <c r="E99" s="266">
        <v>0</v>
      </c>
      <c r="F99" s="120">
        <v>0</v>
      </c>
      <c r="G99" s="276">
        <v>0</v>
      </c>
      <c r="H99" s="276">
        <v>0</v>
      </c>
      <c r="I99" s="441">
        <v>0</v>
      </c>
      <c r="J99" s="441">
        <v>0</v>
      </c>
      <c r="K99" s="223">
        <f t="shared" si="6"/>
        <v>0</v>
      </c>
      <c r="L99" s="224">
        <f t="shared" si="7"/>
        <v>0</v>
      </c>
      <c r="M99" s="304"/>
      <c r="N99" s="262"/>
      <c r="O99" s="262"/>
      <c r="P99" s="262"/>
      <c r="Q99" s="262"/>
      <c r="R99" s="262"/>
      <c r="S99" s="262"/>
    </row>
    <row r="100" spans="1:19" x14ac:dyDescent="0.25">
      <c r="A100" s="210">
        <v>4205</v>
      </c>
      <c r="B100" s="211" t="s">
        <v>100</v>
      </c>
      <c r="C100" s="301">
        <v>0</v>
      </c>
      <c r="D100" s="224">
        <v>0</v>
      </c>
      <c r="E100" s="266">
        <v>0</v>
      </c>
      <c r="F100" s="120">
        <v>0</v>
      </c>
      <c r="G100" s="276">
        <v>0</v>
      </c>
      <c r="H100" s="276">
        <v>0</v>
      </c>
      <c r="I100" s="441">
        <v>0</v>
      </c>
      <c r="J100" s="441">
        <v>0</v>
      </c>
      <c r="K100" s="223">
        <f t="shared" si="6"/>
        <v>0</v>
      </c>
      <c r="L100" s="224">
        <f t="shared" si="7"/>
        <v>0</v>
      </c>
      <c r="M100" s="304"/>
      <c r="N100" s="262"/>
      <c r="O100" s="262"/>
      <c r="P100" s="262"/>
      <c r="Q100" s="262"/>
      <c r="R100" s="262"/>
      <c r="S100" s="262"/>
    </row>
    <row r="101" spans="1:19" x14ac:dyDescent="0.25">
      <c r="A101" s="210">
        <v>4206</v>
      </c>
      <c r="B101" s="211" t="s">
        <v>102</v>
      </c>
      <c r="C101" s="301">
        <v>0</v>
      </c>
      <c r="D101" s="224">
        <v>0</v>
      </c>
      <c r="E101" s="266">
        <v>0</v>
      </c>
      <c r="F101" s="120">
        <v>0</v>
      </c>
      <c r="G101" s="276">
        <v>0</v>
      </c>
      <c r="H101" s="276">
        <v>0</v>
      </c>
      <c r="I101" s="441">
        <v>0</v>
      </c>
      <c r="J101" s="441">
        <v>0</v>
      </c>
      <c r="K101" s="223">
        <f t="shared" si="6"/>
        <v>0</v>
      </c>
      <c r="L101" s="224">
        <f t="shared" si="7"/>
        <v>0</v>
      </c>
      <c r="M101" s="304"/>
      <c r="N101" s="262"/>
      <c r="O101" s="262"/>
      <c r="P101" s="262"/>
      <c r="Q101" s="262"/>
      <c r="R101" s="262"/>
      <c r="S101" s="262"/>
    </row>
    <row r="102" spans="1:19" x14ac:dyDescent="0.25">
      <c r="A102" s="210">
        <v>4207</v>
      </c>
      <c r="B102" s="211" t="s">
        <v>103</v>
      </c>
      <c r="C102" s="301">
        <v>0</v>
      </c>
      <c r="D102" s="224">
        <v>0</v>
      </c>
      <c r="E102" s="266">
        <v>0</v>
      </c>
      <c r="F102" s="120">
        <v>0</v>
      </c>
      <c r="G102" s="276">
        <v>0</v>
      </c>
      <c r="H102" s="276">
        <v>0</v>
      </c>
      <c r="I102" s="441">
        <v>0</v>
      </c>
      <c r="J102" s="441">
        <v>0</v>
      </c>
      <c r="K102" s="223">
        <f t="shared" si="6"/>
        <v>0</v>
      </c>
      <c r="L102" s="224">
        <f t="shared" si="7"/>
        <v>0</v>
      </c>
      <c r="M102" s="304"/>
      <c r="N102" s="262"/>
      <c r="O102" s="262"/>
      <c r="P102" s="262"/>
      <c r="Q102" s="262"/>
      <c r="R102" s="262"/>
      <c r="S102" s="262"/>
    </row>
    <row r="103" spans="1:19" x14ac:dyDescent="0.25">
      <c r="A103" s="210">
        <v>4208</v>
      </c>
      <c r="B103" s="211" t="s">
        <v>104</v>
      </c>
      <c r="C103" s="301">
        <v>0</v>
      </c>
      <c r="D103" s="224">
        <v>0</v>
      </c>
      <c r="E103" s="266">
        <v>0</v>
      </c>
      <c r="F103" s="120">
        <v>0</v>
      </c>
      <c r="G103" s="276">
        <v>0</v>
      </c>
      <c r="H103" s="276">
        <v>0</v>
      </c>
      <c r="I103" s="441">
        <v>0</v>
      </c>
      <c r="J103" s="441">
        <v>0</v>
      </c>
      <c r="K103" s="223">
        <f t="shared" si="6"/>
        <v>0</v>
      </c>
      <c r="L103" s="224">
        <f t="shared" si="7"/>
        <v>0</v>
      </c>
      <c r="M103" s="304"/>
      <c r="N103" s="262"/>
      <c r="O103" s="262"/>
      <c r="P103" s="262"/>
      <c r="Q103" s="262"/>
      <c r="R103" s="262"/>
      <c r="S103" s="262"/>
    </row>
    <row r="104" spans="1:19" x14ac:dyDescent="0.25">
      <c r="A104" s="210">
        <v>4209</v>
      </c>
      <c r="B104" s="211" t="s">
        <v>126</v>
      </c>
      <c r="C104" s="301">
        <v>0</v>
      </c>
      <c r="D104" s="224">
        <v>0</v>
      </c>
      <c r="E104" s="266">
        <v>0</v>
      </c>
      <c r="F104" s="120">
        <v>0</v>
      </c>
      <c r="G104" s="276">
        <v>0</v>
      </c>
      <c r="H104" s="276">
        <v>0</v>
      </c>
      <c r="I104" s="441">
        <v>0</v>
      </c>
      <c r="J104" s="441">
        <v>0</v>
      </c>
      <c r="K104" s="223">
        <f t="shared" si="6"/>
        <v>0</v>
      </c>
      <c r="L104" s="224">
        <f t="shared" si="7"/>
        <v>0</v>
      </c>
      <c r="M104" s="304"/>
      <c r="N104" s="262"/>
      <c r="O104" s="262"/>
      <c r="P104" s="262"/>
      <c r="Q104" s="262"/>
      <c r="R104" s="262"/>
      <c r="S104" s="262"/>
    </row>
    <row r="105" spans="1:19" x14ac:dyDescent="0.25">
      <c r="A105" s="210">
        <v>4210</v>
      </c>
      <c r="B105" s="211" t="s">
        <v>112</v>
      </c>
      <c r="C105" s="301">
        <v>0</v>
      </c>
      <c r="D105" s="224">
        <v>0</v>
      </c>
      <c r="E105" s="266">
        <v>0</v>
      </c>
      <c r="F105" s="120">
        <v>0</v>
      </c>
      <c r="G105" s="276">
        <v>0</v>
      </c>
      <c r="H105" s="276">
        <v>0</v>
      </c>
      <c r="I105" s="441">
        <v>0</v>
      </c>
      <c r="J105" s="441">
        <v>0</v>
      </c>
      <c r="K105" s="223">
        <f t="shared" si="6"/>
        <v>0</v>
      </c>
      <c r="L105" s="224">
        <f t="shared" si="7"/>
        <v>0</v>
      </c>
      <c r="M105" s="304"/>
      <c r="N105" s="262"/>
      <c r="O105" s="262"/>
      <c r="P105" s="262"/>
      <c r="Q105" s="262"/>
      <c r="R105" s="262"/>
      <c r="S105" s="262"/>
    </row>
    <row r="106" spans="1:19" x14ac:dyDescent="0.25">
      <c r="A106" s="210">
        <v>4211</v>
      </c>
      <c r="B106" s="211" t="s">
        <v>107</v>
      </c>
      <c r="C106" s="301">
        <v>0</v>
      </c>
      <c r="D106" s="224">
        <v>0</v>
      </c>
      <c r="E106" s="266">
        <v>0</v>
      </c>
      <c r="F106" s="120">
        <v>0</v>
      </c>
      <c r="G106" s="276">
        <v>0</v>
      </c>
      <c r="H106" s="276">
        <v>0</v>
      </c>
      <c r="I106" s="441">
        <v>0</v>
      </c>
      <c r="J106" s="441">
        <v>0</v>
      </c>
      <c r="K106" s="223">
        <f t="shared" si="6"/>
        <v>0</v>
      </c>
      <c r="L106" s="224">
        <f t="shared" si="7"/>
        <v>0</v>
      </c>
      <c r="M106" s="304"/>
      <c r="N106" s="262"/>
      <c r="O106" s="262"/>
      <c r="P106" s="262"/>
      <c r="Q106" s="262"/>
      <c r="R106" s="262"/>
      <c r="S106" s="262"/>
    </row>
    <row r="107" spans="1:19" x14ac:dyDescent="0.25">
      <c r="A107" s="210">
        <v>4212</v>
      </c>
      <c r="B107" s="211" t="s">
        <v>105</v>
      </c>
      <c r="C107" s="301">
        <v>0</v>
      </c>
      <c r="D107" s="224">
        <v>0</v>
      </c>
      <c r="E107" s="266">
        <v>0</v>
      </c>
      <c r="F107" s="120">
        <v>0</v>
      </c>
      <c r="G107" s="276">
        <v>0</v>
      </c>
      <c r="H107" s="276">
        <v>0</v>
      </c>
      <c r="I107" s="441">
        <v>0</v>
      </c>
      <c r="J107" s="441">
        <v>0</v>
      </c>
      <c r="K107" s="223">
        <f t="shared" si="6"/>
        <v>0</v>
      </c>
      <c r="L107" s="224">
        <f t="shared" si="7"/>
        <v>0</v>
      </c>
      <c r="M107" s="304"/>
      <c r="N107" s="262"/>
      <c r="O107" s="262"/>
      <c r="P107" s="262"/>
      <c r="Q107" s="262"/>
      <c r="R107" s="262"/>
      <c r="S107" s="262"/>
    </row>
    <row r="108" spans="1:19" x14ac:dyDescent="0.25">
      <c r="A108" s="210">
        <v>4213</v>
      </c>
      <c r="B108" s="211" t="s">
        <v>87</v>
      </c>
      <c r="C108" s="301">
        <v>1</v>
      </c>
      <c r="D108" s="224">
        <v>1</v>
      </c>
      <c r="E108" s="266">
        <v>0</v>
      </c>
      <c r="F108" s="120">
        <v>0</v>
      </c>
      <c r="G108" s="276">
        <v>0</v>
      </c>
      <c r="H108" s="276">
        <v>0</v>
      </c>
      <c r="I108" s="441">
        <v>0</v>
      </c>
      <c r="J108" s="441">
        <v>0</v>
      </c>
      <c r="K108" s="223">
        <f t="shared" si="6"/>
        <v>1</v>
      </c>
      <c r="L108" s="224">
        <f t="shared" si="7"/>
        <v>1</v>
      </c>
      <c r="M108" s="304"/>
      <c r="N108" s="262"/>
      <c r="O108" s="262"/>
      <c r="P108" s="262"/>
      <c r="Q108" s="262"/>
      <c r="R108" s="262"/>
      <c r="S108" s="262"/>
    </row>
    <row r="109" spans="1:19" x14ac:dyDescent="0.25">
      <c r="A109" s="210">
        <v>4214</v>
      </c>
      <c r="B109" s="211" t="s">
        <v>127</v>
      </c>
      <c r="C109" s="301">
        <v>0</v>
      </c>
      <c r="D109" s="224">
        <v>0</v>
      </c>
      <c r="E109" s="266">
        <v>0</v>
      </c>
      <c r="F109" s="120">
        <v>0</v>
      </c>
      <c r="G109" s="276">
        <v>0</v>
      </c>
      <c r="H109" s="276">
        <v>0</v>
      </c>
      <c r="I109" s="441">
        <v>0</v>
      </c>
      <c r="J109" s="441">
        <v>0</v>
      </c>
      <c r="K109" s="223">
        <f t="shared" si="6"/>
        <v>0</v>
      </c>
      <c r="L109" s="224">
        <f t="shared" si="7"/>
        <v>0</v>
      </c>
      <c r="M109" s="304"/>
      <c r="N109" s="262"/>
      <c r="O109" s="262"/>
      <c r="P109" s="262"/>
      <c r="Q109" s="262"/>
      <c r="R109" s="262"/>
      <c r="S109" s="262"/>
    </row>
    <row r="110" spans="1:19" x14ac:dyDescent="0.25">
      <c r="A110" s="210">
        <v>4215</v>
      </c>
      <c r="B110" s="211" t="s">
        <v>128</v>
      </c>
      <c r="C110" s="301">
        <v>0</v>
      </c>
      <c r="D110" s="224">
        <v>5</v>
      </c>
      <c r="E110" s="266">
        <v>0</v>
      </c>
      <c r="F110" s="120">
        <v>0</v>
      </c>
      <c r="G110" s="276">
        <v>0</v>
      </c>
      <c r="H110" s="276">
        <v>0</v>
      </c>
      <c r="I110" s="441">
        <v>0</v>
      </c>
      <c r="J110" s="441">
        <v>0</v>
      </c>
      <c r="K110" s="223">
        <f t="shared" si="6"/>
        <v>0</v>
      </c>
      <c r="L110" s="224">
        <f t="shared" si="7"/>
        <v>5</v>
      </c>
      <c r="M110" s="304"/>
      <c r="N110" s="262"/>
      <c r="O110" s="262"/>
      <c r="P110" s="262"/>
      <c r="Q110" s="262"/>
      <c r="R110" s="262"/>
      <c r="S110" s="262"/>
    </row>
    <row r="111" spans="1:19" x14ac:dyDescent="0.25">
      <c r="A111" s="210">
        <v>4216</v>
      </c>
      <c r="B111" s="211" t="s">
        <v>129</v>
      </c>
      <c r="C111" s="301">
        <v>0</v>
      </c>
      <c r="D111" s="224">
        <v>0</v>
      </c>
      <c r="E111" s="266">
        <v>0</v>
      </c>
      <c r="F111" s="120">
        <v>0</v>
      </c>
      <c r="G111" s="276">
        <v>0</v>
      </c>
      <c r="H111" s="276">
        <v>0</v>
      </c>
      <c r="I111" s="441">
        <v>0</v>
      </c>
      <c r="J111" s="441">
        <v>0</v>
      </c>
      <c r="K111" s="223">
        <f t="shared" si="6"/>
        <v>0</v>
      </c>
      <c r="L111" s="224">
        <f t="shared" si="7"/>
        <v>0</v>
      </c>
      <c r="M111" s="304"/>
      <c r="N111" s="262"/>
      <c r="O111" s="262"/>
      <c r="P111" s="262"/>
      <c r="Q111" s="262"/>
      <c r="R111" s="262"/>
      <c r="S111" s="262"/>
    </row>
    <row r="112" spans="1:19" x14ac:dyDescent="0.25">
      <c r="A112" s="210">
        <v>4217</v>
      </c>
      <c r="B112" s="211" t="s">
        <v>108</v>
      </c>
      <c r="C112" s="301">
        <v>0</v>
      </c>
      <c r="D112" s="224">
        <v>0</v>
      </c>
      <c r="E112" s="266">
        <v>0</v>
      </c>
      <c r="F112" s="120">
        <v>0</v>
      </c>
      <c r="G112" s="276">
        <v>0</v>
      </c>
      <c r="H112" s="276">
        <v>0</v>
      </c>
      <c r="I112" s="441">
        <v>0</v>
      </c>
      <c r="J112" s="441">
        <v>0</v>
      </c>
      <c r="K112" s="223">
        <f t="shared" si="6"/>
        <v>0</v>
      </c>
      <c r="L112" s="224">
        <f t="shared" si="7"/>
        <v>0</v>
      </c>
      <c r="M112" s="304"/>
      <c r="N112" s="262"/>
      <c r="O112" s="262"/>
      <c r="P112" s="262"/>
      <c r="Q112" s="262"/>
      <c r="R112" s="262"/>
      <c r="S112" s="262"/>
    </row>
    <row r="113" spans="1:19" x14ac:dyDescent="0.25">
      <c r="A113" s="210">
        <v>4218</v>
      </c>
      <c r="B113" s="211" t="s">
        <v>109</v>
      </c>
      <c r="C113" s="301">
        <v>0</v>
      </c>
      <c r="D113" s="224">
        <v>1</v>
      </c>
      <c r="E113" s="266">
        <v>0</v>
      </c>
      <c r="F113" s="120">
        <v>0</v>
      </c>
      <c r="G113" s="276">
        <v>0</v>
      </c>
      <c r="H113" s="276">
        <v>0</v>
      </c>
      <c r="I113" s="441">
        <v>0</v>
      </c>
      <c r="J113" s="441">
        <v>0</v>
      </c>
      <c r="K113" s="223">
        <f t="shared" si="6"/>
        <v>0</v>
      </c>
      <c r="L113" s="224">
        <f t="shared" si="7"/>
        <v>1</v>
      </c>
      <c r="M113" s="304"/>
      <c r="N113" s="262"/>
      <c r="O113" s="262"/>
      <c r="P113" s="262"/>
      <c r="Q113" s="262"/>
      <c r="R113" s="262"/>
      <c r="S113" s="262"/>
    </row>
    <row r="114" spans="1:19" x14ac:dyDescent="0.25">
      <c r="A114" s="210">
        <v>4219</v>
      </c>
      <c r="B114" s="211" t="s">
        <v>110</v>
      </c>
      <c r="C114" s="301">
        <v>0</v>
      </c>
      <c r="D114" s="224">
        <v>0</v>
      </c>
      <c r="E114" s="266">
        <v>0</v>
      </c>
      <c r="F114" s="120">
        <v>0</v>
      </c>
      <c r="G114" s="276">
        <v>0</v>
      </c>
      <c r="H114" s="276">
        <v>0</v>
      </c>
      <c r="I114" s="441">
        <v>0</v>
      </c>
      <c r="J114" s="441">
        <v>0</v>
      </c>
      <c r="K114" s="223">
        <f t="shared" si="6"/>
        <v>0</v>
      </c>
      <c r="L114" s="224">
        <f t="shared" si="7"/>
        <v>0</v>
      </c>
      <c r="M114" s="304"/>
      <c r="N114" s="262"/>
      <c r="O114" s="262"/>
      <c r="P114" s="262"/>
      <c r="Q114" s="262"/>
      <c r="R114" s="262"/>
      <c r="S114" s="262"/>
    </row>
    <row r="115" spans="1:19" x14ac:dyDescent="0.25">
      <c r="A115" s="210">
        <v>4220</v>
      </c>
      <c r="B115" s="211" t="s">
        <v>130</v>
      </c>
      <c r="C115" s="301">
        <v>0</v>
      </c>
      <c r="D115" s="224">
        <v>0</v>
      </c>
      <c r="E115" s="266">
        <v>0</v>
      </c>
      <c r="F115" s="120">
        <v>0</v>
      </c>
      <c r="G115" s="276">
        <v>0</v>
      </c>
      <c r="H115" s="276">
        <v>0</v>
      </c>
      <c r="I115" s="441">
        <v>0</v>
      </c>
      <c r="J115" s="441">
        <v>0</v>
      </c>
      <c r="K115" s="223">
        <f t="shared" si="6"/>
        <v>0</v>
      </c>
      <c r="L115" s="224">
        <f t="shared" si="7"/>
        <v>0</v>
      </c>
      <c r="M115" s="304"/>
      <c r="N115" s="262"/>
      <c r="O115" s="262"/>
      <c r="P115" s="262"/>
      <c r="Q115" s="262"/>
      <c r="R115" s="262"/>
      <c r="S115" s="262"/>
    </row>
    <row r="116" spans="1:19" x14ac:dyDescent="0.25">
      <c r="A116" s="210">
        <v>4221</v>
      </c>
      <c r="B116" s="211" t="s">
        <v>121</v>
      </c>
      <c r="C116" s="301">
        <v>0</v>
      </c>
      <c r="D116" s="224">
        <v>0</v>
      </c>
      <c r="E116" s="266">
        <v>0</v>
      </c>
      <c r="F116" s="120">
        <v>0</v>
      </c>
      <c r="G116" s="276">
        <v>0</v>
      </c>
      <c r="H116" s="276">
        <v>0</v>
      </c>
      <c r="I116" s="441">
        <v>0</v>
      </c>
      <c r="J116" s="441">
        <v>0</v>
      </c>
      <c r="K116" s="223">
        <f t="shared" si="6"/>
        <v>0</v>
      </c>
      <c r="L116" s="224">
        <f t="shared" si="7"/>
        <v>0</v>
      </c>
      <c r="M116" s="304"/>
      <c r="N116" s="262"/>
      <c r="O116" s="262"/>
      <c r="P116" s="262"/>
      <c r="Q116" s="262"/>
      <c r="R116" s="262"/>
      <c r="S116" s="262"/>
    </row>
    <row r="117" spans="1:19" x14ac:dyDescent="0.25">
      <c r="A117" s="210">
        <v>4222</v>
      </c>
      <c r="B117" s="211" t="s">
        <v>114</v>
      </c>
      <c r="C117" s="301">
        <v>0</v>
      </c>
      <c r="D117" s="224">
        <v>0</v>
      </c>
      <c r="E117" s="266">
        <v>0</v>
      </c>
      <c r="F117" s="120">
        <v>0</v>
      </c>
      <c r="G117" s="276">
        <v>0</v>
      </c>
      <c r="H117" s="276">
        <v>0</v>
      </c>
      <c r="I117" s="441">
        <v>0</v>
      </c>
      <c r="J117" s="441">
        <v>0</v>
      </c>
      <c r="K117" s="223">
        <f t="shared" si="6"/>
        <v>0</v>
      </c>
      <c r="L117" s="224">
        <f t="shared" si="7"/>
        <v>0</v>
      </c>
      <c r="M117" s="304"/>
      <c r="N117" s="262"/>
      <c r="O117" s="262"/>
      <c r="P117" s="262"/>
      <c r="Q117" s="262"/>
      <c r="R117" s="262"/>
      <c r="S117" s="262"/>
    </row>
    <row r="118" spans="1:19" x14ac:dyDescent="0.25">
      <c r="A118" s="210">
        <v>4223</v>
      </c>
      <c r="B118" s="211" t="s">
        <v>131</v>
      </c>
      <c r="C118" s="301">
        <v>0</v>
      </c>
      <c r="D118" s="224">
        <v>0</v>
      </c>
      <c r="E118" s="266">
        <v>0</v>
      </c>
      <c r="F118" s="120">
        <v>0</v>
      </c>
      <c r="G118" s="276">
        <v>0</v>
      </c>
      <c r="H118" s="276">
        <v>0</v>
      </c>
      <c r="I118" s="441">
        <v>0</v>
      </c>
      <c r="J118" s="441">
        <v>0</v>
      </c>
      <c r="K118" s="223">
        <f t="shared" si="6"/>
        <v>0</v>
      </c>
      <c r="L118" s="224">
        <f t="shared" si="7"/>
        <v>0</v>
      </c>
      <c r="M118" s="304"/>
      <c r="N118" s="262"/>
      <c r="O118" s="262"/>
      <c r="P118" s="262"/>
      <c r="Q118" s="262"/>
      <c r="R118" s="262"/>
      <c r="S118" s="262"/>
    </row>
    <row r="119" spans="1:19" x14ac:dyDescent="0.25">
      <c r="A119" s="210">
        <v>4224</v>
      </c>
      <c r="B119" s="211" t="s">
        <v>111</v>
      </c>
      <c r="C119" s="301">
        <v>0</v>
      </c>
      <c r="D119" s="224">
        <v>0</v>
      </c>
      <c r="E119" s="266">
        <v>0</v>
      </c>
      <c r="F119" s="120">
        <v>0</v>
      </c>
      <c r="G119" s="276">
        <v>0</v>
      </c>
      <c r="H119" s="276">
        <v>0</v>
      </c>
      <c r="I119" s="441">
        <v>0</v>
      </c>
      <c r="J119" s="441">
        <v>0</v>
      </c>
      <c r="K119" s="223">
        <f t="shared" si="6"/>
        <v>0</v>
      </c>
      <c r="L119" s="224">
        <f t="shared" si="7"/>
        <v>0</v>
      </c>
      <c r="M119" s="304"/>
      <c r="N119" s="262"/>
      <c r="O119" s="262"/>
      <c r="P119" s="262"/>
      <c r="Q119" s="262"/>
      <c r="R119" s="262"/>
      <c r="S119" s="262"/>
    </row>
    <row r="120" spans="1:19" x14ac:dyDescent="0.25">
      <c r="A120" s="210">
        <v>4225</v>
      </c>
      <c r="B120" s="211" t="s">
        <v>118</v>
      </c>
      <c r="C120" s="301">
        <v>0</v>
      </c>
      <c r="D120" s="224">
        <v>0</v>
      </c>
      <c r="E120" s="266">
        <v>0</v>
      </c>
      <c r="F120" s="120">
        <v>0</v>
      </c>
      <c r="G120" s="276">
        <v>0</v>
      </c>
      <c r="H120" s="276">
        <v>0</v>
      </c>
      <c r="I120" s="441">
        <v>0</v>
      </c>
      <c r="J120" s="441">
        <v>0</v>
      </c>
      <c r="K120" s="223">
        <f t="shared" si="6"/>
        <v>0</v>
      </c>
      <c r="L120" s="224">
        <f t="shared" si="7"/>
        <v>0</v>
      </c>
      <c r="M120" s="304"/>
      <c r="N120" s="262"/>
      <c r="O120" s="262"/>
      <c r="P120" s="262"/>
      <c r="Q120" s="262"/>
      <c r="R120" s="262"/>
      <c r="S120" s="262"/>
    </row>
    <row r="121" spans="1:19" x14ac:dyDescent="0.25">
      <c r="A121" s="210">
        <v>4226</v>
      </c>
      <c r="B121" s="211" t="s">
        <v>119</v>
      </c>
      <c r="C121" s="301">
        <v>1</v>
      </c>
      <c r="D121" s="224">
        <v>0</v>
      </c>
      <c r="E121" s="266">
        <v>0</v>
      </c>
      <c r="F121" s="120">
        <v>0</v>
      </c>
      <c r="G121" s="276">
        <v>0</v>
      </c>
      <c r="H121" s="276">
        <v>0</v>
      </c>
      <c r="I121" s="441">
        <v>0</v>
      </c>
      <c r="J121" s="441">
        <v>0</v>
      </c>
      <c r="K121" s="223">
        <f t="shared" si="6"/>
        <v>1</v>
      </c>
      <c r="L121" s="224">
        <f t="shared" si="7"/>
        <v>0</v>
      </c>
      <c r="M121" s="304"/>
      <c r="N121" s="262"/>
      <c r="O121" s="262"/>
      <c r="P121" s="262"/>
      <c r="Q121" s="262"/>
      <c r="R121" s="262"/>
      <c r="S121" s="262"/>
    </row>
    <row r="122" spans="1:19" x14ac:dyDescent="0.25">
      <c r="A122" s="210">
        <v>4227</v>
      </c>
      <c r="B122" s="211" t="s">
        <v>55</v>
      </c>
      <c r="C122" s="301">
        <v>43</v>
      </c>
      <c r="D122" s="224">
        <v>8</v>
      </c>
      <c r="E122" s="266">
        <v>0</v>
      </c>
      <c r="F122" s="120">
        <v>0</v>
      </c>
      <c r="G122" s="276">
        <v>0</v>
      </c>
      <c r="H122" s="276">
        <v>0</v>
      </c>
      <c r="I122" s="441">
        <v>0</v>
      </c>
      <c r="J122" s="441">
        <v>0</v>
      </c>
      <c r="K122" s="223">
        <f t="shared" si="6"/>
        <v>43</v>
      </c>
      <c r="L122" s="224">
        <f t="shared" si="7"/>
        <v>8</v>
      </c>
      <c r="M122" s="304"/>
      <c r="N122" s="262"/>
      <c r="O122" s="262"/>
      <c r="P122" s="262"/>
      <c r="Q122" s="262"/>
      <c r="R122" s="262"/>
      <c r="S122" s="262"/>
    </row>
    <row r="123" spans="1:19" x14ac:dyDescent="0.25">
      <c r="A123" s="210">
        <v>4228</v>
      </c>
      <c r="B123" s="211" t="s">
        <v>120</v>
      </c>
      <c r="C123" s="301">
        <v>0</v>
      </c>
      <c r="D123" s="224">
        <v>0</v>
      </c>
      <c r="E123" s="266">
        <v>0</v>
      </c>
      <c r="F123" s="120">
        <v>0</v>
      </c>
      <c r="G123" s="276">
        <v>0</v>
      </c>
      <c r="H123" s="276">
        <v>0</v>
      </c>
      <c r="I123" s="441">
        <v>0</v>
      </c>
      <c r="J123" s="441">
        <v>0</v>
      </c>
      <c r="K123" s="223">
        <f t="shared" si="6"/>
        <v>0</v>
      </c>
      <c r="L123" s="224">
        <f t="shared" si="7"/>
        <v>0</v>
      </c>
      <c r="M123" s="304"/>
      <c r="N123" s="262"/>
      <c r="O123" s="262"/>
      <c r="P123" s="262"/>
      <c r="Q123" s="262"/>
      <c r="R123" s="262"/>
      <c r="S123" s="262"/>
    </row>
    <row r="124" spans="1:19" x14ac:dyDescent="0.25">
      <c r="A124" s="210">
        <v>4229</v>
      </c>
      <c r="B124" s="211" t="s">
        <v>132</v>
      </c>
      <c r="C124" s="301">
        <v>9</v>
      </c>
      <c r="D124" s="224">
        <v>15</v>
      </c>
      <c r="E124" s="266">
        <v>0</v>
      </c>
      <c r="F124" s="120">
        <v>0</v>
      </c>
      <c r="G124" s="276">
        <v>0</v>
      </c>
      <c r="H124" s="276">
        <v>0</v>
      </c>
      <c r="I124" s="441">
        <v>0</v>
      </c>
      <c r="J124" s="441">
        <v>0</v>
      </c>
      <c r="K124" s="223">
        <f t="shared" si="6"/>
        <v>9</v>
      </c>
      <c r="L124" s="224">
        <f t="shared" si="7"/>
        <v>15</v>
      </c>
      <c r="M124" s="304"/>
      <c r="N124" s="262"/>
      <c r="O124" s="262"/>
      <c r="P124" s="262"/>
      <c r="Q124" s="262"/>
      <c r="R124" s="262"/>
      <c r="S124" s="262"/>
    </row>
    <row r="125" spans="1:19" x14ac:dyDescent="0.25">
      <c r="A125" s="210">
        <v>4230</v>
      </c>
      <c r="B125" s="211" t="s">
        <v>133</v>
      </c>
      <c r="C125" s="301">
        <v>0</v>
      </c>
      <c r="D125" s="224">
        <v>0</v>
      </c>
      <c r="E125" s="266">
        <v>0</v>
      </c>
      <c r="F125" s="120">
        <v>0</v>
      </c>
      <c r="G125" s="276">
        <v>0</v>
      </c>
      <c r="H125" s="276">
        <v>0</v>
      </c>
      <c r="I125" s="441">
        <v>0</v>
      </c>
      <c r="J125" s="441">
        <v>0</v>
      </c>
      <c r="K125" s="223">
        <f t="shared" si="6"/>
        <v>0</v>
      </c>
      <c r="L125" s="224">
        <f t="shared" si="7"/>
        <v>0</v>
      </c>
      <c r="M125" s="304"/>
      <c r="N125" s="262"/>
      <c r="O125" s="262"/>
      <c r="P125" s="262"/>
      <c r="Q125" s="262"/>
      <c r="R125" s="262"/>
      <c r="S125" s="262"/>
    </row>
    <row r="126" spans="1:19" ht="15.75" thickBot="1" x14ac:dyDescent="0.3">
      <c r="A126" s="204">
        <v>4299</v>
      </c>
      <c r="B126" s="205" t="s">
        <v>134</v>
      </c>
      <c r="C126" s="300">
        <v>6</v>
      </c>
      <c r="D126" s="225">
        <v>1</v>
      </c>
      <c r="E126" s="266">
        <v>0</v>
      </c>
      <c r="F126" s="120">
        <v>0</v>
      </c>
      <c r="G126" s="275">
        <v>0</v>
      </c>
      <c r="H126" s="275">
        <v>0</v>
      </c>
      <c r="I126" s="441">
        <v>0</v>
      </c>
      <c r="J126" s="441">
        <v>0</v>
      </c>
      <c r="K126" s="221">
        <f t="shared" si="6"/>
        <v>6</v>
      </c>
      <c r="L126" s="225">
        <f t="shared" si="7"/>
        <v>1</v>
      </c>
      <c r="M126" s="304"/>
      <c r="N126" s="262"/>
      <c r="O126" s="262"/>
      <c r="P126" s="262"/>
      <c r="Q126" s="262"/>
      <c r="R126" s="262"/>
      <c r="S126" s="262"/>
    </row>
    <row r="127" spans="1:19" ht="15.75" thickBot="1" x14ac:dyDescent="0.3">
      <c r="A127" s="254">
        <v>5000</v>
      </c>
      <c r="B127" s="255" t="s">
        <v>135</v>
      </c>
      <c r="C127" s="226"/>
      <c r="D127" s="226"/>
      <c r="E127" s="226"/>
      <c r="F127" s="226"/>
      <c r="G127" s="282"/>
      <c r="H127" s="282"/>
      <c r="I127" s="226"/>
      <c r="J127" s="226"/>
      <c r="K127" s="226"/>
      <c r="L127" s="227"/>
      <c r="M127" s="262"/>
      <c r="N127" s="1"/>
      <c r="O127" s="1"/>
      <c r="P127" s="1"/>
      <c r="Q127" s="1"/>
      <c r="R127" s="1"/>
      <c r="S127" s="1"/>
    </row>
    <row r="128" spans="1:19" x14ac:dyDescent="0.25">
      <c r="A128" s="204">
        <v>5101</v>
      </c>
      <c r="B128" s="205" t="s">
        <v>136</v>
      </c>
      <c r="C128" s="300">
        <v>0</v>
      </c>
      <c r="D128" s="225">
        <v>0</v>
      </c>
      <c r="E128" s="268">
        <v>0</v>
      </c>
      <c r="F128" s="209">
        <v>0</v>
      </c>
      <c r="G128" s="275">
        <v>0</v>
      </c>
      <c r="H128" s="275">
        <v>0</v>
      </c>
      <c r="I128" s="209">
        <v>0</v>
      </c>
      <c r="J128" s="209">
        <v>0</v>
      </c>
      <c r="K128" s="221">
        <f t="shared" ref="K128:K159" si="8">C128+E128-G128-I128</f>
        <v>0</v>
      </c>
      <c r="L128" s="225">
        <f t="shared" ref="L128:L159" si="9">D128+F128-H128-J128</f>
        <v>0</v>
      </c>
      <c r="M128" s="304"/>
      <c r="N128" s="262"/>
      <c r="O128" s="262"/>
      <c r="P128" s="262"/>
      <c r="Q128" s="262"/>
      <c r="R128" s="262"/>
      <c r="S128" s="262"/>
    </row>
    <row r="129" spans="1:19" x14ac:dyDescent="0.25">
      <c r="A129" s="210">
        <v>5102</v>
      </c>
      <c r="B129" s="211" t="s">
        <v>137</v>
      </c>
      <c r="C129" s="301">
        <v>0</v>
      </c>
      <c r="D129" s="224">
        <v>0</v>
      </c>
      <c r="E129" s="266">
        <v>0</v>
      </c>
      <c r="F129" s="120">
        <v>0</v>
      </c>
      <c r="G129" s="276">
        <v>0</v>
      </c>
      <c r="H129" s="276">
        <v>0</v>
      </c>
      <c r="I129" s="120">
        <v>0</v>
      </c>
      <c r="J129" s="120">
        <v>0</v>
      </c>
      <c r="K129" s="223">
        <f t="shared" si="8"/>
        <v>0</v>
      </c>
      <c r="L129" s="224">
        <f t="shared" si="9"/>
        <v>0</v>
      </c>
      <c r="M129" s="304"/>
      <c r="N129" s="262"/>
      <c r="O129" s="262"/>
      <c r="P129" s="262"/>
      <c r="Q129" s="262"/>
      <c r="R129" s="262"/>
      <c r="S129" s="262"/>
    </row>
    <row r="130" spans="1:19" x14ac:dyDescent="0.25">
      <c r="A130" s="210">
        <v>5103</v>
      </c>
      <c r="B130" s="211" t="s">
        <v>116</v>
      </c>
      <c r="C130" s="301">
        <v>0</v>
      </c>
      <c r="D130" s="224">
        <v>0</v>
      </c>
      <c r="E130" s="266">
        <v>0</v>
      </c>
      <c r="F130" s="120">
        <v>0</v>
      </c>
      <c r="G130" s="276">
        <v>0</v>
      </c>
      <c r="H130" s="276">
        <v>0</v>
      </c>
      <c r="I130" s="120">
        <v>0</v>
      </c>
      <c r="J130" s="120">
        <v>0</v>
      </c>
      <c r="K130" s="223">
        <f t="shared" si="8"/>
        <v>0</v>
      </c>
      <c r="L130" s="224">
        <f t="shared" si="9"/>
        <v>0</v>
      </c>
      <c r="M130" s="304"/>
      <c r="N130" s="262"/>
      <c r="O130" s="262"/>
      <c r="P130" s="262"/>
      <c r="Q130" s="262"/>
      <c r="R130" s="262"/>
      <c r="S130" s="262"/>
    </row>
    <row r="131" spans="1:19" x14ac:dyDescent="0.25">
      <c r="A131" s="210">
        <v>5104</v>
      </c>
      <c r="B131" s="211" t="s">
        <v>138</v>
      </c>
      <c r="C131" s="301">
        <v>0</v>
      </c>
      <c r="D131" s="224">
        <v>0</v>
      </c>
      <c r="E131" s="266">
        <v>0</v>
      </c>
      <c r="F131" s="120">
        <v>0</v>
      </c>
      <c r="G131" s="276">
        <v>0</v>
      </c>
      <c r="H131" s="276">
        <v>0</v>
      </c>
      <c r="I131" s="120">
        <v>0</v>
      </c>
      <c r="J131" s="120">
        <v>0</v>
      </c>
      <c r="K131" s="223">
        <f t="shared" si="8"/>
        <v>0</v>
      </c>
      <c r="L131" s="224">
        <f t="shared" si="9"/>
        <v>0</v>
      </c>
      <c r="M131" s="304"/>
      <c r="N131" s="262"/>
      <c r="O131" s="262"/>
      <c r="P131" s="262"/>
      <c r="Q131" s="262"/>
      <c r="R131" s="262"/>
      <c r="S131" s="262"/>
    </row>
    <row r="132" spans="1:19" x14ac:dyDescent="0.25">
      <c r="A132" s="210">
        <v>5105</v>
      </c>
      <c r="B132" s="211" t="s">
        <v>139</v>
      </c>
      <c r="C132" s="301">
        <v>0</v>
      </c>
      <c r="D132" s="224">
        <v>0</v>
      </c>
      <c r="E132" s="266">
        <v>0</v>
      </c>
      <c r="F132" s="120">
        <v>0</v>
      </c>
      <c r="G132" s="276">
        <v>0</v>
      </c>
      <c r="H132" s="276">
        <v>0</v>
      </c>
      <c r="I132" s="120">
        <v>0</v>
      </c>
      <c r="J132" s="120">
        <v>0</v>
      </c>
      <c r="K132" s="223">
        <f t="shared" si="8"/>
        <v>0</v>
      </c>
      <c r="L132" s="224">
        <f t="shared" si="9"/>
        <v>0</v>
      </c>
      <c r="M132" s="304"/>
      <c r="N132" s="262"/>
      <c r="O132" s="262"/>
      <c r="P132" s="262"/>
      <c r="Q132" s="262"/>
      <c r="R132" s="262"/>
      <c r="S132" s="262"/>
    </row>
    <row r="133" spans="1:19" x14ac:dyDescent="0.25">
      <c r="A133" s="210">
        <v>5106</v>
      </c>
      <c r="B133" s="211" t="s">
        <v>121</v>
      </c>
      <c r="C133" s="301">
        <v>0</v>
      </c>
      <c r="D133" s="224">
        <v>0</v>
      </c>
      <c r="E133" s="266">
        <v>0</v>
      </c>
      <c r="F133" s="120">
        <v>0</v>
      </c>
      <c r="G133" s="276">
        <v>0</v>
      </c>
      <c r="H133" s="276">
        <v>0</v>
      </c>
      <c r="I133" s="120">
        <v>0</v>
      </c>
      <c r="J133" s="120">
        <v>0</v>
      </c>
      <c r="K133" s="223">
        <f t="shared" si="8"/>
        <v>0</v>
      </c>
      <c r="L133" s="224">
        <f t="shared" si="9"/>
        <v>0</v>
      </c>
      <c r="M133" s="304"/>
      <c r="N133" s="262"/>
      <c r="O133" s="262"/>
      <c r="P133" s="262"/>
      <c r="Q133" s="262"/>
      <c r="R133" s="262"/>
      <c r="S133" s="262"/>
    </row>
    <row r="134" spans="1:19" x14ac:dyDescent="0.25">
      <c r="A134" s="210">
        <v>5107</v>
      </c>
      <c r="B134" s="211" t="s">
        <v>114</v>
      </c>
      <c r="C134" s="301">
        <v>0</v>
      </c>
      <c r="D134" s="224">
        <v>0</v>
      </c>
      <c r="E134" s="266">
        <v>0</v>
      </c>
      <c r="F134" s="120">
        <v>0</v>
      </c>
      <c r="G134" s="276">
        <v>0</v>
      </c>
      <c r="H134" s="276">
        <v>0</v>
      </c>
      <c r="I134" s="120">
        <v>0</v>
      </c>
      <c r="J134" s="120">
        <v>0</v>
      </c>
      <c r="K134" s="223">
        <f t="shared" si="8"/>
        <v>0</v>
      </c>
      <c r="L134" s="224">
        <f t="shared" si="9"/>
        <v>0</v>
      </c>
      <c r="M134" s="304"/>
      <c r="N134" s="262"/>
      <c r="O134" s="262"/>
      <c r="P134" s="262"/>
      <c r="Q134" s="262"/>
      <c r="R134" s="262"/>
      <c r="S134" s="262"/>
    </row>
    <row r="135" spans="1:19" x14ac:dyDescent="0.25">
      <c r="A135" s="210">
        <v>5108</v>
      </c>
      <c r="B135" s="211" t="s">
        <v>140</v>
      </c>
      <c r="C135" s="301">
        <v>0</v>
      </c>
      <c r="D135" s="224">
        <v>0</v>
      </c>
      <c r="E135" s="266">
        <v>0</v>
      </c>
      <c r="F135" s="120">
        <v>0</v>
      </c>
      <c r="G135" s="276">
        <v>0</v>
      </c>
      <c r="H135" s="276">
        <v>0</v>
      </c>
      <c r="I135" s="120">
        <v>0</v>
      </c>
      <c r="J135" s="120">
        <v>0</v>
      </c>
      <c r="K135" s="223">
        <f t="shared" si="8"/>
        <v>0</v>
      </c>
      <c r="L135" s="224">
        <f t="shared" si="9"/>
        <v>0</v>
      </c>
      <c r="M135" s="304"/>
      <c r="N135" s="262"/>
      <c r="O135" s="262"/>
      <c r="P135" s="262"/>
      <c r="Q135" s="262"/>
      <c r="R135" s="262"/>
      <c r="S135" s="262"/>
    </row>
    <row r="136" spans="1:19" x14ac:dyDescent="0.25">
      <c r="A136" s="210">
        <v>5109</v>
      </c>
      <c r="B136" s="211" t="s">
        <v>141</v>
      </c>
      <c r="C136" s="301">
        <v>13</v>
      </c>
      <c r="D136" s="224">
        <v>1</v>
      </c>
      <c r="E136" s="266">
        <v>0</v>
      </c>
      <c r="F136" s="120">
        <v>0</v>
      </c>
      <c r="G136" s="276">
        <v>0</v>
      </c>
      <c r="H136" s="276">
        <v>0</v>
      </c>
      <c r="I136" s="120">
        <v>0</v>
      </c>
      <c r="J136" s="120">
        <v>0</v>
      </c>
      <c r="K136" s="223">
        <f t="shared" si="8"/>
        <v>13</v>
      </c>
      <c r="L136" s="224">
        <f t="shared" si="9"/>
        <v>1</v>
      </c>
      <c r="M136" s="304"/>
      <c r="N136" s="262"/>
      <c r="O136" s="262"/>
      <c r="P136" s="262"/>
      <c r="Q136" s="262"/>
      <c r="R136" s="262"/>
      <c r="S136" s="262"/>
    </row>
    <row r="137" spans="1:19" x14ac:dyDescent="0.25">
      <c r="A137" s="210">
        <v>5110</v>
      </c>
      <c r="B137" s="211" t="s">
        <v>132</v>
      </c>
      <c r="C137" s="301">
        <v>0</v>
      </c>
      <c r="D137" s="224">
        <v>0</v>
      </c>
      <c r="E137" s="266">
        <v>0</v>
      </c>
      <c r="F137" s="120">
        <v>0</v>
      </c>
      <c r="G137" s="276">
        <v>0</v>
      </c>
      <c r="H137" s="276">
        <v>0</v>
      </c>
      <c r="I137" s="120">
        <v>0</v>
      </c>
      <c r="J137" s="120">
        <v>0</v>
      </c>
      <c r="K137" s="223">
        <f t="shared" si="8"/>
        <v>0</v>
      </c>
      <c r="L137" s="224">
        <f t="shared" si="9"/>
        <v>0</v>
      </c>
      <c r="M137" s="304"/>
      <c r="N137" s="262"/>
      <c r="O137" s="262"/>
      <c r="P137" s="262"/>
      <c r="Q137" s="262"/>
      <c r="R137" s="262"/>
      <c r="S137" s="262"/>
    </row>
    <row r="138" spans="1:19" x14ac:dyDescent="0.25">
      <c r="A138" s="210">
        <v>5111</v>
      </c>
      <c r="B138" s="211" t="s">
        <v>142</v>
      </c>
      <c r="C138" s="301">
        <v>0</v>
      </c>
      <c r="D138" s="224">
        <v>0</v>
      </c>
      <c r="E138" s="266">
        <v>0</v>
      </c>
      <c r="F138" s="120">
        <v>0</v>
      </c>
      <c r="G138" s="276">
        <v>0</v>
      </c>
      <c r="H138" s="276">
        <v>0</v>
      </c>
      <c r="I138" s="120">
        <v>0</v>
      </c>
      <c r="J138" s="120">
        <v>0</v>
      </c>
      <c r="K138" s="223">
        <f t="shared" si="8"/>
        <v>0</v>
      </c>
      <c r="L138" s="224">
        <f t="shared" si="9"/>
        <v>0</v>
      </c>
      <c r="M138" s="304"/>
      <c r="N138" s="262"/>
      <c r="O138" s="262"/>
      <c r="P138" s="262"/>
      <c r="Q138" s="262"/>
      <c r="R138" s="262"/>
      <c r="S138" s="262"/>
    </row>
    <row r="139" spans="1:19" x14ac:dyDescent="0.25">
      <c r="A139" s="210">
        <v>5199</v>
      </c>
      <c r="B139" s="211" t="s">
        <v>143</v>
      </c>
      <c r="C139" s="301">
        <v>0</v>
      </c>
      <c r="D139" s="224">
        <v>0</v>
      </c>
      <c r="E139" s="266">
        <v>0</v>
      </c>
      <c r="F139" s="120">
        <v>0</v>
      </c>
      <c r="G139" s="276">
        <v>0</v>
      </c>
      <c r="H139" s="276">
        <v>0</v>
      </c>
      <c r="I139" s="120">
        <v>0</v>
      </c>
      <c r="J139" s="120">
        <v>0</v>
      </c>
      <c r="K139" s="223">
        <f t="shared" si="8"/>
        <v>0</v>
      </c>
      <c r="L139" s="224">
        <f t="shared" si="9"/>
        <v>0</v>
      </c>
      <c r="M139" s="304"/>
      <c r="N139" s="262"/>
      <c r="O139" s="262"/>
      <c r="P139" s="262"/>
      <c r="Q139" s="262"/>
      <c r="R139" s="262"/>
      <c r="S139" s="262"/>
    </row>
    <row r="140" spans="1:19" x14ac:dyDescent="0.25">
      <c r="A140" s="210">
        <v>5201</v>
      </c>
      <c r="B140" s="211" t="s">
        <v>144</v>
      </c>
      <c r="C140" s="301">
        <v>0</v>
      </c>
      <c r="D140" s="224">
        <v>0</v>
      </c>
      <c r="E140" s="266">
        <v>0</v>
      </c>
      <c r="F140" s="120">
        <v>0</v>
      </c>
      <c r="G140" s="276">
        <v>0</v>
      </c>
      <c r="H140" s="276">
        <v>0</v>
      </c>
      <c r="I140" s="120">
        <v>0</v>
      </c>
      <c r="J140" s="120">
        <v>0</v>
      </c>
      <c r="K140" s="223">
        <f t="shared" si="8"/>
        <v>0</v>
      </c>
      <c r="L140" s="224">
        <f t="shared" si="9"/>
        <v>0</v>
      </c>
      <c r="M140" s="304"/>
      <c r="N140" s="262"/>
      <c r="O140" s="262"/>
      <c r="P140" s="262"/>
      <c r="Q140" s="262"/>
      <c r="R140" s="262"/>
      <c r="S140" s="262"/>
    </row>
    <row r="141" spans="1:19" x14ac:dyDescent="0.25">
      <c r="A141" s="210">
        <v>5202</v>
      </c>
      <c r="B141" s="211" t="s">
        <v>63</v>
      </c>
      <c r="C141" s="301">
        <v>1</v>
      </c>
      <c r="D141" s="224">
        <v>10</v>
      </c>
      <c r="E141" s="266">
        <v>0</v>
      </c>
      <c r="F141" s="120">
        <v>0</v>
      </c>
      <c r="G141" s="276">
        <v>0</v>
      </c>
      <c r="H141" s="276">
        <v>0</v>
      </c>
      <c r="I141" s="120">
        <v>0</v>
      </c>
      <c r="J141" s="120">
        <v>0</v>
      </c>
      <c r="K141" s="223">
        <f t="shared" si="8"/>
        <v>1</v>
      </c>
      <c r="L141" s="224">
        <f t="shared" si="9"/>
        <v>10</v>
      </c>
      <c r="M141" s="304"/>
      <c r="N141" s="262"/>
      <c r="O141" s="262"/>
      <c r="P141" s="262"/>
      <c r="Q141" s="262"/>
      <c r="R141" s="262"/>
      <c r="S141" s="262"/>
    </row>
    <row r="142" spans="1:19" x14ac:dyDescent="0.25">
      <c r="A142" s="210">
        <v>5203</v>
      </c>
      <c r="B142" s="211" t="s">
        <v>119</v>
      </c>
      <c r="C142" s="301">
        <v>3</v>
      </c>
      <c r="D142" s="224">
        <v>5</v>
      </c>
      <c r="E142" s="266">
        <v>0</v>
      </c>
      <c r="F142" s="120">
        <v>0</v>
      </c>
      <c r="G142" s="276">
        <v>0</v>
      </c>
      <c r="H142" s="276">
        <v>0</v>
      </c>
      <c r="I142" s="120">
        <v>0</v>
      </c>
      <c r="J142" s="120">
        <v>0</v>
      </c>
      <c r="K142" s="223">
        <f t="shared" si="8"/>
        <v>3</v>
      </c>
      <c r="L142" s="224">
        <f t="shared" si="9"/>
        <v>5</v>
      </c>
      <c r="M142" s="304"/>
      <c r="N142" s="262"/>
      <c r="O142" s="262"/>
      <c r="P142" s="262"/>
      <c r="Q142" s="262"/>
      <c r="R142" s="262"/>
      <c r="S142" s="262"/>
    </row>
    <row r="143" spans="1:19" x14ac:dyDescent="0.25">
      <c r="A143" s="210">
        <v>5204</v>
      </c>
      <c r="B143" s="211" t="s">
        <v>145</v>
      </c>
      <c r="C143" s="301">
        <v>0</v>
      </c>
      <c r="D143" s="224">
        <v>0</v>
      </c>
      <c r="E143" s="266">
        <v>0</v>
      </c>
      <c r="F143" s="120">
        <v>0</v>
      </c>
      <c r="G143" s="276">
        <v>0</v>
      </c>
      <c r="H143" s="276">
        <v>0</v>
      </c>
      <c r="I143" s="120">
        <v>0</v>
      </c>
      <c r="J143" s="120">
        <v>0</v>
      </c>
      <c r="K143" s="223">
        <f t="shared" si="8"/>
        <v>0</v>
      </c>
      <c r="L143" s="224">
        <f t="shared" si="9"/>
        <v>0</v>
      </c>
      <c r="M143" s="304"/>
      <c r="N143" s="262"/>
      <c r="O143" s="262"/>
      <c r="P143" s="262"/>
      <c r="Q143" s="262"/>
      <c r="R143" s="262"/>
      <c r="S143" s="262"/>
    </row>
    <row r="144" spans="1:19" x14ac:dyDescent="0.25">
      <c r="A144" s="210">
        <v>5205</v>
      </c>
      <c r="B144" s="211" t="s">
        <v>120</v>
      </c>
      <c r="C144" s="301">
        <v>10</v>
      </c>
      <c r="D144" s="224">
        <v>0</v>
      </c>
      <c r="E144" s="266">
        <v>0</v>
      </c>
      <c r="F144" s="120">
        <v>0</v>
      </c>
      <c r="G144" s="276">
        <v>0</v>
      </c>
      <c r="H144" s="276">
        <v>0</v>
      </c>
      <c r="I144" s="120">
        <v>0</v>
      </c>
      <c r="J144" s="120">
        <v>0</v>
      </c>
      <c r="K144" s="223">
        <f t="shared" si="8"/>
        <v>10</v>
      </c>
      <c r="L144" s="224">
        <f t="shared" si="9"/>
        <v>0</v>
      </c>
      <c r="M144" s="304"/>
      <c r="N144" s="262"/>
      <c r="O144" s="262"/>
      <c r="P144" s="262"/>
      <c r="Q144" s="262"/>
      <c r="R144" s="262"/>
      <c r="S144" s="262"/>
    </row>
    <row r="145" spans="1:19" x14ac:dyDescent="0.25">
      <c r="A145" s="210">
        <v>5206</v>
      </c>
      <c r="B145" s="211" t="s">
        <v>55</v>
      </c>
      <c r="C145" s="301">
        <v>58</v>
      </c>
      <c r="D145" s="224">
        <v>5</v>
      </c>
      <c r="E145" s="266">
        <v>0</v>
      </c>
      <c r="F145" s="120">
        <v>0</v>
      </c>
      <c r="G145" s="276">
        <v>0</v>
      </c>
      <c r="H145" s="276">
        <v>0</v>
      </c>
      <c r="I145" s="120">
        <v>0</v>
      </c>
      <c r="J145" s="120">
        <v>0</v>
      </c>
      <c r="K145" s="223">
        <f t="shared" si="8"/>
        <v>58</v>
      </c>
      <c r="L145" s="224">
        <f t="shared" si="9"/>
        <v>5</v>
      </c>
      <c r="M145" s="304"/>
      <c r="N145" s="262"/>
      <c r="O145" s="262"/>
      <c r="P145" s="262"/>
      <c r="Q145" s="262"/>
      <c r="R145" s="262"/>
      <c r="S145" s="262"/>
    </row>
    <row r="146" spans="1:19" x14ac:dyDescent="0.25">
      <c r="A146" s="210">
        <v>5207</v>
      </c>
      <c r="B146" s="211" t="s">
        <v>65</v>
      </c>
      <c r="C146" s="301">
        <v>0</v>
      </c>
      <c r="D146" s="224">
        <v>1</v>
      </c>
      <c r="E146" s="266">
        <v>0</v>
      </c>
      <c r="F146" s="120">
        <v>0</v>
      </c>
      <c r="G146" s="276">
        <v>0</v>
      </c>
      <c r="H146" s="276">
        <v>0</v>
      </c>
      <c r="I146" s="120">
        <v>0</v>
      </c>
      <c r="J146" s="120">
        <v>0</v>
      </c>
      <c r="K146" s="223">
        <f t="shared" si="8"/>
        <v>0</v>
      </c>
      <c r="L146" s="224">
        <f t="shared" si="9"/>
        <v>1</v>
      </c>
      <c r="M146" s="304"/>
      <c r="N146" s="262"/>
      <c r="O146" s="262"/>
      <c r="P146" s="262"/>
      <c r="Q146" s="262"/>
      <c r="R146" s="262"/>
      <c r="S146" s="262"/>
    </row>
    <row r="147" spans="1:19" x14ac:dyDescent="0.25">
      <c r="A147" s="210">
        <v>5208</v>
      </c>
      <c r="B147" s="211" t="s">
        <v>146</v>
      </c>
      <c r="C147" s="301">
        <v>0</v>
      </c>
      <c r="D147" s="224">
        <v>0</v>
      </c>
      <c r="E147" s="266">
        <v>0</v>
      </c>
      <c r="F147" s="120">
        <v>0</v>
      </c>
      <c r="G147" s="276">
        <v>0</v>
      </c>
      <c r="H147" s="276">
        <v>0</v>
      </c>
      <c r="I147" s="120">
        <v>0</v>
      </c>
      <c r="J147" s="120">
        <v>0</v>
      </c>
      <c r="K147" s="223">
        <f t="shared" si="8"/>
        <v>0</v>
      </c>
      <c r="L147" s="224">
        <f t="shared" si="9"/>
        <v>0</v>
      </c>
      <c r="M147" s="304"/>
      <c r="N147" s="262"/>
      <c r="O147" s="262"/>
      <c r="P147" s="262"/>
      <c r="Q147" s="262"/>
      <c r="R147" s="262"/>
      <c r="S147" s="262"/>
    </row>
    <row r="148" spans="1:19" x14ac:dyDescent="0.25">
      <c r="A148" s="210">
        <v>5209</v>
      </c>
      <c r="B148" s="211" t="s">
        <v>147</v>
      </c>
      <c r="C148" s="301">
        <v>9</v>
      </c>
      <c r="D148" s="224">
        <v>4</v>
      </c>
      <c r="E148" s="266">
        <v>0</v>
      </c>
      <c r="F148" s="120">
        <v>0</v>
      </c>
      <c r="G148" s="276">
        <v>0</v>
      </c>
      <c r="H148" s="276">
        <v>0</v>
      </c>
      <c r="I148" s="120">
        <v>0</v>
      </c>
      <c r="J148" s="120">
        <v>0</v>
      </c>
      <c r="K148" s="223">
        <f t="shared" si="8"/>
        <v>9</v>
      </c>
      <c r="L148" s="224">
        <f t="shared" si="9"/>
        <v>4</v>
      </c>
      <c r="M148" s="304"/>
      <c r="N148" s="262"/>
      <c r="O148" s="262"/>
      <c r="P148" s="262"/>
      <c r="Q148" s="262"/>
      <c r="R148" s="262"/>
      <c r="S148" s="262"/>
    </row>
    <row r="149" spans="1:19" x14ac:dyDescent="0.25">
      <c r="A149" s="210">
        <v>5210</v>
      </c>
      <c r="B149" s="211" t="s">
        <v>148</v>
      </c>
      <c r="C149" s="301">
        <v>0</v>
      </c>
      <c r="D149" s="224">
        <v>0</v>
      </c>
      <c r="E149" s="266">
        <v>0</v>
      </c>
      <c r="F149" s="120">
        <v>0</v>
      </c>
      <c r="G149" s="276">
        <v>0</v>
      </c>
      <c r="H149" s="276">
        <v>0</v>
      </c>
      <c r="I149" s="120">
        <v>0</v>
      </c>
      <c r="J149" s="120">
        <v>0</v>
      </c>
      <c r="K149" s="223">
        <f t="shared" si="8"/>
        <v>0</v>
      </c>
      <c r="L149" s="224">
        <f t="shared" si="9"/>
        <v>0</v>
      </c>
      <c r="M149" s="304"/>
      <c r="N149" s="262"/>
      <c r="O149" s="262"/>
      <c r="P149" s="262"/>
      <c r="Q149" s="262"/>
      <c r="R149" s="262"/>
      <c r="S149" s="262"/>
    </row>
    <row r="150" spans="1:19" x14ac:dyDescent="0.25">
      <c r="A150" s="210">
        <v>5211</v>
      </c>
      <c r="B150" s="211" t="s">
        <v>149</v>
      </c>
      <c r="C150" s="301">
        <v>0</v>
      </c>
      <c r="D150" s="224">
        <v>0</v>
      </c>
      <c r="E150" s="266">
        <v>0</v>
      </c>
      <c r="F150" s="120">
        <v>0</v>
      </c>
      <c r="G150" s="276">
        <v>0</v>
      </c>
      <c r="H150" s="276">
        <v>0</v>
      </c>
      <c r="I150" s="120">
        <v>0</v>
      </c>
      <c r="J150" s="120">
        <v>0</v>
      </c>
      <c r="K150" s="223">
        <f t="shared" si="8"/>
        <v>0</v>
      </c>
      <c r="L150" s="224">
        <f t="shared" si="9"/>
        <v>0</v>
      </c>
      <c r="M150" s="304"/>
      <c r="N150" s="262"/>
      <c r="O150" s="262"/>
      <c r="P150" s="262"/>
      <c r="Q150" s="262"/>
      <c r="R150" s="262"/>
      <c r="S150" s="262"/>
    </row>
    <row r="151" spans="1:19" x14ac:dyDescent="0.25">
      <c r="A151" s="210">
        <v>5212</v>
      </c>
      <c r="B151" s="211" t="s">
        <v>150</v>
      </c>
      <c r="C151" s="301">
        <v>0</v>
      </c>
      <c r="D151" s="224">
        <v>0</v>
      </c>
      <c r="E151" s="266">
        <v>0</v>
      </c>
      <c r="F151" s="120">
        <v>0</v>
      </c>
      <c r="G151" s="276">
        <v>0</v>
      </c>
      <c r="H151" s="276">
        <v>0</v>
      </c>
      <c r="I151" s="120">
        <v>0</v>
      </c>
      <c r="J151" s="120">
        <v>0</v>
      </c>
      <c r="K151" s="223">
        <f t="shared" si="8"/>
        <v>0</v>
      </c>
      <c r="L151" s="224">
        <f t="shared" si="9"/>
        <v>0</v>
      </c>
      <c r="M151" s="304"/>
      <c r="N151" s="262"/>
      <c r="O151" s="262"/>
      <c r="P151" s="262"/>
      <c r="Q151" s="262"/>
      <c r="R151" s="262"/>
      <c r="S151" s="262"/>
    </row>
    <row r="152" spans="1:19" x14ac:dyDescent="0.25">
      <c r="A152" s="210">
        <v>5213</v>
      </c>
      <c r="B152" s="211" t="s">
        <v>151</v>
      </c>
      <c r="C152" s="301">
        <v>0</v>
      </c>
      <c r="D152" s="224">
        <v>0</v>
      </c>
      <c r="E152" s="266">
        <v>0</v>
      </c>
      <c r="F152" s="120">
        <v>0</v>
      </c>
      <c r="G152" s="276">
        <v>0</v>
      </c>
      <c r="H152" s="276">
        <v>0</v>
      </c>
      <c r="I152" s="120">
        <v>0</v>
      </c>
      <c r="J152" s="120">
        <v>0</v>
      </c>
      <c r="K152" s="223">
        <f t="shared" si="8"/>
        <v>0</v>
      </c>
      <c r="L152" s="224">
        <f t="shared" si="9"/>
        <v>0</v>
      </c>
      <c r="M152" s="304"/>
      <c r="N152" s="262"/>
      <c r="O152" s="262"/>
      <c r="P152" s="262"/>
      <c r="Q152" s="262"/>
      <c r="R152" s="262"/>
      <c r="S152" s="262"/>
    </row>
    <row r="153" spans="1:19" x14ac:dyDescent="0.25">
      <c r="A153" s="210">
        <v>5214</v>
      </c>
      <c r="B153" s="211" t="s">
        <v>59</v>
      </c>
      <c r="C153" s="301">
        <v>0</v>
      </c>
      <c r="D153" s="224">
        <v>0</v>
      </c>
      <c r="E153" s="266">
        <v>0</v>
      </c>
      <c r="F153" s="120">
        <v>0</v>
      </c>
      <c r="G153" s="276">
        <v>0</v>
      </c>
      <c r="H153" s="276">
        <v>0</v>
      </c>
      <c r="I153" s="120">
        <v>0</v>
      </c>
      <c r="J153" s="120">
        <v>0</v>
      </c>
      <c r="K153" s="223">
        <f t="shared" si="8"/>
        <v>0</v>
      </c>
      <c r="L153" s="224">
        <f t="shared" si="9"/>
        <v>0</v>
      </c>
      <c r="M153" s="304"/>
      <c r="N153" s="262"/>
      <c r="O153" s="262"/>
      <c r="P153" s="262"/>
      <c r="Q153" s="262"/>
      <c r="R153" s="262"/>
      <c r="S153" s="262"/>
    </row>
    <row r="154" spans="1:19" x14ac:dyDescent="0.25">
      <c r="A154" s="210">
        <v>5215</v>
      </c>
      <c r="B154" s="211" t="s">
        <v>152</v>
      </c>
      <c r="C154" s="301">
        <v>0</v>
      </c>
      <c r="D154" s="224">
        <v>0</v>
      </c>
      <c r="E154" s="266">
        <v>0</v>
      </c>
      <c r="F154" s="120">
        <v>0</v>
      </c>
      <c r="G154" s="276">
        <v>0</v>
      </c>
      <c r="H154" s="276">
        <v>0</v>
      </c>
      <c r="I154" s="120">
        <v>0</v>
      </c>
      <c r="J154" s="120">
        <v>0</v>
      </c>
      <c r="K154" s="223">
        <f t="shared" si="8"/>
        <v>0</v>
      </c>
      <c r="L154" s="224">
        <f t="shared" si="9"/>
        <v>0</v>
      </c>
      <c r="M154" s="304"/>
      <c r="N154" s="262"/>
      <c r="O154" s="262"/>
      <c r="P154" s="262"/>
      <c r="Q154" s="262"/>
      <c r="R154" s="262"/>
      <c r="S154" s="262"/>
    </row>
    <row r="155" spans="1:19" x14ac:dyDescent="0.25">
      <c r="A155" s="210">
        <v>5216</v>
      </c>
      <c r="B155" s="211" t="s">
        <v>153</v>
      </c>
      <c r="C155" s="301">
        <v>1</v>
      </c>
      <c r="D155" s="224">
        <v>0</v>
      </c>
      <c r="E155" s="266">
        <v>0</v>
      </c>
      <c r="F155" s="120">
        <v>0</v>
      </c>
      <c r="G155" s="276">
        <v>0</v>
      </c>
      <c r="H155" s="276">
        <v>0</v>
      </c>
      <c r="I155" s="120">
        <v>0</v>
      </c>
      <c r="J155" s="120">
        <v>0</v>
      </c>
      <c r="K155" s="223">
        <f t="shared" si="8"/>
        <v>1</v>
      </c>
      <c r="L155" s="224">
        <f t="shared" si="9"/>
        <v>0</v>
      </c>
      <c r="M155" s="304"/>
      <c r="N155" s="262"/>
      <c r="O155" s="262"/>
      <c r="P155" s="262"/>
      <c r="Q155" s="262"/>
      <c r="R155" s="262"/>
      <c r="S155" s="262"/>
    </row>
    <row r="156" spans="1:19" x14ac:dyDescent="0.25">
      <c r="A156" s="210">
        <v>5217</v>
      </c>
      <c r="B156" s="211" t="s">
        <v>154</v>
      </c>
      <c r="C156" s="301">
        <v>5</v>
      </c>
      <c r="D156" s="224">
        <v>3</v>
      </c>
      <c r="E156" s="266">
        <v>0</v>
      </c>
      <c r="F156" s="120">
        <v>0</v>
      </c>
      <c r="G156" s="276">
        <v>0</v>
      </c>
      <c r="H156" s="276">
        <v>0</v>
      </c>
      <c r="I156" s="120">
        <v>0</v>
      </c>
      <c r="J156" s="120">
        <v>0</v>
      </c>
      <c r="K156" s="223">
        <f t="shared" si="8"/>
        <v>5</v>
      </c>
      <c r="L156" s="224">
        <f t="shared" si="9"/>
        <v>3</v>
      </c>
      <c r="M156" s="304"/>
      <c r="N156" s="262"/>
      <c r="O156" s="262"/>
      <c r="P156" s="262"/>
      <c r="Q156" s="262"/>
      <c r="R156" s="262"/>
      <c r="S156" s="262"/>
    </row>
    <row r="157" spans="1:19" x14ac:dyDescent="0.25">
      <c r="A157" s="210">
        <v>5299</v>
      </c>
      <c r="B157" s="211" t="s">
        <v>155</v>
      </c>
      <c r="C157" s="301">
        <v>0</v>
      </c>
      <c r="D157" s="224">
        <v>0</v>
      </c>
      <c r="E157" s="266">
        <v>0</v>
      </c>
      <c r="F157" s="120">
        <v>0</v>
      </c>
      <c r="G157" s="276">
        <v>0</v>
      </c>
      <c r="H157" s="276">
        <v>0</v>
      </c>
      <c r="I157" s="120">
        <v>0</v>
      </c>
      <c r="J157" s="120">
        <v>0</v>
      </c>
      <c r="K157" s="223">
        <f t="shared" si="8"/>
        <v>0</v>
      </c>
      <c r="L157" s="224">
        <f t="shared" si="9"/>
        <v>0</v>
      </c>
      <c r="M157" s="304"/>
      <c r="N157" s="262"/>
      <c r="O157" s="262"/>
      <c r="P157" s="262"/>
      <c r="Q157" s="262"/>
      <c r="R157" s="262"/>
      <c r="S157" s="262"/>
    </row>
    <row r="158" spans="1:19" x14ac:dyDescent="0.25">
      <c r="A158" s="210">
        <v>5301</v>
      </c>
      <c r="B158" s="211" t="s">
        <v>156</v>
      </c>
      <c r="C158" s="301">
        <v>0</v>
      </c>
      <c r="D158" s="224">
        <v>0</v>
      </c>
      <c r="E158" s="266">
        <v>0</v>
      </c>
      <c r="F158" s="120">
        <v>0</v>
      </c>
      <c r="G158" s="276">
        <v>0</v>
      </c>
      <c r="H158" s="276">
        <v>0</v>
      </c>
      <c r="I158" s="120">
        <v>0</v>
      </c>
      <c r="J158" s="120">
        <v>0</v>
      </c>
      <c r="K158" s="223">
        <f t="shared" si="8"/>
        <v>0</v>
      </c>
      <c r="L158" s="224">
        <f t="shared" si="9"/>
        <v>0</v>
      </c>
      <c r="M158" s="304"/>
      <c r="N158" s="262"/>
      <c r="O158" s="262"/>
      <c r="P158" s="262"/>
      <c r="Q158" s="262"/>
      <c r="R158" s="262"/>
      <c r="S158" s="262"/>
    </row>
    <row r="159" spans="1:19" x14ac:dyDescent="0.25">
      <c r="A159" s="210">
        <v>5302</v>
      </c>
      <c r="B159" s="211" t="s">
        <v>157</v>
      </c>
      <c r="C159" s="301">
        <v>0</v>
      </c>
      <c r="D159" s="224">
        <v>0</v>
      </c>
      <c r="E159" s="266">
        <v>0</v>
      </c>
      <c r="F159" s="120">
        <v>0</v>
      </c>
      <c r="G159" s="276">
        <v>0</v>
      </c>
      <c r="H159" s="276">
        <v>0</v>
      </c>
      <c r="I159" s="120">
        <v>0</v>
      </c>
      <c r="J159" s="120">
        <v>0</v>
      </c>
      <c r="K159" s="223">
        <f t="shared" si="8"/>
        <v>0</v>
      </c>
      <c r="L159" s="224">
        <f t="shared" si="9"/>
        <v>0</v>
      </c>
      <c r="M159" s="304"/>
      <c r="N159" s="262"/>
      <c r="O159" s="262"/>
      <c r="P159" s="262"/>
      <c r="Q159" s="262"/>
      <c r="R159" s="262"/>
      <c r="S159" s="262"/>
    </row>
    <row r="160" spans="1:19" x14ac:dyDescent="0.25">
      <c r="A160" s="210">
        <v>5303</v>
      </c>
      <c r="B160" s="211" t="s">
        <v>158</v>
      </c>
      <c r="C160" s="301">
        <v>0</v>
      </c>
      <c r="D160" s="224">
        <v>0</v>
      </c>
      <c r="E160" s="266">
        <v>0</v>
      </c>
      <c r="F160" s="120">
        <v>0</v>
      </c>
      <c r="G160" s="276">
        <v>0</v>
      </c>
      <c r="H160" s="276">
        <v>0</v>
      </c>
      <c r="I160" s="120">
        <v>0</v>
      </c>
      <c r="J160" s="120">
        <v>0</v>
      </c>
      <c r="K160" s="223">
        <f t="shared" ref="K160:K191" si="10">C160+E160-G160-I160</f>
        <v>0</v>
      </c>
      <c r="L160" s="224">
        <f t="shared" ref="L160:L191" si="11">D160+F160-H160-J160</f>
        <v>0</v>
      </c>
      <c r="M160" s="304"/>
      <c r="N160" s="262"/>
      <c r="O160" s="262"/>
      <c r="P160" s="262"/>
      <c r="Q160" s="262"/>
      <c r="R160" s="262"/>
      <c r="S160" s="262"/>
    </row>
    <row r="161" spans="1:19" x14ac:dyDescent="0.25">
      <c r="A161" s="210">
        <v>5304</v>
      </c>
      <c r="B161" s="211" t="s">
        <v>159</v>
      </c>
      <c r="C161" s="301">
        <v>0</v>
      </c>
      <c r="D161" s="224">
        <v>0</v>
      </c>
      <c r="E161" s="266">
        <v>0</v>
      </c>
      <c r="F161" s="120">
        <v>0</v>
      </c>
      <c r="G161" s="276">
        <v>0</v>
      </c>
      <c r="H161" s="276">
        <v>0</v>
      </c>
      <c r="I161" s="120">
        <v>0</v>
      </c>
      <c r="J161" s="120">
        <v>0</v>
      </c>
      <c r="K161" s="223">
        <f t="shared" si="10"/>
        <v>0</v>
      </c>
      <c r="L161" s="224">
        <f t="shared" si="11"/>
        <v>0</v>
      </c>
      <c r="M161" s="304"/>
      <c r="N161" s="262"/>
      <c r="O161" s="262"/>
      <c r="P161" s="262"/>
      <c r="Q161" s="262"/>
      <c r="R161" s="262"/>
      <c r="S161" s="262"/>
    </row>
    <row r="162" spans="1:19" x14ac:dyDescent="0.25">
      <c r="A162" s="210">
        <v>5305</v>
      </c>
      <c r="B162" s="211" t="s">
        <v>160</v>
      </c>
      <c r="C162" s="301">
        <v>0</v>
      </c>
      <c r="D162" s="224">
        <v>0</v>
      </c>
      <c r="E162" s="266">
        <v>0</v>
      </c>
      <c r="F162" s="120">
        <v>0</v>
      </c>
      <c r="G162" s="276">
        <v>0</v>
      </c>
      <c r="H162" s="276">
        <v>0</v>
      </c>
      <c r="I162" s="120">
        <v>0</v>
      </c>
      <c r="J162" s="120">
        <v>0</v>
      </c>
      <c r="K162" s="223">
        <f t="shared" si="10"/>
        <v>0</v>
      </c>
      <c r="L162" s="224">
        <f t="shared" si="11"/>
        <v>0</v>
      </c>
      <c r="M162" s="304"/>
      <c r="N162" s="262"/>
      <c r="O162" s="262"/>
      <c r="P162" s="262"/>
      <c r="Q162" s="262"/>
      <c r="R162" s="262"/>
      <c r="S162" s="262"/>
    </row>
    <row r="163" spans="1:19" x14ac:dyDescent="0.25">
      <c r="A163" s="210">
        <v>5306</v>
      </c>
      <c r="B163" s="211" t="s">
        <v>161</v>
      </c>
      <c r="C163" s="301">
        <v>0</v>
      </c>
      <c r="D163" s="224">
        <v>0</v>
      </c>
      <c r="E163" s="266">
        <v>0</v>
      </c>
      <c r="F163" s="120">
        <v>0</v>
      </c>
      <c r="G163" s="276">
        <v>0</v>
      </c>
      <c r="H163" s="276">
        <v>0</v>
      </c>
      <c r="I163" s="120">
        <v>0</v>
      </c>
      <c r="J163" s="120">
        <v>0</v>
      </c>
      <c r="K163" s="223">
        <f t="shared" si="10"/>
        <v>0</v>
      </c>
      <c r="L163" s="224">
        <f t="shared" si="11"/>
        <v>0</v>
      </c>
      <c r="M163" s="304"/>
      <c r="N163" s="262"/>
      <c r="O163" s="262"/>
      <c r="P163" s="262"/>
      <c r="Q163" s="262"/>
      <c r="R163" s="262"/>
      <c r="S163" s="262"/>
    </row>
    <row r="164" spans="1:19" x14ac:dyDescent="0.25">
      <c r="A164" s="210">
        <v>5307</v>
      </c>
      <c r="B164" s="211" t="s">
        <v>162</v>
      </c>
      <c r="C164" s="301">
        <v>0</v>
      </c>
      <c r="D164" s="224">
        <v>0</v>
      </c>
      <c r="E164" s="266">
        <v>0</v>
      </c>
      <c r="F164" s="120">
        <v>0</v>
      </c>
      <c r="G164" s="276">
        <v>0</v>
      </c>
      <c r="H164" s="276">
        <v>0</v>
      </c>
      <c r="I164" s="120">
        <v>0</v>
      </c>
      <c r="J164" s="120">
        <v>0</v>
      </c>
      <c r="K164" s="223">
        <f t="shared" si="10"/>
        <v>0</v>
      </c>
      <c r="L164" s="224">
        <f t="shared" si="11"/>
        <v>0</v>
      </c>
      <c r="M164" s="304"/>
      <c r="N164" s="262"/>
      <c r="O164" s="262"/>
      <c r="P164" s="262"/>
      <c r="Q164" s="262"/>
      <c r="R164" s="262"/>
      <c r="S164" s="262"/>
    </row>
    <row r="165" spans="1:19" x14ac:dyDescent="0.25">
      <c r="A165" s="210">
        <v>5308</v>
      </c>
      <c r="B165" s="211" t="s">
        <v>163</v>
      </c>
      <c r="C165" s="301">
        <v>1</v>
      </c>
      <c r="D165" s="224">
        <v>0</v>
      </c>
      <c r="E165" s="266">
        <v>0</v>
      </c>
      <c r="F165" s="120">
        <v>0</v>
      </c>
      <c r="G165" s="276">
        <v>0</v>
      </c>
      <c r="H165" s="276">
        <v>0</v>
      </c>
      <c r="I165" s="120">
        <v>0</v>
      </c>
      <c r="J165" s="120">
        <v>0</v>
      </c>
      <c r="K165" s="223">
        <f t="shared" si="10"/>
        <v>1</v>
      </c>
      <c r="L165" s="224">
        <f t="shared" si="11"/>
        <v>0</v>
      </c>
      <c r="M165" s="304"/>
      <c r="N165" s="262"/>
      <c r="O165" s="262"/>
      <c r="P165" s="262"/>
      <c r="Q165" s="262"/>
      <c r="R165" s="262"/>
      <c r="S165" s="262"/>
    </row>
    <row r="166" spans="1:19" x14ac:dyDescent="0.25">
      <c r="A166" s="210">
        <v>5309</v>
      </c>
      <c r="B166" s="211" t="s">
        <v>164</v>
      </c>
      <c r="C166" s="301">
        <v>2</v>
      </c>
      <c r="D166" s="224">
        <v>0</v>
      </c>
      <c r="E166" s="266">
        <v>0</v>
      </c>
      <c r="F166" s="120">
        <v>0</v>
      </c>
      <c r="G166" s="276">
        <v>0</v>
      </c>
      <c r="H166" s="276">
        <v>0</v>
      </c>
      <c r="I166" s="120">
        <v>0</v>
      </c>
      <c r="J166" s="120">
        <v>0</v>
      </c>
      <c r="K166" s="223">
        <f t="shared" si="10"/>
        <v>2</v>
      </c>
      <c r="L166" s="224">
        <f t="shared" si="11"/>
        <v>0</v>
      </c>
      <c r="M166" s="304"/>
      <c r="N166" s="262"/>
      <c r="O166" s="262"/>
      <c r="P166" s="262"/>
      <c r="Q166" s="262"/>
      <c r="R166" s="262"/>
      <c r="S166" s="262"/>
    </row>
    <row r="167" spans="1:19" x14ac:dyDescent="0.25">
      <c r="A167" s="210">
        <v>5310</v>
      </c>
      <c r="B167" s="211" t="s">
        <v>86</v>
      </c>
      <c r="C167" s="301">
        <v>0</v>
      </c>
      <c r="D167" s="224">
        <v>0</v>
      </c>
      <c r="E167" s="266">
        <v>0</v>
      </c>
      <c r="F167" s="120">
        <v>0</v>
      </c>
      <c r="G167" s="276">
        <v>0</v>
      </c>
      <c r="H167" s="276">
        <v>0</v>
      </c>
      <c r="I167" s="120">
        <v>0</v>
      </c>
      <c r="J167" s="120">
        <v>0</v>
      </c>
      <c r="K167" s="223">
        <f t="shared" si="10"/>
        <v>0</v>
      </c>
      <c r="L167" s="224">
        <f t="shared" si="11"/>
        <v>0</v>
      </c>
      <c r="M167" s="304"/>
      <c r="N167" s="262"/>
      <c r="O167" s="262"/>
      <c r="P167" s="262"/>
      <c r="Q167" s="262"/>
      <c r="R167" s="262"/>
      <c r="S167" s="262"/>
    </row>
    <row r="168" spans="1:19" x14ac:dyDescent="0.25">
      <c r="A168" s="210">
        <v>5311</v>
      </c>
      <c r="B168" s="211" t="s">
        <v>165</v>
      </c>
      <c r="C168" s="301">
        <v>1</v>
      </c>
      <c r="D168" s="224">
        <v>0</v>
      </c>
      <c r="E168" s="266">
        <v>0</v>
      </c>
      <c r="F168" s="120">
        <v>0</v>
      </c>
      <c r="G168" s="276">
        <v>0</v>
      </c>
      <c r="H168" s="276">
        <v>0</v>
      </c>
      <c r="I168" s="120">
        <v>0</v>
      </c>
      <c r="J168" s="120">
        <v>0</v>
      </c>
      <c r="K168" s="223">
        <f t="shared" si="10"/>
        <v>1</v>
      </c>
      <c r="L168" s="224">
        <f t="shared" si="11"/>
        <v>0</v>
      </c>
      <c r="M168" s="304"/>
      <c r="N168" s="262"/>
      <c r="O168" s="262"/>
      <c r="P168" s="262"/>
      <c r="Q168" s="262"/>
      <c r="R168" s="262"/>
      <c r="S168" s="262"/>
    </row>
    <row r="169" spans="1:19" x14ac:dyDescent="0.25">
      <c r="A169" s="210">
        <v>5399</v>
      </c>
      <c r="B169" s="211" t="s">
        <v>166</v>
      </c>
      <c r="C169" s="301">
        <v>0</v>
      </c>
      <c r="D169" s="224">
        <v>0</v>
      </c>
      <c r="E169" s="266">
        <v>0</v>
      </c>
      <c r="F169" s="120">
        <v>0</v>
      </c>
      <c r="G169" s="276">
        <v>0</v>
      </c>
      <c r="H169" s="276">
        <v>0</v>
      </c>
      <c r="I169" s="120">
        <v>0</v>
      </c>
      <c r="J169" s="120">
        <v>0</v>
      </c>
      <c r="K169" s="223">
        <f t="shared" si="10"/>
        <v>0</v>
      </c>
      <c r="L169" s="224">
        <f t="shared" si="11"/>
        <v>0</v>
      </c>
      <c r="M169" s="304"/>
      <c r="N169" s="262"/>
      <c r="O169" s="262"/>
      <c r="P169" s="262"/>
      <c r="Q169" s="262"/>
      <c r="R169" s="262"/>
      <c r="S169" s="262"/>
    </row>
    <row r="170" spans="1:19" x14ac:dyDescent="0.25">
      <c r="A170" s="210">
        <v>5401</v>
      </c>
      <c r="B170" s="211" t="s">
        <v>167</v>
      </c>
      <c r="C170" s="301">
        <v>0</v>
      </c>
      <c r="D170" s="224">
        <v>0</v>
      </c>
      <c r="E170" s="266">
        <v>0</v>
      </c>
      <c r="F170" s="120">
        <v>0</v>
      </c>
      <c r="G170" s="276">
        <v>0</v>
      </c>
      <c r="H170" s="276">
        <v>0</v>
      </c>
      <c r="I170" s="120">
        <v>0</v>
      </c>
      <c r="J170" s="120">
        <v>0</v>
      </c>
      <c r="K170" s="223">
        <f t="shared" si="10"/>
        <v>0</v>
      </c>
      <c r="L170" s="224">
        <f t="shared" si="11"/>
        <v>0</v>
      </c>
      <c r="M170" s="304"/>
      <c r="N170" s="262"/>
      <c r="O170" s="262"/>
      <c r="P170" s="262"/>
      <c r="Q170" s="262"/>
      <c r="R170" s="262"/>
      <c r="S170" s="262"/>
    </row>
    <row r="171" spans="1:19" x14ac:dyDescent="0.25">
      <c r="A171" s="210">
        <v>5402</v>
      </c>
      <c r="B171" s="211" t="s">
        <v>168</v>
      </c>
      <c r="C171" s="301">
        <v>0</v>
      </c>
      <c r="D171" s="224">
        <v>1</v>
      </c>
      <c r="E171" s="266">
        <v>0</v>
      </c>
      <c r="F171" s="120">
        <v>0</v>
      </c>
      <c r="G171" s="276">
        <v>0</v>
      </c>
      <c r="H171" s="276">
        <v>0</v>
      </c>
      <c r="I171" s="120">
        <v>0</v>
      </c>
      <c r="J171" s="120">
        <v>0</v>
      </c>
      <c r="K171" s="223">
        <f t="shared" si="10"/>
        <v>0</v>
      </c>
      <c r="L171" s="224">
        <f t="shared" si="11"/>
        <v>1</v>
      </c>
      <c r="M171" s="304"/>
      <c r="N171" s="262"/>
      <c r="O171" s="262"/>
      <c r="P171" s="262"/>
      <c r="Q171" s="262"/>
      <c r="R171" s="262"/>
      <c r="S171" s="262"/>
    </row>
    <row r="172" spans="1:19" x14ac:dyDescent="0.25">
      <c r="A172" s="210">
        <v>5403</v>
      </c>
      <c r="B172" s="211" t="s">
        <v>169</v>
      </c>
      <c r="C172" s="301">
        <v>1</v>
      </c>
      <c r="D172" s="224">
        <v>12</v>
      </c>
      <c r="E172" s="266">
        <v>0</v>
      </c>
      <c r="F172" s="120">
        <v>0</v>
      </c>
      <c r="G172" s="276">
        <v>0</v>
      </c>
      <c r="H172" s="276">
        <v>0</v>
      </c>
      <c r="I172" s="120">
        <v>0</v>
      </c>
      <c r="J172" s="120">
        <v>0</v>
      </c>
      <c r="K172" s="223">
        <f t="shared" si="10"/>
        <v>1</v>
      </c>
      <c r="L172" s="224">
        <f t="shared" si="11"/>
        <v>12</v>
      </c>
      <c r="M172" s="304"/>
      <c r="N172" s="262"/>
      <c r="O172" s="262"/>
      <c r="P172" s="262"/>
      <c r="Q172" s="262"/>
      <c r="R172" s="262"/>
      <c r="S172" s="262"/>
    </row>
    <row r="173" spans="1:19" x14ac:dyDescent="0.25">
      <c r="A173" s="210">
        <v>5404</v>
      </c>
      <c r="B173" s="211" t="s">
        <v>170</v>
      </c>
      <c r="C173" s="301">
        <v>4</v>
      </c>
      <c r="D173" s="224">
        <v>1</v>
      </c>
      <c r="E173" s="266">
        <v>0</v>
      </c>
      <c r="F173" s="120">
        <v>0</v>
      </c>
      <c r="G173" s="276">
        <v>0</v>
      </c>
      <c r="H173" s="276">
        <v>0</v>
      </c>
      <c r="I173" s="120">
        <v>0</v>
      </c>
      <c r="J173" s="120">
        <v>0</v>
      </c>
      <c r="K173" s="338">
        <f t="shared" si="10"/>
        <v>4</v>
      </c>
      <c r="L173" s="224">
        <f t="shared" si="11"/>
        <v>1</v>
      </c>
      <c r="M173" s="304"/>
      <c r="N173" s="262"/>
      <c r="O173" s="262"/>
      <c r="P173" s="262"/>
      <c r="Q173" s="262"/>
      <c r="R173" s="262"/>
      <c r="S173" s="262"/>
    </row>
    <row r="174" spans="1:19" x14ac:dyDescent="0.25">
      <c r="A174" s="210">
        <v>5405</v>
      </c>
      <c r="B174" s="211" t="s">
        <v>171</v>
      </c>
      <c r="C174" s="301">
        <v>0</v>
      </c>
      <c r="D174" s="224">
        <v>0</v>
      </c>
      <c r="E174" s="266">
        <v>0</v>
      </c>
      <c r="F174" s="120">
        <v>0</v>
      </c>
      <c r="G174" s="276">
        <v>0</v>
      </c>
      <c r="H174" s="276">
        <v>0</v>
      </c>
      <c r="I174" s="120">
        <v>0</v>
      </c>
      <c r="J174" s="120">
        <v>0</v>
      </c>
      <c r="K174" s="223">
        <f t="shared" si="10"/>
        <v>0</v>
      </c>
      <c r="L174" s="224">
        <f t="shared" si="11"/>
        <v>0</v>
      </c>
      <c r="M174" s="304"/>
      <c r="N174" s="262"/>
      <c r="O174" s="262"/>
      <c r="P174" s="262"/>
      <c r="Q174" s="262"/>
      <c r="R174" s="262"/>
      <c r="S174" s="262"/>
    </row>
    <row r="175" spans="1:19" x14ac:dyDescent="0.25">
      <c r="A175" s="210">
        <v>5406</v>
      </c>
      <c r="B175" s="211" t="s">
        <v>172</v>
      </c>
      <c r="C175" s="301">
        <v>0</v>
      </c>
      <c r="D175" s="224">
        <v>1</v>
      </c>
      <c r="E175" s="266">
        <v>0</v>
      </c>
      <c r="F175" s="120">
        <v>0</v>
      </c>
      <c r="G175" s="276">
        <v>0</v>
      </c>
      <c r="H175" s="276">
        <v>0</v>
      </c>
      <c r="I175" s="120">
        <v>0</v>
      </c>
      <c r="J175" s="120">
        <v>0</v>
      </c>
      <c r="K175" s="223">
        <f t="shared" si="10"/>
        <v>0</v>
      </c>
      <c r="L175" s="224">
        <f t="shared" si="11"/>
        <v>1</v>
      </c>
      <c r="M175" s="304"/>
      <c r="N175" s="262"/>
      <c r="O175" s="262"/>
      <c r="P175" s="262"/>
      <c r="Q175" s="262"/>
      <c r="R175" s="262"/>
      <c r="S175" s="262"/>
    </row>
    <row r="176" spans="1:19" x14ac:dyDescent="0.25">
      <c r="A176" s="210">
        <v>5407</v>
      </c>
      <c r="B176" s="211" t="s">
        <v>173</v>
      </c>
      <c r="C176" s="301">
        <v>34</v>
      </c>
      <c r="D176" s="224">
        <v>63</v>
      </c>
      <c r="E176" s="266">
        <v>0</v>
      </c>
      <c r="F176" s="120">
        <v>0</v>
      </c>
      <c r="G176" s="276">
        <v>0</v>
      </c>
      <c r="H176" s="276">
        <v>0</v>
      </c>
      <c r="I176" s="120">
        <v>0</v>
      </c>
      <c r="J176" s="120">
        <v>0</v>
      </c>
      <c r="K176" s="223">
        <f t="shared" si="10"/>
        <v>34</v>
      </c>
      <c r="L176" s="224">
        <f t="shared" si="11"/>
        <v>63</v>
      </c>
      <c r="M176" s="304"/>
      <c r="N176" s="262"/>
      <c r="O176" s="262"/>
      <c r="P176" s="262"/>
      <c r="Q176" s="262"/>
      <c r="R176" s="262"/>
      <c r="S176" s="262"/>
    </row>
    <row r="177" spans="1:19" x14ac:dyDescent="0.25">
      <c r="A177" s="210">
        <v>5408</v>
      </c>
      <c r="B177" s="211" t="s">
        <v>174</v>
      </c>
      <c r="C177" s="301">
        <v>2</v>
      </c>
      <c r="D177" s="224">
        <v>1</v>
      </c>
      <c r="E177" s="266">
        <v>0</v>
      </c>
      <c r="F177" s="120">
        <v>0</v>
      </c>
      <c r="G177" s="276">
        <v>0</v>
      </c>
      <c r="H177" s="276">
        <v>0</v>
      </c>
      <c r="I177" s="120">
        <v>0</v>
      </c>
      <c r="J177" s="120">
        <v>0</v>
      </c>
      <c r="K177" s="223">
        <f t="shared" si="10"/>
        <v>2</v>
      </c>
      <c r="L177" s="224">
        <f t="shared" si="11"/>
        <v>1</v>
      </c>
      <c r="M177" s="304"/>
      <c r="N177" s="262"/>
      <c r="O177" s="262"/>
      <c r="P177" s="262"/>
      <c r="Q177" s="262"/>
      <c r="R177" s="262"/>
      <c r="S177" s="262"/>
    </row>
    <row r="178" spans="1:19" x14ac:dyDescent="0.25">
      <c r="A178" s="210">
        <v>5409</v>
      </c>
      <c r="B178" s="211" t="s">
        <v>175</v>
      </c>
      <c r="C178" s="301">
        <v>0</v>
      </c>
      <c r="D178" s="224">
        <v>152</v>
      </c>
      <c r="E178" s="266">
        <v>0</v>
      </c>
      <c r="F178" s="120">
        <v>1</v>
      </c>
      <c r="G178" s="276">
        <v>0</v>
      </c>
      <c r="H178" s="276">
        <v>0</v>
      </c>
      <c r="I178" s="120">
        <v>0</v>
      </c>
      <c r="J178" s="120">
        <v>0</v>
      </c>
      <c r="K178" s="223">
        <f t="shared" si="10"/>
        <v>0</v>
      </c>
      <c r="L178" s="224">
        <f t="shared" si="11"/>
        <v>153</v>
      </c>
      <c r="M178" s="304"/>
      <c r="N178" s="262"/>
      <c r="O178" s="262"/>
      <c r="P178" s="262"/>
      <c r="Q178" s="262"/>
      <c r="R178" s="262"/>
      <c r="S178" s="262"/>
    </row>
    <row r="179" spans="1:19" x14ac:dyDescent="0.25">
      <c r="A179" s="210">
        <v>5499</v>
      </c>
      <c r="B179" s="211" t="s">
        <v>176</v>
      </c>
      <c r="C179" s="301">
        <v>8</v>
      </c>
      <c r="D179" s="224">
        <v>18</v>
      </c>
      <c r="E179" s="266">
        <v>0</v>
      </c>
      <c r="F179" s="120">
        <v>0</v>
      </c>
      <c r="G179" s="276">
        <v>0</v>
      </c>
      <c r="H179" s="276">
        <v>0</v>
      </c>
      <c r="I179" s="120">
        <v>0</v>
      </c>
      <c r="J179" s="120">
        <v>0</v>
      </c>
      <c r="K179" s="339">
        <f t="shared" si="10"/>
        <v>8</v>
      </c>
      <c r="L179" s="340">
        <f t="shared" si="11"/>
        <v>18</v>
      </c>
      <c r="M179" s="304"/>
      <c r="N179" s="262"/>
      <c r="O179" s="262"/>
      <c r="P179" s="262"/>
      <c r="Q179" s="262"/>
      <c r="R179" s="262"/>
      <c r="S179" s="262"/>
    </row>
    <row r="180" spans="1:19" x14ac:dyDescent="0.25">
      <c r="A180" s="210">
        <v>5501</v>
      </c>
      <c r="B180" s="211" t="s">
        <v>112</v>
      </c>
      <c r="C180" s="301">
        <v>0</v>
      </c>
      <c r="D180" s="224">
        <v>2</v>
      </c>
      <c r="E180" s="266">
        <v>0</v>
      </c>
      <c r="F180" s="120">
        <v>0</v>
      </c>
      <c r="G180" s="276">
        <v>0</v>
      </c>
      <c r="H180" s="276">
        <v>0</v>
      </c>
      <c r="I180" s="120">
        <v>0</v>
      </c>
      <c r="J180" s="120">
        <v>0</v>
      </c>
      <c r="K180" s="223">
        <f t="shared" si="10"/>
        <v>0</v>
      </c>
      <c r="L180" s="224">
        <f t="shared" si="11"/>
        <v>2</v>
      </c>
      <c r="M180" s="304"/>
      <c r="N180" s="262"/>
      <c r="O180" s="262"/>
      <c r="P180" s="262"/>
      <c r="Q180" s="262"/>
      <c r="R180" s="262"/>
      <c r="S180" s="262"/>
    </row>
    <row r="181" spans="1:19" x14ac:dyDescent="0.25">
      <c r="A181" s="210">
        <v>5502</v>
      </c>
      <c r="B181" s="211" t="s">
        <v>177</v>
      </c>
      <c r="C181" s="301">
        <v>1</v>
      </c>
      <c r="D181" s="224">
        <v>3</v>
      </c>
      <c r="E181" s="266">
        <v>0</v>
      </c>
      <c r="F181" s="120">
        <v>0</v>
      </c>
      <c r="G181" s="276">
        <v>0</v>
      </c>
      <c r="H181" s="276">
        <v>0</v>
      </c>
      <c r="I181" s="120">
        <v>0</v>
      </c>
      <c r="J181" s="120">
        <v>0</v>
      </c>
      <c r="K181" s="223">
        <f t="shared" si="10"/>
        <v>1</v>
      </c>
      <c r="L181" s="224">
        <f t="shared" si="11"/>
        <v>3</v>
      </c>
      <c r="M181" s="304"/>
      <c r="N181" s="262"/>
      <c r="O181" s="262"/>
      <c r="P181" s="262"/>
      <c r="Q181" s="262"/>
      <c r="R181" s="262"/>
      <c r="S181" s="262"/>
    </row>
    <row r="182" spans="1:19" x14ac:dyDescent="0.25">
      <c r="A182" s="210">
        <v>5503</v>
      </c>
      <c r="B182" s="211" t="s">
        <v>178</v>
      </c>
      <c r="C182" s="301">
        <v>3</v>
      </c>
      <c r="D182" s="224">
        <v>3</v>
      </c>
      <c r="E182" s="266">
        <v>0</v>
      </c>
      <c r="F182" s="120">
        <v>0</v>
      </c>
      <c r="G182" s="276">
        <v>0</v>
      </c>
      <c r="H182" s="276">
        <v>0</v>
      </c>
      <c r="I182" s="120">
        <v>0</v>
      </c>
      <c r="J182" s="120">
        <v>0</v>
      </c>
      <c r="K182" s="223">
        <f t="shared" si="10"/>
        <v>3</v>
      </c>
      <c r="L182" s="224">
        <f t="shared" si="11"/>
        <v>3</v>
      </c>
      <c r="M182" s="304"/>
      <c r="N182" s="262"/>
      <c r="O182" s="262"/>
      <c r="P182" s="262"/>
      <c r="Q182" s="262"/>
      <c r="R182" s="262"/>
      <c r="S182" s="262"/>
    </row>
    <row r="183" spans="1:19" x14ac:dyDescent="0.25">
      <c r="A183" s="210">
        <v>5504</v>
      </c>
      <c r="B183" s="211" t="s">
        <v>104</v>
      </c>
      <c r="C183" s="301">
        <v>0</v>
      </c>
      <c r="D183" s="224">
        <v>0</v>
      </c>
      <c r="E183" s="266">
        <v>0</v>
      </c>
      <c r="F183" s="120">
        <v>0</v>
      </c>
      <c r="G183" s="276">
        <v>0</v>
      </c>
      <c r="H183" s="276">
        <v>0</v>
      </c>
      <c r="I183" s="120">
        <v>0</v>
      </c>
      <c r="J183" s="120">
        <v>0</v>
      </c>
      <c r="K183" s="223">
        <f t="shared" si="10"/>
        <v>0</v>
      </c>
      <c r="L183" s="224">
        <f t="shared" si="11"/>
        <v>0</v>
      </c>
      <c r="M183" s="304"/>
      <c r="N183" s="262"/>
      <c r="O183" s="262"/>
      <c r="P183" s="262"/>
      <c r="Q183" s="262"/>
      <c r="R183" s="262"/>
      <c r="S183" s="262"/>
    </row>
    <row r="184" spans="1:19" x14ac:dyDescent="0.25">
      <c r="A184" s="210">
        <v>5505</v>
      </c>
      <c r="B184" s="211" t="s">
        <v>179</v>
      </c>
      <c r="C184" s="301">
        <v>0</v>
      </c>
      <c r="D184" s="224">
        <v>0</v>
      </c>
      <c r="E184" s="266">
        <v>0</v>
      </c>
      <c r="F184" s="120">
        <v>0</v>
      </c>
      <c r="G184" s="276">
        <v>0</v>
      </c>
      <c r="H184" s="276">
        <v>0</v>
      </c>
      <c r="I184" s="120">
        <v>0</v>
      </c>
      <c r="J184" s="120">
        <v>0</v>
      </c>
      <c r="K184" s="223">
        <f t="shared" si="10"/>
        <v>0</v>
      </c>
      <c r="L184" s="224">
        <f t="shared" si="11"/>
        <v>0</v>
      </c>
      <c r="M184" s="304"/>
      <c r="N184" s="262"/>
      <c r="O184" s="262"/>
      <c r="P184" s="262"/>
      <c r="Q184" s="262"/>
      <c r="R184" s="262"/>
      <c r="S184" s="262"/>
    </row>
    <row r="185" spans="1:19" x14ac:dyDescent="0.25">
      <c r="A185" s="210">
        <v>5506</v>
      </c>
      <c r="B185" s="211" t="s">
        <v>180</v>
      </c>
      <c r="C185" s="301">
        <v>0</v>
      </c>
      <c r="D185" s="224">
        <v>0</v>
      </c>
      <c r="E185" s="266">
        <v>0</v>
      </c>
      <c r="F185" s="120">
        <v>0</v>
      </c>
      <c r="G185" s="276">
        <v>0</v>
      </c>
      <c r="H185" s="276">
        <v>0</v>
      </c>
      <c r="I185" s="120">
        <v>0</v>
      </c>
      <c r="J185" s="120">
        <v>0</v>
      </c>
      <c r="K185" s="223">
        <f t="shared" si="10"/>
        <v>0</v>
      </c>
      <c r="L185" s="224">
        <f t="shared" si="11"/>
        <v>0</v>
      </c>
      <c r="M185" s="304"/>
      <c r="N185" s="262"/>
      <c r="O185" s="262"/>
      <c r="P185" s="262"/>
      <c r="Q185" s="262"/>
      <c r="R185" s="262"/>
      <c r="S185" s="262"/>
    </row>
    <row r="186" spans="1:19" x14ac:dyDescent="0.25">
      <c r="A186" s="210">
        <v>5507</v>
      </c>
      <c r="B186" s="211" t="s">
        <v>102</v>
      </c>
      <c r="C186" s="301">
        <v>0</v>
      </c>
      <c r="D186" s="224">
        <v>0</v>
      </c>
      <c r="E186" s="266">
        <v>0</v>
      </c>
      <c r="F186" s="120">
        <v>0</v>
      </c>
      <c r="G186" s="276">
        <v>0</v>
      </c>
      <c r="H186" s="276">
        <v>0</v>
      </c>
      <c r="I186" s="120">
        <v>0</v>
      </c>
      <c r="J186" s="120">
        <v>0</v>
      </c>
      <c r="K186" s="223">
        <f t="shared" si="10"/>
        <v>0</v>
      </c>
      <c r="L186" s="224">
        <f t="shared" si="11"/>
        <v>0</v>
      </c>
      <c r="M186" s="304"/>
      <c r="N186" s="262"/>
      <c r="O186" s="262"/>
      <c r="P186" s="262"/>
      <c r="Q186" s="262"/>
      <c r="R186" s="262"/>
      <c r="S186" s="262"/>
    </row>
    <row r="187" spans="1:19" x14ac:dyDescent="0.25">
      <c r="A187" s="210">
        <v>5508</v>
      </c>
      <c r="B187" s="211" t="s">
        <v>121</v>
      </c>
      <c r="C187" s="301">
        <v>0</v>
      </c>
      <c r="D187" s="224">
        <v>0</v>
      </c>
      <c r="E187" s="266">
        <v>0</v>
      </c>
      <c r="F187" s="120">
        <v>0</v>
      </c>
      <c r="G187" s="276">
        <v>0</v>
      </c>
      <c r="H187" s="276">
        <v>0</v>
      </c>
      <c r="I187" s="120">
        <v>0</v>
      </c>
      <c r="J187" s="120">
        <v>0</v>
      </c>
      <c r="K187" s="223">
        <f t="shared" si="10"/>
        <v>0</v>
      </c>
      <c r="L187" s="224">
        <f t="shared" si="11"/>
        <v>0</v>
      </c>
      <c r="M187" s="304"/>
      <c r="N187" s="262"/>
      <c r="O187" s="262"/>
      <c r="P187" s="262"/>
      <c r="Q187" s="262"/>
      <c r="R187" s="262"/>
      <c r="S187" s="262"/>
    </row>
    <row r="188" spans="1:19" x14ac:dyDescent="0.25">
      <c r="A188" s="210">
        <v>5509</v>
      </c>
      <c r="B188" s="211" t="s">
        <v>87</v>
      </c>
      <c r="C188" s="301">
        <v>0</v>
      </c>
      <c r="D188" s="224">
        <v>1</v>
      </c>
      <c r="E188" s="266">
        <v>0</v>
      </c>
      <c r="F188" s="120">
        <v>0</v>
      </c>
      <c r="G188" s="276">
        <v>0</v>
      </c>
      <c r="H188" s="276">
        <v>0</v>
      </c>
      <c r="I188" s="120">
        <v>0</v>
      </c>
      <c r="J188" s="120">
        <v>0</v>
      </c>
      <c r="K188" s="223">
        <f t="shared" si="10"/>
        <v>0</v>
      </c>
      <c r="L188" s="224">
        <f t="shared" si="11"/>
        <v>1</v>
      </c>
      <c r="M188" s="304"/>
      <c r="N188" s="262"/>
      <c r="O188" s="262"/>
      <c r="P188" s="262"/>
      <c r="Q188" s="262"/>
      <c r="R188" s="262"/>
      <c r="S188" s="262"/>
    </row>
    <row r="189" spans="1:19" x14ac:dyDescent="0.25">
      <c r="A189" s="210">
        <v>5510</v>
      </c>
      <c r="B189" s="211" t="s">
        <v>181</v>
      </c>
      <c r="C189" s="301">
        <v>2</v>
      </c>
      <c r="D189" s="224">
        <v>0</v>
      </c>
      <c r="E189" s="266">
        <v>0</v>
      </c>
      <c r="F189" s="120">
        <v>0</v>
      </c>
      <c r="G189" s="276">
        <v>0</v>
      </c>
      <c r="H189" s="276">
        <v>0</v>
      </c>
      <c r="I189" s="120">
        <v>0</v>
      </c>
      <c r="J189" s="120">
        <v>0</v>
      </c>
      <c r="K189" s="223">
        <f t="shared" si="10"/>
        <v>2</v>
      </c>
      <c r="L189" s="224">
        <f t="shared" si="11"/>
        <v>0</v>
      </c>
      <c r="M189" s="304"/>
      <c r="N189" s="262"/>
      <c r="O189" s="262"/>
      <c r="P189" s="262"/>
      <c r="Q189" s="262"/>
      <c r="R189" s="262"/>
      <c r="S189" s="262"/>
    </row>
    <row r="190" spans="1:19" x14ac:dyDescent="0.25">
      <c r="A190" s="210">
        <v>5511</v>
      </c>
      <c r="B190" s="211" t="s">
        <v>182</v>
      </c>
      <c r="C190" s="301">
        <v>2</v>
      </c>
      <c r="D190" s="224">
        <v>0</v>
      </c>
      <c r="E190" s="266">
        <v>0</v>
      </c>
      <c r="F190" s="120">
        <v>0</v>
      </c>
      <c r="G190" s="276">
        <v>0</v>
      </c>
      <c r="H190" s="276">
        <v>0</v>
      </c>
      <c r="I190" s="120">
        <v>0</v>
      </c>
      <c r="J190" s="120">
        <v>0</v>
      </c>
      <c r="K190" s="223">
        <f t="shared" si="10"/>
        <v>2</v>
      </c>
      <c r="L190" s="341">
        <f t="shared" si="11"/>
        <v>0</v>
      </c>
      <c r="M190" s="304"/>
      <c r="N190" s="262"/>
      <c r="O190" s="262"/>
      <c r="P190" s="262"/>
      <c r="Q190" s="262"/>
      <c r="R190" s="262"/>
      <c r="S190" s="262"/>
    </row>
    <row r="191" spans="1:19" x14ac:dyDescent="0.25">
      <c r="A191" s="210">
        <v>5512</v>
      </c>
      <c r="B191" s="211" t="s">
        <v>98</v>
      </c>
      <c r="C191" s="301">
        <v>0</v>
      </c>
      <c r="D191" s="224">
        <v>0</v>
      </c>
      <c r="E191" s="266">
        <v>0</v>
      </c>
      <c r="F191" s="120">
        <v>0</v>
      </c>
      <c r="G191" s="276">
        <v>0</v>
      </c>
      <c r="H191" s="276">
        <v>0</v>
      </c>
      <c r="I191" s="120">
        <v>0</v>
      </c>
      <c r="J191" s="120">
        <v>0</v>
      </c>
      <c r="K191" s="223">
        <f t="shared" si="10"/>
        <v>0</v>
      </c>
      <c r="L191" s="224">
        <f t="shared" si="11"/>
        <v>0</v>
      </c>
      <c r="M191" s="304"/>
      <c r="N191" s="262"/>
      <c r="O191" s="262"/>
      <c r="P191" s="262"/>
      <c r="Q191" s="262"/>
      <c r="R191" s="262"/>
      <c r="S191" s="262"/>
    </row>
    <row r="192" spans="1:19" x14ac:dyDescent="0.25">
      <c r="A192" s="210">
        <v>5513</v>
      </c>
      <c r="B192" s="211" t="s">
        <v>103</v>
      </c>
      <c r="C192" s="301">
        <v>0</v>
      </c>
      <c r="D192" s="224">
        <v>0</v>
      </c>
      <c r="E192" s="266">
        <v>0</v>
      </c>
      <c r="F192" s="120">
        <v>0</v>
      </c>
      <c r="G192" s="276">
        <v>0</v>
      </c>
      <c r="H192" s="276">
        <v>0</v>
      </c>
      <c r="I192" s="120">
        <v>0</v>
      </c>
      <c r="J192" s="120">
        <v>0</v>
      </c>
      <c r="K192" s="223">
        <f t="shared" ref="K192:K223" si="12">C192+E192-G192-I192</f>
        <v>0</v>
      </c>
      <c r="L192" s="224">
        <f t="shared" ref="L192:L223" si="13">D192+F192-H192-J192</f>
        <v>0</v>
      </c>
      <c r="M192" s="304"/>
      <c r="N192" s="262"/>
      <c r="O192" s="262"/>
      <c r="P192" s="262"/>
      <c r="Q192" s="262"/>
      <c r="R192" s="262"/>
      <c r="S192" s="262"/>
    </row>
    <row r="193" spans="1:19" x14ac:dyDescent="0.25">
      <c r="A193" s="210">
        <v>5514</v>
      </c>
      <c r="B193" s="211" t="s">
        <v>183</v>
      </c>
      <c r="C193" s="301">
        <v>0</v>
      </c>
      <c r="D193" s="224">
        <v>0</v>
      </c>
      <c r="E193" s="266">
        <v>0</v>
      </c>
      <c r="F193" s="120">
        <v>0</v>
      </c>
      <c r="G193" s="276">
        <v>0</v>
      </c>
      <c r="H193" s="276">
        <v>0</v>
      </c>
      <c r="I193" s="120">
        <v>0</v>
      </c>
      <c r="J193" s="120">
        <v>0</v>
      </c>
      <c r="K193" s="223">
        <f t="shared" si="12"/>
        <v>0</v>
      </c>
      <c r="L193" s="224">
        <f t="shared" si="13"/>
        <v>0</v>
      </c>
      <c r="M193" s="304"/>
      <c r="N193" s="262"/>
      <c r="O193" s="262"/>
      <c r="P193" s="262"/>
      <c r="Q193" s="262"/>
      <c r="R193" s="262"/>
      <c r="S193" s="262"/>
    </row>
    <row r="194" spans="1:19" x14ac:dyDescent="0.25">
      <c r="A194" s="210">
        <v>5515</v>
      </c>
      <c r="B194" s="211" t="s">
        <v>184</v>
      </c>
      <c r="C194" s="301">
        <v>0</v>
      </c>
      <c r="D194" s="224">
        <v>0</v>
      </c>
      <c r="E194" s="266">
        <v>0</v>
      </c>
      <c r="F194" s="120">
        <v>0</v>
      </c>
      <c r="G194" s="276">
        <v>0</v>
      </c>
      <c r="H194" s="276">
        <v>0</v>
      </c>
      <c r="I194" s="120">
        <v>0</v>
      </c>
      <c r="J194" s="120">
        <v>0</v>
      </c>
      <c r="K194" s="223">
        <f t="shared" si="12"/>
        <v>0</v>
      </c>
      <c r="L194" s="224">
        <f t="shared" si="13"/>
        <v>0</v>
      </c>
      <c r="M194" s="304"/>
      <c r="N194" s="262"/>
      <c r="O194" s="262"/>
      <c r="P194" s="262"/>
      <c r="Q194" s="262"/>
      <c r="R194" s="262"/>
      <c r="S194" s="262"/>
    </row>
    <row r="195" spans="1:19" x14ac:dyDescent="0.25">
      <c r="A195" s="210">
        <v>5516</v>
      </c>
      <c r="B195" s="211" t="s">
        <v>108</v>
      </c>
      <c r="C195" s="301">
        <v>0</v>
      </c>
      <c r="D195" s="224">
        <v>0</v>
      </c>
      <c r="E195" s="266">
        <v>0</v>
      </c>
      <c r="F195" s="120">
        <v>0</v>
      </c>
      <c r="G195" s="276">
        <v>0</v>
      </c>
      <c r="H195" s="276">
        <v>0</v>
      </c>
      <c r="I195" s="120">
        <v>0</v>
      </c>
      <c r="J195" s="120">
        <v>0</v>
      </c>
      <c r="K195" s="223">
        <f t="shared" si="12"/>
        <v>0</v>
      </c>
      <c r="L195" s="224">
        <f t="shared" si="13"/>
        <v>0</v>
      </c>
      <c r="M195" s="304"/>
      <c r="N195" s="262"/>
      <c r="O195" s="262"/>
      <c r="P195" s="262"/>
      <c r="Q195" s="262"/>
      <c r="R195" s="262"/>
      <c r="S195" s="262"/>
    </row>
    <row r="196" spans="1:19" x14ac:dyDescent="0.25">
      <c r="A196" s="210">
        <v>5517</v>
      </c>
      <c r="B196" s="211" t="s">
        <v>185</v>
      </c>
      <c r="C196" s="301">
        <v>0</v>
      </c>
      <c r="D196" s="224">
        <v>0</v>
      </c>
      <c r="E196" s="266">
        <v>0</v>
      </c>
      <c r="F196" s="120">
        <v>0</v>
      </c>
      <c r="G196" s="276">
        <v>0</v>
      </c>
      <c r="H196" s="276">
        <v>0</v>
      </c>
      <c r="I196" s="120">
        <v>0</v>
      </c>
      <c r="J196" s="120">
        <v>0</v>
      </c>
      <c r="K196" s="223">
        <f t="shared" si="12"/>
        <v>0</v>
      </c>
      <c r="L196" s="224">
        <f t="shared" si="13"/>
        <v>0</v>
      </c>
      <c r="M196" s="304"/>
      <c r="N196" s="262"/>
      <c r="O196" s="262"/>
      <c r="P196" s="262"/>
      <c r="Q196" s="262"/>
      <c r="R196" s="262"/>
      <c r="S196" s="262"/>
    </row>
    <row r="197" spans="1:19" x14ac:dyDescent="0.25">
      <c r="A197" s="210">
        <v>5518</v>
      </c>
      <c r="B197" s="211" t="s">
        <v>109</v>
      </c>
      <c r="C197" s="301">
        <v>0</v>
      </c>
      <c r="D197" s="224">
        <v>0</v>
      </c>
      <c r="E197" s="266">
        <v>0</v>
      </c>
      <c r="F197" s="120">
        <v>0</v>
      </c>
      <c r="G197" s="276">
        <v>0</v>
      </c>
      <c r="H197" s="276">
        <v>0</v>
      </c>
      <c r="I197" s="120">
        <v>0</v>
      </c>
      <c r="J197" s="120">
        <v>0</v>
      </c>
      <c r="K197" s="223">
        <f t="shared" si="12"/>
        <v>0</v>
      </c>
      <c r="L197" s="224">
        <f t="shared" si="13"/>
        <v>0</v>
      </c>
      <c r="M197" s="304"/>
      <c r="N197" s="262"/>
      <c r="O197" s="262"/>
      <c r="P197" s="262"/>
      <c r="Q197" s="262"/>
      <c r="R197" s="262"/>
      <c r="S197" s="262"/>
    </row>
    <row r="198" spans="1:19" x14ac:dyDescent="0.25">
      <c r="A198" s="210">
        <v>5519</v>
      </c>
      <c r="B198" s="211" t="s">
        <v>186</v>
      </c>
      <c r="C198" s="301">
        <v>0</v>
      </c>
      <c r="D198" s="224">
        <v>0</v>
      </c>
      <c r="E198" s="266">
        <v>0</v>
      </c>
      <c r="F198" s="120">
        <v>0</v>
      </c>
      <c r="G198" s="276">
        <v>0</v>
      </c>
      <c r="H198" s="276">
        <v>0</v>
      </c>
      <c r="I198" s="120">
        <v>0</v>
      </c>
      <c r="J198" s="120">
        <v>0</v>
      </c>
      <c r="K198" s="223">
        <f t="shared" si="12"/>
        <v>0</v>
      </c>
      <c r="L198" s="224">
        <f t="shared" si="13"/>
        <v>0</v>
      </c>
      <c r="M198" s="304"/>
      <c r="N198" s="262"/>
      <c r="O198" s="262"/>
      <c r="P198" s="262"/>
      <c r="Q198" s="262"/>
      <c r="R198" s="262"/>
      <c r="S198" s="262"/>
    </row>
    <row r="199" spans="1:19" x14ac:dyDescent="0.25">
      <c r="A199" s="210">
        <v>5520</v>
      </c>
      <c r="B199" s="211" t="s">
        <v>187</v>
      </c>
      <c r="C199" s="301">
        <v>0</v>
      </c>
      <c r="D199" s="224">
        <v>0</v>
      </c>
      <c r="E199" s="266">
        <v>0</v>
      </c>
      <c r="F199" s="120">
        <v>0</v>
      </c>
      <c r="G199" s="276">
        <v>0</v>
      </c>
      <c r="H199" s="276">
        <v>0</v>
      </c>
      <c r="I199" s="120">
        <v>0</v>
      </c>
      <c r="J199" s="120">
        <v>0</v>
      </c>
      <c r="K199" s="223">
        <f t="shared" si="12"/>
        <v>0</v>
      </c>
      <c r="L199" s="224">
        <f t="shared" si="13"/>
        <v>0</v>
      </c>
      <c r="M199" s="304"/>
      <c r="N199" s="262"/>
      <c r="O199" s="262"/>
      <c r="P199" s="262"/>
      <c r="Q199" s="262"/>
      <c r="R199" s="262"/>
      <c r="S199" s="262"/>
    </row>
    <row r="200" spans="1:19" x14ac:dyDescent="0.25">
      <c r="A200" s="210">
        <v>5521</v>
      </c>
      <c r="B200" s="211" t="s">
        <v>188</v>
      </c>
      <c r="C200" s="301">
        <v>0</v>
      </c>
      <c r="D200" s="224">
        <v>0</v>
      </c>
      <c r="E200" s="266">
        <v>0</v>
      </c>
      <c r="F200" s="120">
        <v>0</v>
      </c>
      <c r="G200" s="276">
        <v>0</v>
      </c>
      <c r="H200" s="276">
        <v>0</v>
      </c>
      <c r="I200" s="120">
        <v>0</v>
      </c>
      <c r="J200" s="120">
        <v>0</v>
      </c>
      <c r="K200" s="223">
        <f t="shared" si="12"/>
        <v>0</v>
      </c>
      <c r="L200" s="224">
        <f t="shared" si="13"/>
        <v>0</v>
      </c>
      <c r="M200" s="304"/>
      <c r="N200" s="262"/>
      <c r="O200" s="262"/>
      <c r="P200" s="262"/>
      <c r="Q200" s="262"/>
      <c r="R200" s="262"/>
      <c r="S200" s="262"/>
    </row>
    <row r="201" spans="1:19" x14ac:dyDescent="0.25">
      <c r="A201" s="210">
        <v>5522</v>
      </c>
      <c r="B201" s="211" t="s">
        <v>110</v>
      </c>
      <c r="C201" s="301">
        <v>0</v>
      </c>
      <c r="D201" s="224">
        <v>0</v>
      </c>
      <c r="E201" s="266">
        <v>0</v>
      </c>
      <c r="F201" s="120">
        <v>0</v>
      </c>
      <c r="G201" s="276">
        <v>0</v>
      </c>
      <c r="H201" s="276">
        <v>0</v>
      </c>
      <c r="I201" s="120">
        <v>0</v>
      </c>
      <c r="J201" s="120">
        <v>0</v>
      </c>
      <c r="K201" s="223">
        <f t="shared" si="12"/>
        <v>0</v>
      </c>
      <c r="L201" s="224">
        <f t="shared" si="13"/>
        <v>0</v>
      </c>
      <c r="M201" s="304"/>
      <c r="N201" s="262"/>
      <c r="O201" s="262"/>
      <c r="P201" s="262"/>
      <c r="Q201" s="262"/>
      <c r="R201" s="262"/>
      <c r="S201" s="262"/>
    </row>
    <row r="202" spans="1:19" x14ac:dyDescent="0.25">
      <c r="A202" s="210">
        <v>5523</v>
      </c>
      <c r="B202" s="211" t="s">
        <v>189</v>
      </c>
      <c r="C202" s="301">
        <v>0</v>
      </c>
      <c r="D202" s="224">
        <v>0</v>
      </c>
      <c r="E202" s="266">
        <v>0</v>
      </c>
      <c r="F202" s="120">
        <v>0</v>
      </c>
      <c r="G202" s="276">
        <v>0</v>
      </c>
      <c r="H202" s="276">
        <v>0</v>
      </c>
      <c r="I202" s="120">
        <v>0</v>
      </c>
      <c r="J202" s="120">
        <v>0</v>
      </c>
      <c r="K202" s="223">
        <f t="shared" si="12"/>
        <v>0</v>
      </c>
      <c r="L202" s="224">
        <f t="shared" si="13"/>
        <v>0</v>
      </c>
      <c r="M202" s="304"/>
      <c r="N202" s="262"/>
      <c r="O202" s="262"/>
      <c r="P202" s="262"/>
      <c r="Q202" s="262"/>
      <c r="R202" s="262"/>
      <c r="S202" s="262"/>
    </row>
    <row r="203" spans="1:19" x14ac:dyDescent="0.25">
      <c r="A203" s="210">
        <v>5524</v>
      </c>
      <c r="B203" s="211" t="s">
        <v>190</v>
      </c>
      <c r="C203" s="301">
        <v>0</v>
      </c>
      <c r="D203" s="224">
        <v>0</v>
      </c>
      <c r="E203" s="266">
        <v>0</v>
      </c>
      <c r="F203" s="120">
        <v>0</v>
      </c>
      <c r="G203" s="276">
        <v>0</v>
      </c>
      <c r="H203" s="276">
        <v>0</v>
      </c>
      <c r="I203" s="120">
        <v>0</v>
      </c>
      <c r="J203" s="120">
        <v>0</v>
      </c>
      <c r="K203" s="223">
        <f t="shared" si="12"/>
        <v>0</v>
      </c>
      <c r="L203" s="224">
        <f t="shared" si="13"/>
        <v>0</v>
      </c>
      <c r="M203" s="304"/>
      <c r="N203" s="262"/>
      <c r="O203" s="262"/>
      <c r="P203" s="262"/>
      <c r="Q203" s="262"/>
      <c r="R203" s="262"/>
      <c r="S203" s="262"/>
    </row>
    <row r="204" spans="1:19" x14ac:dyDescent="0.25">
      <c r="A204" s="210">
        <v>5525</v>
      </c>
      <c r="B204" s="211" t="s">
        <v>191</v>
      </c>
      <c r="C204" s="301">
        <v>0</v>
      </c>
      <c r="D204" s="224">
        <v>0</v>
      </c>
      <c r="E204" s="266">
        <v>0</v>
      </c>
      <c r="F204" s="120">
        <v>0</v>
      </c>
      <c r="G204" s="276">
        <v>0</v>
      </c>
      <c r="H204" s="276">
        <v>0</v>
      </c>
      <c r="I204" s="120">
        <v>0</v>
      </c>
      <c r="J204" s="120">
        <v>0</v>
      </c>
      <c r="K204" s="223">
        <f t="shared" si="12"/>
        <v>0</v>
      </c>
      <c r="L204" s="224">
        <f t="shared" si="13"/>
        <v>0</v>
      </c>
      <c r="M204" s="304"/>
      <c r="N204" s="262"/>
      <c r="O204" s="262"/>
      <c r="P204" s="262"/>
      <c r="Q204" s="262"/>
      <c r="R204" s="262"/>
      <c r="S204" s="262"/>
    </row>
    <row r="205" spans="1:19" x14ac:dyDescent="0.25">
      <c r="A205" s="210">
        <v>5526</v>
      </c>
      <c r="B205" s="211" t="s">
        <v>192</v>
      </c>
      <c r="C205" s="301">
        <v>0</v>
      </c>
      <c r="D205" s="224">
        <v>0</v>
      </c>
      <c r="E205" s="266">
        <v>0</v>
      </c>
      <c r="F205" s="120">
        <v>0</v>
      </c>
      <c r="G205" s="276">
        <v>0</v>
      </c>
      <c r="H205" s="276">
        <v>0</v>
      </c>
      <c r="I205" s="120">
        <v>0</v>
      </c>
      <c r="J205" s="120">
        <v>0</v>
      </c>
      <c r="K205" s="223">
        <f t="shared" si="12"/>
        <v>0</v>
      </c>
      <c r="L205" s="224">
        <f t="shared" si="13"/>
        <v>0</v>
      </c>
      <c r="M205" s="304"/>
      <c r="N205" s="262"/>
      <c r="O205" s="262"/>
      <c r="P205" s="262"/>
      <c r="Q205" s="262"/>
      <c r="R205" s="262"/>
      <c r="S205" s="262"/>
    </row>
    <row r="206" spans="1:19" x14ac:dyDescent="0.25">
      <c r="A206" s="210">
        <v>5527</v>
      </c>
      <c r="B206" s="211" t="s">
        <v>193</v>
      </c>
      <c r="C206" s="301">
        <v>0</v>
      </c>
      <c r="D206" s="224">
        <v>0</v>
      </c>
      <c r="E206" s="266">
        <v>0</v>
      </c>
      <c r="F206" s="120">
        <v>0</v>
      </c>
      <c r="G206" s="276">
        <v>0</v>
      </c>
      <c r="H206" s="276">
        <v>0</v>
      </c>
      <c r="I206" s="120">
        <v>0</v>
      </c>
      <c r="J206" s="120">
        <v>0</v>
      </c>
      <c r="K206" s="223">
        <f t="shared" si="12"/>
        <v>0</v>
      </c>
      <c r="L206" s="224">
        <f t="shared" si="13"/>
        <v>0</v>
      </c>
      <c r="M206" s="304"/>
      <c r="N206" s="262"/>
      <c r="O206" s="262"/>
      <c r="P206" s="262"/>
      <c r="Q206" s="262"/>
      <c r="R206" s="262"/>
      <c r="S206" s="262"/>
    </row>
    <row r="207" spans="1:19" x14ac:dyDescent="0.25">
      <c r="A207" s="210">
        <v>5528</v>
      </c>
      <c r="B207" s="211" t="s">
        <v>194</v>
      </c>
      <c r="C207" s="301">
        <v>0</v>
      </c>
      <c r="D207" s="224">
        <v>0</v>
      </c>
      <c r="E207" s="266">
        <v>0</v>
      </c>
      <c r="F207" s="120">
        <v>0</v>
      </c>
      <c r="G207" s="276">
        <v>0</v>
      </c>
      <c r="H207" s="276">
        <v>0</v>
      </c>
      <c r="I207" s="120">
        <v>0</v>
      </c>
      <c r="J207" s="120">
        <v>0</v>
      </c>
      <c r="K207" s="223">
        <f t="shared" si="12"/>
        <v>0</v>
      </c>
      <c r="L207" s="224">
        <f t="shared" si="13"/>
        <v>0</v>
      </c>
      <c r="M207" s="304"/>
      <c r="N207" s="262"/>
      <c r="O207" s="262"/>
      <c r="P207" s="262"/>
      <c r="Q207" s="262"/>
      <c r="R207" s="262"/>
      <c r="S207" s="262"/>
    </row>
    <row r="208" spans="1:19" x14ac:dyDescent="0.25">
      <c r="A208" s="210">
        <v>5529</v>
      </c>
      <c r="B208" s="211" t="s">
        <v>195</v>
      </c>
      <c r="C208" s="301">
        <v>0</v>
      </c>
      <c r="D208" s="224">
        <v>0</v>
      </c>
      <c r="E208" s="266">
        <v>0</v>
      </c>
      <c r="F208" s="120">
        <v>0</v>
      </c>
      <c r="G208" s="276">
        <v>0</v>
      </c>
      <c r="H208" s="276">
        <v>0</v>
      </c>
      <c r="I208" s="120">
        <v>0</v>
      </c>
      <c r="J208" s="120">
        <v>0</v>
      </c>
      <c r="K208" s="223">
        <f t="shared" si="12"/>
        <v>0</v>
      </c>
      <c r="L208" s="224">
        <f t="shared" si="13"/>
        <v>0</v>
      </c>
      <c r="M208" s="304"/>
      <c r="N208" s="262"/>
      <c r="O208" s="262"/>
      <c r="P208" s="262"/>
      <c r="Q208" s="262"/>
      <c r="R208" s="262"/>
      <c r="S208" s="262"/>
    </row>
    <row r="209" spans="1:19" x14ac:dyDescent="0.25">
      <c r="A209" s="210">
        <v>5530</v>
      </c>
      <c r="B209" s="211" t="s">
        <v>196</v>
      </c>
      <c r="C209" s="301">
        <v>0</v>
      </c>
      <c r="D209" s="224">
        <v>0</v>
      </c>
      <c r="E209" s="266">
        <v>0</v>
      </c>
      <c r="F209" s="120">
        <v>0</v>
      </c>
      <c r="G209" s="276">
        <v>0</v>
      </c>
      <c r="H209" s="276">
        <v>0</v>
      </c>
      <c r="I209" s="120">
        <v>0</v>
      </c>
      <c r="J209" s="120">
        <v>0</v>
      </c>
      <c r="K209" s="223">
        <f t="shared" si="12"/>
        <v>0</v>
      </c>
      <c r="L209" s="224">
        <f t="shared" si="13"/>
        <v>0</v>
      </c>
      <c r="M209" s="304"/>
      <c r="N209" s="262"/>
      <c r="O209" s="262"/>
      <c r="P209" s="262"/>
      <c r="Q209" s="262"/>
      <c r="R209" s="262"/>
      <c r="S209" s="262"/>
    </row>
    <row r="210" spans="1:19" x14ac:dyDescent="0.25">
      <c r="A210" s="210">
        <v>5531</v>
      </c>
      <c r="B210" s="211" t="s">
        <v>197</v>
      </c>
      <c r="C210" s="301">
        <v>0</v>
      </c>
      <c r="D210" s="224">
        <v>0</v>
      </c>
      <c r="E210" s="266">
        <v>0</v>
      </c>
      <c r="F210" s="120">
        <v>0</v>
      </c>
      <c r="G210" s="276">
        <v>0</v>
      </c>
      <c r="H210" s="276">
        <v>0</v>
      </c>
      <c r="I210" s="120">
        <v>0</v>
      </c>
      <c r="J210" s="120">
        <v>0</v>
      </c>
      <c r="K210" s="223">
        <f t="shared" si="12"/>
        <v>0</v>
      </c>
      <c r="L210" s="224">
        <f t="shared" si="13"/>
        <v>0</v>
      </c>
      <c r="M210" s="304"/>
      <c r="N210" s="262"/>
      <c r="O210" s="262"/>
      <c r="P210" s="262"/>
      <c r="Q210" s="262"/>
      <c r="R210" s="262"/>
      <c r="S210" s="262"/>
    </row>
    <row r="211" spans="1:19" x14ac:dyDescent="0.25">
      <c r="A211" s="210">
        <v>5532</v>
      </c>
      <c r="B211" s="211" t="s">
        <v>198</v>
      </c>
      <c r="C211" s="301">
        <v>0</v>
      </c>
      <c r="D211" s="224">
        <v>0</v>
      </c>
      <c r="E211" s="266">
        <v>0</v>
      </c>
      <c r="F211" s="120">
        <v>0</v>
      </c>
      <c r="G211" s="276">
        <v>0</v>
      </c>
      <c r="H211" s="276">
        <v>0</v>
      </c>
      <c r="I211" s="120">
        <v>0</v>
      </c>
      <c r="J211" s="120">
        <v>0</v>
      </c>
      <c r="K211" s="223">
        <f t="shared" si="12"/>
        <v>0</v>
      </c>
      <c r="L211" s="224">
        <f t="shared" si="13"/>
        <v>0</v>
      </c>
      <c r="M211" s="304"/>
      <c r="N211" s="262"/>
      <c r="O211" s="262"/>
      <c r="P211" s="262"/>
      <c r="Q211" s="262"/>
      <c r="R211" s="262"/>
      <c r="S211" s="262"/>
    </row>
    <row r="212" spans="1:19" x14ac:dyDescent="0.25">
      <c r="A212" s="210">
        <v>5533</v>
      </c>
      <c r="B212" s="211" t="s">
        <v>199</v>
      </c>
      <c r="C212" s="301">
        <v>0</v>
      </c>
      <c r="D212" s="224">
        <v>0</v>
      </c>
      <c r="E212" s="266">
        <v>0</v>
      </c>
      <c r="F212" s="120">
        <v>0</v>
      </c>
      <c r="G212" s="276">
        <v>0</v>
      </c>
      <c r="H212" s="276">
        <v>0</v>
      </c>
      <c r="I212" s="120">
        <v>0</v>
      </c>
      <c r="J212" s="120">
        <v>0</v>
      </c>
      <c r="K212" s="223">
        <f t="shared" si="12"/>
        <v>0</v>
      </c>
      <c r="L212" s="224">
        <f t="shared" si="13"/>
        <v>0</v>
      </c>
      <c r="M212" s="304"/>
      <c r="N212" s="262"/>
      <c r="O212" s="262"/>
      <c r="P212" s="262"/>
      <c r="Q212" s="262"/>
      <c r="R212" s="262"/>
      <c r="S212" s="262"/>
    </row>
    <row r="213" spans="1:19" x14ac:dyDescent="0.25">
      <c r="A213" s="210">
        <v>5534</v>
      </c>
      <c r="B213" s="211" t="s">
        <v>200</v>
      </c>
      <c r="C213" s="301">
        <v>0</v>
      </c>
      <c r="D213" s="224">
        <v>3</v>
      </c>
      <c r="E213" s="266">
        <v>0</v>
      </c>
      <c r="F213" s="120">
        <v>0</v>
      </c>
      <c r="G213" s="276">
        <v>0</v>
      </c>
      <c r="H213" s="276">
        <v>0</v>
      </c>
      <c r="I213" s="120">
        <v>0</v>
      </c>
      <c r="J213" s="120">
        <v>0</v>
      </c>
      <c r="K213" s="223">
        <f t="shared" si="12"/>
        <v>0</v>
      </c>
      <c r="L213" s="224">
        <f t="shared" si="13"/>
        <v>3</v>
      </c>
      <c r="M213" s="304"/>
      <c r="N213" s="262"/>
      <c r="O213" s="262"/>
      <c r="P213" s="262"/>
      <c r="Q213" s="262"/>
      <c r="R213" s="262"/>
      <c r="S213" s="262"/>
    </row>
    <row r="214" spans="1:19" x14ac:dyDescent="0.25">
      <c r="A214" s="210">
        <v>5535</v>
      </c>
      <c r="B214" s="211" t="s">
        <v>201</v>
      </c>
      <c r="C214" s="301">
        <v>3</v>
      </c>
      <c r="D214" s="224">
        <v>0</v>
      </c>
      <c r="E214" s="266">
        <v>0</v>
      </c>
      <c r="F214" s="120">
        <v>0</v>
      </c>
      <c r="G214" s="276">
        <v>0</v>
      </c>
      <c r="H214" s="276">
        <v>0</v>
      </c>
      <c r="I214" s="120">
        <v>0</v>
      </c>
      <c r="J214" s="120">
        <v>0</v>
      </c>
      <c r="K214" s="223">
        <f t="shared" si="12"/>
        <v>3</v>
      </c>
      <c r="L214" s="224">
        <f t="shared" si="13"/>
        <v>0</v>
      </c>
      <c r="M214" s="304"/>
      <c r="N214" s="262"/>
      <c r="O214" s="262"/>
      <c r="P214" s="262"/>
      <c r="Q214" s="262"/>
      <c r="R214" s="262"/>
      <c r="S214" s="262"/>
    </row>
    <row r="215" spans="1:19" ht="30" x14ac:dyDescent="0.25">
      <c r="A215" s="210">
        <v>5599</v>
      </c>
      <c r="B215" s="211" t="s">
        <v>202</v>
      </c>
      <c r="C215" s="301">
        <v>0</v>
      </c>
      <c r="D215" s="224">
        <v>0</v>
      </c>
      <c r="E215" s="266">
        <v>0</v>
      </c>
      <c r="F215" s="120">
        <v>0</v>
      </c>
      <c r="G215" s="276">
        <v>0</v>
      </c>
      <c r="H215" s="276">
        <v>0</v>
      </c>
      <c r="I215" s="120">
        <v>0</v>
      </c>
      <c r="J215" s="120">
        <v>0</v>
      </c>
      <c r="K215" s="223">
        <f t="shared" si="12"/>
        <v>0</v>
      </c>
      <c r="L215" s="224">
        <f t="shared" si="13"/>
        <v>0</v>
      </c>
      <c r="M215" s="304"/>
      <c r="N215" s="262"/>
      <c r="O215" s="262"/>
      <c r="P215" s="262"/>
      <c r="Q215" s="262"/>
      <c r="R215" s="262"/>
      <c r="S215" s="262"/>
    </row>
    <row r="216" spans="1:19" x14ac:dyDescent="0.25">
      <c r="A216" s="210">
        <v>5601</v>
      </c>
      <c r="B216" s="211" t="s">
        <v>95</v>
      </c>
      <c r="C216" s="301">
        <v>0</v>
      </c>
      <c r="D216" s="224">
        <v>0</v>
      </c>
      <c r="E216" s="266">
        <v>0</v>
      </c>
      <c r="F216" s="120">
        <v>0</v>
      </c>
      <c r="G216" s="276">
        <v>0</v>
      </c>
      <c r="H216" s="276">
        <v>0</v>
      </c>
      <c r="I216" s="120">
        <v>0</v>
      </c>
      <c r="J216" s="120">
        <v>0</v>
      </c>
      <c r="K216" s="223">
        <f t="shared" si="12"/>
        <v>0</v>
      </c>
      <c r="L216" s="224">
        <f t="shared" si="13"/>
        <v>0</v>
      </c>
      <c r="M216" s="304"/>
      <c r="N216" s="262"/>
      <c r="O216" s="262"/>
      <c r="P216" s="262"/>
      <c r="Q216" s="262"/>
      <c r="R216" s="262"/>
      <c r="S216" s="262"/>
    </row>
    <row r="217" spans="1:19" x14ac:dyDescent="0.25">
      <c r="A217" s="210">
        <v>5602</v>
      </c>
      <c r="B217" s="211" t="s">
        <v>203</v>
      </c>
      <c r="C217" s="301">
        <v>0</v>
      </c>
      <c r="D217" s="224">
        <v>0</v>
      </c>
      <c r="E217" s="266">
        <v>0</v>
      </c>
      <c r="F217" s="120">
        <v>0</v>
      </c>
      <c r="G217" s="276">
        <v>0</v>
      </c>
      <c r="H217" s="276">
        <v>0</v>
      </c>
      <c r="I217" s="120">
        <v>0</v>
      </c>
      <c r="J217" s="120">
        <v>0</v>
      </c>
      <c r="K217" s="223">
        <f t="shared" si="12"/>
        <v>0</v>
      </c>
      <c r="L217" s="224">
        <f t="shared" si="13"/>
        <v>0</v>
      </c>
      <c r="M217" s="304"/>
      <c r="N217" s="262"/>
      <c r="O217" s="262"/>
      <c r="P217" s="262"/>
      <c r="Q217" s="262"/>
      <c r="R217" s="262"/>
      <c r="S217" s="262"/>
    </row>
    <row r="218" spans="1:19" x14ac:dyDescent="0.25">
      <c r="A218" s="210">
        <v>5603</v>
      </c>
      <c r="B218" s="211" t="s">
        <v>204</v>
      </c>
      <c r="C218" s="301">
        <v>0</v>
      </c>
      <c r="D218" s="224">
        <v>0</v>
      </c>
      <c r="E218" s="266">
        <v>0</v>
      </c>
      <c r="F218" s="120">
        <v>0</v>
      </c>
      <c r="G218" s="276">
        <v>0</v>
      </c>
      <c r="H218" s="276">
        <v>0</v>
      </c>
      <c r="I218" s="120">
        <v>0</v>
      </c>
      <c r="J218" s="120">
        <v>0</v>
      </c>
      <c r="K218" s="223">
        <f t="shared" si="12"/>
        <v>0</v>
      </c>
      <c r="L218" s="224">
        <f t="shared" si="13"/>
        <v>0</v>
      </c>
      <c r="M218" s="304"/>
      <c r="N218" s="262"/>
      <c r="O218" s="262"/>
      <c r="P218" s="262"/>
      <c r="Q218" s="262"/>
      <c r="R218" s="262"/>
      <c r="S218" s="262"/>
    </row>
    <row r="219" spans="1:19" x14ac:dyDescent="0.25">
      <c r="A219" s="210">
        <v>5604</v>
      </c>
      <c r="B219" s="211" t="s">
        <v>96</v>
      </c>
      <c r="C219" s="301">
        <v>0</v>
      </c>
      <c r="D219" s="224">
        <v>0</v>
      </c>
      <c r="E219" s="266">
        <v>0</v>
      </c>
      <c r="F219" s="120">
        <v>0</v>
      </c>
      <c r="G219" s="276">
        <v>0</v>
      </c>
      <c r="H219" s="276">
        <v>0</v>
      </c>
      <c r="I219" s="120">
        <v>0</v>
      </c>
      <c r="J219" s="120">
        <v>0</v>
      </c>
      <c r="K219" s="223">
        <f t="shared" si="12"/>
        <v>0</v>
      </c>
      <c r="L219" s="224">
        <f t="shared" si="13"/>
        <v>0</v>
      </c>
      <c r="M219" s="304"/>
      <c r="N219" s="262"/>
      <c r="O219" s="262"/>
      <c r="P219" s="262"/>
      <c r="Q219" s="262"/>
      <c r="R219" s="262"/>
      <c r="S219" s="262"/>
    </row>
    <row r="220" spans="1:19" x14ac:dyDescent="0.25">
      <c r="A220" s="210">
        <v>5605</v>
      </c>
      <c r="B220" s="211" t="s">
        <v>98</v>
      </c>
      <c r="C220" s="301">
        <v>0</v>
      </c>
      <c r="D220" s="224">
        <v>0</v>
      </c>
      <c r="E220" s="266">
        <v>0</v>
      </c>
      <c r="F220" s="120">
        <v>0</v>
      </c>
      <c r="G220" s="276">
        <v>0</v>
      </c>
      <c r="H220" s="276">
        <v>0</v>
      </c>
      <c r="I220" s="120">
        <v>0</v>
      </c>
      <c r="J220" s="120">
        <v>0</v>
      </c>
      <c r="K220" s="223">
        <f t="shared" si="12"/>
        <v>0</v>
      </c>
      <c r="L220" s="224">
        <f t="shared" si="13"/>
        <v>0</v>
      </c>
      <c r="M220" s="304"/>
      <c r="N220" s="262"/>
      <c r="O220" s="262"/>
      <c r="P220" s="262"/>
      <c r="Q220" s="262"/>
      <c r="R220" s="262"/>
      <c r="S220" s="262"/>
    </row>
    <row r="221" spans="1:19" x14ac:dyDescent="0.25">
      <c r="A221" s="210">
        <v>5606</v>
      </c>
      <c r="B221" s="211" t="s">
        <v>125</v>
      </c>
      <c r="C221" s="301">
        <v>0</v>
      </c>
      <c r="D221" s="224">
        <v>0</v>
      </c>
      <c r="E221" s="266">
        <v>0</v>
      </c>
      <c r="F221" s="120">
        <v>0</v>
      </c>
      <c r="G221" s="276">
        <v>0</v>
      </c>
      <c r="H221" s="276">
        <v>0</v>
      </c>
      <c r="I221" s="120">
        <v>0</v>
      </c>
      <c r="J221" s="120">
        <v>0</v>
      </c>
      <c r="K221" s="223">
        <f t="shared" si="12"/>
        <v>0</v>
      </c>
      <c r="L221" s="224">
        <f t="shared" si="13"/>
        <v>0</v>
      </c>
      <c r="M221" s="304"/>
      <c r="N221" s="262"/>
      <c r="O221" s="262"/>
      <c r="P221" s="262"/>
      <c r="Q221" s="262"/>
      <c r="R221" s="262"/>
      <c r="S221" s="262"/>
    </row>
    <row r="222" spans="1:19" x14ac:dyDescent="0.25">
      <c r="A222" s="210">
        <v>5607</v>
      </c>
      <c r="B222" s="211" t="s">
        <v>97</v>
      </c>
      <c r="C222" s="301">
        <v>0</v>
      </c>
      <c r="D222" s="224">
        <v>0</v>
      </c>
      <c r="E222" s="266">
        <v>0</v>
      </c>
      <c r="F222" s="120">
        <v>0</v>
      </c>
      <c r="G222" s="276">
        <v>0</v>
      </c>
      <c r="H222" s="276">
        <v>0</v>
      </c>
      <c r="I222" s="120">
        <v>0</v>
      </c>
      <c r="J222" s="120">
        <v>0</v>
      </c>
      <c r="K222" s="223">
        <f t="shared" si="12"/>
        <v>0</v>
      </c>
      <c r="L222" s="224">
        <f t="shared" si="13"/>
        <v>0</v>
      </c>
      <c r="M222" s="304"/>
      <c r="N222" s="262"/>
      <c r="O222" s="262"/>
      <c r="P222" s="262"/>
      <c r="Q222" s="262"/>
      <c r="R222" s="262"/>
      <c r="S222" s="262"/>
    </row>
    <row r="223" spans="1:19" x14ac:dyDescent="0.25">
      <c r="A223" s="210">
        <v>5608</v>
      </c>
      <c r="B223" s="211" t="s">
        <v>100</v>
      </c>
      <c r="C223" s="301">
        <v>0</v>
      </c>
      <c r="D223" s="224">
        <v>0</v>
      </c>
      <c r="E223" s="266">
        <v>0</v>
      </c>
      <c r="F223" s="120">
        <v>0</v>
      </c>
      <c r="G223" s="276">
        <v>0</v>
      </c>
      <c r="H223" s="276">
        <v>0</v>
      </c>
      <c r="I223" s="120">
        <v>0</v>
      </c>
      <c r="J223" s="120">
        <v>0</v>
      </c>
      <c r="K223" s="223">
        <f t="shared" si="12"/>
        <v>0</v>
      </c>
      <c r="L223" s="224">
        <f t="shared" si="13"/>
        <v>0</v>
      </c>
      <c r="M223" s="304"/>
      <c r="N223" s="262"/>
      <c r="O223" s="262"/>
      <c r="P223" s="262"/>
      <c r="Q223" s="262"/>
      <c r="R223" s="262"/>
      <c r="S223" s="262"/>
    </row>
    <row r="224" spans="1:19" x14ac:dyDescent="0.25">
      <c r="A224" s="210">
        <v>5609</v>
      </c>
      <c r="B224" s="211" t="s">
        <v>197</v>
      </c>
      <c r="C224" s="301">
        <v>0</v>
      </c>
      <c r="D224" s="224">
        <v>0</v>
      </c>
      <c r="E224" s="266">
        <v>0</v>
      </c>
      <c r="F224" s="120">
        <v>0</v>
      </c>
      <c r="G224" s="276">
        <v>0</v>
      </c>
      <c r="H224" s="276">
        <v>0</v>
      </c>
      <c r="I224" s="120">
        <v>0</v>
      </c>
      <c r="J224" s="120">
        <v>0</v>
      </c>
      <c r="K224" s="223">
        <f t="shared" ref="K224:K255" si="14">C224+E224-G224-I224</f>
        <v>0</v>
      </c>
      <c r="L224" s="224">
        <f t="shared" ref="L224:L255" si="15">D224+F224-H224-J224</f>
        <v>0</v>
      </c>
      <c r="M224" s="304"/>
      <c r="N224" s="262"/>
      <c r="O224" s="262"/>
      <c r="P224" s="262"/>
      <c r="Q224" s="262"/>
      <c r="R224" s="262"/>
      <c r="S224" s="262"/>
    </row>
    <row r="225" spans="1:19" x14ac:dyDescent="0.25">
      <c r="A225" s="210">
        <v>5610</v>
      </c>
      <c r="B225" s="211" t="s">
        <v>205</v>
      </c>
      <c r="C225" s="301">
        <v>0</v>
      </c>
      <c r="D225" s="224">
        <v>0</v>
      </c>
      <c r="E225" s="266">
        <v>0</v>
      </c>
      <c r="F225" s="120">
        <v>0</v>
      </c>
      <c r="G225" s="276">
        <v>0</v>
      </c>
      <c r="H225" s="276">
        <v>0</v>
      </c>
      <c r="I225" s="120">
        <v>0</v>
      </c>
      <c r="J225" s="120">
        <v>0</v>
      </c>
      <c r="K225" s="223">
        <f t="shared" si="14"/>
        <v>0</v>
      </c>
      <c r="L225" s="224">
        <f t="shared" si="15"/>
        <v>0</v>
      </c>
      <c r="M225" s="304"/>
      <c r="N225" s="262"/>
      <c r="O225" s="262"/>
      <c r="P225" s="262"/>
      <c r="Q225" s="262"/>
      <c r="R225" s="262"/>
      <c r="S225" s="262"/>
    </row>
    <row r="226" spans="1:19" x14ac:dyDescent="0.25">
      <c r="A226" s="210">
        <v>5611</v>
      </c>
      <c r="B226" s="211" t="s">
        <v>101</v>
      </c>
      <c r="C226" s="301">
        <v>0</v>
      </c>
      <c r="D226" s="224">
        <v>0</v>
      </c>
      <c r="E226" s="266">
        <v>0</v>
      </c>
      <c r="F226" s="120">
        <v>0</v>
      </c>
      <c r="G226" s="276">
        <v>0</v>
      </c>
      <c r="H226" s="276">
        <v>0</v>
      </c>
      <c r="I226" s="120">
        <v>0</v>
      </c>
      <c r="J226" s="120">
        <v>0</v>
      </c>
      <c r="K226" s="223">
        <f t="shared" si="14"/>
        <v>0</v>
      </c>
      <c r="L226" s="224">
        <f t="shared" si="15"/>
        <v>0</v>
      </c>
      <c r="M226" s="304"/>
      <c r="N226" s="262"/>
      <c r="O226" s="262"/>
      <c r="P226" s="262"/>
      <c r="Q226" s="262"/>
      <c r="R226" s="262"/>
      <c r="S226" s="262"/>
    </row>
    <row r="227" spans="1:19" x14ac:dyDescent="0.25">
      <c r="A227" s="210">
        <v>5612</v>
      </c>
      <c r="B227" s="211" t="s">
        <v>105</v>
      </c>
      <c r="C227" s="301">
        <v>0</v>
      </c>
      <c r="D227" s="224">
        <v>0</v>
      </c>
      <c r="E227" s="266">
        <v>0</v>
      </c>
      <c r="F227" s="120">
        <v>0</v>
      </c>
      <c r="G227" s="276">
        <v>0</v>
      </c>
      <c r="H227" s="276">
        <v>0</v>
      </c>
      <c r="I227" s="120">
        <v>0</v>
      </c>
      <c r="J227" s="120">
        <v>0</v>
      </c>
      <c r="K227" s="223">
        <f t="shared" si="14"/>
        <v>0</v>
      </c>
      <c r="L227" s="224">
        <f t="shared" si="15"/>
        <v>0</v>
      </c>
      <c r="M227" s="304"/>
      <c r="N227" s="262"/>
      <c r="O227" s="262"/>
      <c r="P227" s="262"/>
      <c r="Q227" s="262"/>
      <c r="R227" s="262"/>
      <c r="S227" s="262"/>
    </row>
    <row r="228" spans="1:19" x14ac:dyDescent="0.25">
      <c r="A228" s="210">
        <v>5613</v>
      </c>
      <c r="B228" s="211" t="s">
        <v>107</v>
      </c>
      <c r="C228" s="301">
        <v>0</v>
      </c>
      <c r="D228" s="224">
        <v>0</v>
      </c>
      <c r="E228" s="266">
        <v>0</v>
      </c>
      <c r="F228" s="120">
        <v>0</v>
      </c>
      <c r="G228" s="276">
        <v>0</v>
      </c>
      <c r="H228" s="276">
        <v>0</v>
      </c>
      <c r="I228" s="120">
        <v>0</v>
      </c>
      <c r="J228" s="120">
        <v>0</v>
      </c>
      <c r="K228" s="223">
        <f t="shared" si="14"/>
        <v>0</v>
      </c>
      <c r="L228" s="224">
        <f t="shared" si="15"/>
        <v>0</v>
      </c>
      <c r="M228" s="304"/>
      <c r="N228" s="262"/>
      <c r="O228" s="262"/>
      <c r="P228" s="262"/>
      <c r="Q228" s="262"/>
      <c r="R228" s="262"/>
      <c r="S228" s="262"/>
    </row>
    <row r="229" spans="1:19" x14ac:dyDescent="0.25">
      <c r="A229" s="210">
        <v>5614</v>
      </c>
      <c r="B229" s="211" t="s">
        <v>185</v>
      </c>
      <c r="C229" s="301">
        <v>0</v>
      </c>
      <c r="D229" s="224">
        <v>0</v>
      </c>
      <c r="E229" s="266">
        <v>0</v>
      </c>
      <c r="F229" s="120">
        <v>0</v>
      </c>
      <c r="G229" s="276">
        <v>0</v>
      </c>
      <c r="H229" s="276">
        <v>0</v>
      </c>
      <c r="I229" s="120">
        <v>0</v>
      </c>
      <c r="J229" s="120">
        <v>0</v>
      </c>
      <c r="K229" s="223">
        <f t="shared" si="14"/>
        <v>0</v>
      </c>
      <c r="L229" s="224">
        <f t="shared" si="15"/>
        <v>0</v>
      </c>
      <c r="M229" s="304"/>
      <c r="N229" s="262"/>
      <c r="O229" s="262"/>
      <c r="P229" s="262"/>
      <c r="Q229" s="262"/>
      <c r="R229" s="262"/>
      <c r="S229" s="262"/>
    </row>
    <row r="230" spans="1:19" x14ac:dyDescent="0.25">
      <c r="A230" s="210">
        <v>5615</v>
      </c>
      <c r="B230" s="211" t="s">
        <v>108</v>
      </c>
      <c r="C230" s="301">
        <v>0</v>
      </c>
      <c r="D230" s="224">
        <v>0</v>
      </c>
      <c r="E230" s="266">
        <v>0</v>
      </c>
      <c r="F230" s="120">
        <v>0</v>
      </c>
      <c r="G230" s="276">
        <v>0</v>
      </c>
      <c r="H230" s="276">
        <v>0</v>
      </c>
      <c r="I230" s="120">
        <v>0</v>
      </c>
      <c r="J230" s="120">
        <v>0</v>
      </c>
      <c r="K230" s="223">
        <f t="shared" si="14"/>
        <v>0</v>
      </c>
      <c r="L230" s="224">
        <f t="shared" si="15"/>
        <v>0</v>
      </c>
      <c r="M230" s="304"/>
      <c r="N230" s="262"/>
      <c r="O230" s="262"/>
      <c r="P230" s="262"/>
      <c r="Q230" s="262"/>
      <c r="R230" s="262"/>
      <c r="S230" s="262"/>
    </row>
    <row r="231" spans="1:19" x14ac:dyDescent="0.25">
      <c r="A231" s="210">
        <v>5616</v>
      </c>
      <c r="B231" s="211" t="s">
        <v>109</v>
      </c>
      <c r="C231" s="301">
        <v>0</v>
      </c>
      <c r="D231" s="224">
        <v>0</v>
      </c>
      <c r="E231" s="266">
        <v>0</v>
      </c>
      <c r="F231" s="120">
        <v>0</v>
      </c>
      <c r="G231" s="276">
        <v>0</v>
      </c>
      <c r="H231" s="276">
        <v>0</v>
      </c>
      <c r="I231" s="120">
        <v>0</v>
      </c>
      <c r="J231" s="120">
        <v>0</v>
      </c>
      <c r="K231" s="223">
        <f t="shared" si="14"/>
        <v>0</v>
      </c>
      <c r="L231" s="224">
        <f t="shared" si="15"/>
        <v>0</v>
      </c>
      <c r="M231" s="304"/>
      <c r="N231" s="262"/>
      <c r="O231" s="262"/>
      <c r="P231" s="262"/>
      <c r="Q231" s="262"/>
      <c r="R231" s="262"/>
      <c r="S231" s="262"/>
    </row>
    <row r="232" spans="1:19" x14ac:dyDescent="0.25">
      <c r="A232" s="210">
        <v>5617</v>
      </c>
      <c r="B232" s="211" t="s">
        <v>186</v>
      </c>
      <c r="C232" s="301">
        <v>0</v>
      </c>
      <c r="D232" s="224">
        <v>0</v>
      </c>
      <c r="E232" s="266">
        <v>0</v>
      </c>
      <c r="F232" s="120">
        <v>0</v>
      </c>
      <c r="G232" s="276">
        <v>0</v>
      </c>
      <c r="H232" s="276">
        <v>0</v>
      </c>
      <c r="I232" s="120">
        <v>0</v>
      </c>
      <c r="J232" s="120">
        <v>0</v>
      </c>
      <c r="K232" s="223">
        <f t="shared" si="14"/>
        <v>0</v>
      </c>
      <c r="L232" s="224">
        <f t="shared" si="15"/>
        <v>0</v>
      </c>
      <c r="M232" s="304"/>
      <c r="N232" s="262"/>
      <c r="O232" s="262"/>
      <c r="P232" s="262"/>
      <c r="Q232" s="262"/>
      <c r="R232" s="262"/>
      <c r="S232" s="262"/>
    </row>
    <row r="233" spans="1:19" x14ac:dyDescent="0.25">
      <c r="A233" s="210">
        <v>5618</v>
      </c>
      <c r="B233" s="211" t="s">
        <v>187</v>
      </c>
      <c r="C233" s="301">
        <v>0</v>
      </c>
      <c r="D233" s="224">
        <v>0</v>
      </c>
      <c r="E233" s="266">
        <v>0</v>
      </c>
      <c r="F233" s="120">
        <v>0</v>
      </c>
      <c r="G233" s="276">
        <v>0</v>
      </c>
      <c r="H233" s="276">
        <v>0</v>
      </c>
      <c r="I233" s="120">
        <v>0</v>
      </c>
      <c r="J233" s="120">
        <v>0</v>
      </c>
      <c r="K233" s="223">
        <f t="shared" si="14"/>
        <v>0</v>
      </c>
      <c r="L233" s="224">
        <f t="shared" si="15"/>
        <v>0</v>
      </c>
      <c r="M233" s="304"/>
      <c r="N233" s="262"/>
      <c r="O233" s="262"/>
      <c r="P233" s="262"/>
      <c r="Q233" s="262"/>
      <c r="R233" s="262"/>
      <c r="S233" s="262"/>
    </row>
    <row r="234" spans="1:19" x14ac:dyDescent="0.25">
      <c r="A234" s="210">
        <v>5619</v>
      </c>
      <c r="B234" s="211" t="s">
        <v>206</v>
      </c>
      <c r="C234" s="301">
        <v>0</v>
      </c>
      <c r="D234" s="224">
        <v>0</v>
      </c>
      <c r="E234" s="266">
        <v>0</v>
      </c>
      <c r="F234" s="120">
        <v>0</v>
      </c>
      <c r="G234" s="276">
        <v>0</v>
      </c>
      <c r="H234" s="276">
        <v>0</v>
      </c>
      <c r="I234" s="120">
        <v>0</v>
      </c>
      <c r="J234" s="120">
        <v>0</v>
      </c>
      <c r="K234" s="223">
        <f t="shared" si="14"/>
        <v>0</v>
      </c>
      <c r="L234" s="224">
        <f t="shared" si="15"/>
        <v>0</v>
      </c>
      <c r="M234" s="304"/>
      <c r="N234" s="262"/>
      <c r="O234" s="262"/>
      <c r="P234" s="262"/>
      <c r="Q234" s="262"/>
      <c r="R234" s="262"/>
      <c r="S234" s="262"/>
    </row>
    <row r="235" spans="1:19" x14ac:dyDescent="0.25">
      <c r="A235" s="210">
        <v>5620</v>
      </c>
      <c r="B235" s="211" t="s">
        <v>207</v>
      </c>
      <c r="C235" s="301">
        <v>0</v>
      </c>
      <c r="D235" s="224">
        <v>0</v>
      </c>
      <c r="E235" s="266">
        <v>0</v>
      </c>
      <c r="F235" s="120">
        <v>0</v>
      </c>
      <c r="G235" s="276">
        <v>0</v>
      </c>
      <c r="H235" s="276">
        <v>0</v>
      </c>
      <c r="I235" s="120">
        <v>0</v>
      </c>
      <c r="J235" s="120">
        <v>0</v>
      </c>
      <c r="K235" s="223">
        <f t="shared" si="14"/>
        <v>0</v>
      </c>
      <c r="L235" s="224">
        <f t="shared" si="15"/>
        <v>0</v>
      </c>
      <c r="M235" s="304"/>
      <c r="N235" s="262"/>
      <c r="O235" s="262"/>
      <c r="P235" s="262"/>
      <c r="Q235" s="262"/>
      <c r="R235" s="262"/>
      <c r="S235" s="262"/>
    </row>
    <row r="236" spans="1:19" x14ac:dyDescent="0.25">
      <c r="A236" s="210">
        <v>5621</v>
      </c>
      <c r="B236" s="211" t="s">
        <v>110</v>
      </c>
      <c r="C236" s="301">
        <v>0</v>
      </c>
      <c r="D236" s="224">
        <v>0</v>
      </c>
      <c r="E236" s="266">
        <v>0</v>
      </c>
      <c r="F236" s="120">
        <v>0</v>
      </c>
      <c r="G236" s="276">
        <v>0</v>
      </c>
      <c r="H236" s="276">
        <v>0</v>
      </c>
      <c r="I236" s="120">
        <v>0</v>
      </c>
      <c r="J236" s="120">
        <v>0</v>
      </c>
      <c r="K236" s="223">
        <f t="shared" si="14"/>
        <v>0</v>
      </c>
      <c r="L236" s="224">
        <f t="shared" si="15"/>
        <v>0</v>
      </c>
      <c r="M236" s="304"/>
      <c r="N236" s="262"/>
      <c r="O236" s="262"/>
      <c r="P236" s="262"/>
      <c r="Q236" s="262"/>
      <c r="R236" s="262"/>
      <c r="S236" s="262"/>
    </row>
    <row r="237" spans="1:19" x14ac:dyDescent="0.25">
      <c r="A237" s="210">
        <v>5622</v>
      </c>
      <c r="B237" s="211" t="s">
        <v>102</v>
      </c>
      <c r="C237" s="301">
        <v>0</v>
      </c>
      <c r="D237" s="224">
        <v>0</v>
      </c>
      <c r="E237" s="266">
        <v>0</v>
      </c>
      <c r="F237" s="120">
        <v>0</v>
      </c>
      <c r="G237" s="276">
        <v>0</v>
      </c>
      <c r="H237" s="276">
        <v>0</v>
      </c>
      <c r="I237" s="120">
        <v>0</v>
      </c>
      <c r="J237" s="120">
        <v>0</v>
      </c>
      <c r="K237" s="223">
        <f t="shared" si="14"/>
        <v>0</v>
      </c>
      <c r="L237" s="224">
        <f t="shared" si="15"/>
        <v>0</v>
      </c>
      <c r="M237" s="304"/>
      <c r="N237" s="262"/>
      <c r="O237" s="262"/>
      <c r="P237" s="262"/>
      <c r="Q237" s="262"/>
      <c r="R237" s="262"/>
      <c r="S237" s="262"/>
    </row>
    <row r="238" spans="1:19" x14ac:dyDescent="0.25">
      <c r="A238" s="210">
        <v>5623</v>
      </c>
      <c r="B238" s="211" t="s">
        <v>103</v>
      </c>
      <c r="C238" s="301">
        <v>0</v>
      </c>
      <c r="D238" s="224">
        <v>0</v>
      </c>
      <c r="E238" s="266">
        <v>0</v>
      </c>
      <c r="F238" s="120">
        <v>0</v>
      </c>
      <c r="G238" s="276">
        <v>0</v>
      </c>
      <c r="H238" s="276">
        <v>0</v>
      </c>
      <c r="I238" s="120">
        <v>0</v>
      </c>
      <c r="J238" s="120">
        <v>0</v>
      </c>
      <c r="K238" s="223">
        <f t="shared" si="14"/>
        <v>0</v>
      </c>
      <c r="L238" s="224">
        <f t="shared" si="15"/>
        <v>0</v>
      </c>
      <c r="M238" s="304"/>
      <c r="N238" s="262"/>
      <c r="O238" s="262"/>
      <c r="P238" s="262"/>
      <c r="Q238" s="262"/>
      <c r="R238" s="262"/>
      <c r="S238" s="262"/>
    </row>
    <row r="239" spans="1:19" x14ac:dyDescent="0.25">
      <c r="A239" s="210">
        <v>5624</v>
      </c>
      <c r="B239" s="211" t="s">
        <v>112</v>
      </c>
      <c r="C239" s="301">
        <v>0</v>
      </c>
      <c r="D239" s="224">
        <v>0</v>
      </c>
      <c r="E239" s="266">
        <v>0</v>
      </c>
      <c r="F239" s="120">
        <v>0</v>
      </c>
      <c r="G239" s="276">
        <v>0</v>
      </c>
      <c r="H239" s="276">
        <v>0</v>
      </c>
      <c r="I239" s="120">
        <v>0</v>
      </c>
      <c r="J239" s="120">
        <v>0</v>
      </c>
      <c r="K239" s="223">
        <f t="shared" si="14"/>
        <v>0</v>
      </c>
      <c r="L239" s="224">
        <f t="shared" si="15"/>
        <v>0</v>
      </c>
      <c r="M239" s="304"/>
      <c r="N239" s="262"/>
      <c r="O239" s="262"/>
      <c r="P239" s="262"/>
      <c r="Q239" s="262"/>
      <c r="R239" s="262"/>
      <c r="S239" s="262"/>
    </row>
    <row r="240" spans="1:19" x14ac:dyDescent="0.25">
      <c r="A240" s="210">
        <v>5625</v>
      </c>
      <c r="B240" s="211" t="s">
        <v>177</v>
      </c>
      <c r="C240" s="301">
        <v>0</v>
      </c>
      <c r="D240" s="224">
        <v>0</v>
      </c>
      <c r="E240" s="266">
        <v>0</v>
      </c>
      <c r="F240" s="120">
        <v>0</v>
      </c>
      <c r="G240" s="276">
        <v>0</v>
      </c>
      <c r="H240" s="276">
        <v>0</v>
      </c>
      <c r="I240" s="120">
        <v>0</v>
      </c>
      <c r="J240" s="120">
        <v>0</v>
      </c>
      <c r="K240" s="223">
        <f t="shared" si="14"/>
        <v>0</v>
      </c>
      <c r="L240" s="224">
        <f t="shared" si="15"/>
        <v>0</v>
      </c>
      <c r="M240" s="304"/>
      <c r="N240" s="262"/>
      <c r="O240" s="262"/>
      <c r="P240" s="262"/>
      <c r="Q240" s="262"/>
      <c r="R240" s="262"/>
      <c r="S240" s="262"/>
    </row>
    <row r="241" spans="1:19" x14ac:dyDescent="0.25">
      <c r="A241" s="210">
        <v>5626</v>
      </c>
      <c r="B241" s="211" t="s">
        <v>182</v>
      </c>
      <c r="C241" s="301">
        <v>0</v>
      </c>
      <c r="D241" s="224">
        <v>0</v>
      </c>
      <c r="E241" s="266">
        <v>0</v>
      </c>
      <c r="F241" s="120">
        <v>0</v>
      </c>
      <c r="G241" s="276">
        <v>0</v>
      </c>
      <c r="H241" s="276">
        <v>0</v>
      </c>
      <c r="I241" s="120">
        <v>0</v>
      </c>
      <c r="J241" s="120">
        <v>0</v>
      </c>
      <c r="K241" s="223">
        <f t="shared" si="14"/>
        <v>0</v>
      </c>
      <c r="L241" s="224">
        <f t="shared" si="15"/>
        <v>0</v>
      </c>
      <c r="M241" s="304"/>
      <c r="N241" s="262"/>
      <c r="O241" s="262"/>
      <c r="P241" s="262"/>
      <c r="Q241" s="262"/>
      <c r="R241" s="262"/>
      <c r="S241" s="262"/>
    </row>
    <row r="242" spans="1:19" x14ac:dyDescent="0.25">
      <c r="A242" s="210">
        <v>5627</v>
      </c>
      <c r="B242" s="211" t="s">
        <v>104</v>
      </c>
      <c r="C242" s="301">
        <v>0</v>
      </c>
      <c r="D242" s="224">
        <v>0</v>
      </c>
      <c r="E242" s="266">
        <v>0</v>
      </c>
      <c r="F242" s="120">
        <v>0</v>
      </c>
      <c r="G242" s="276">
        <v>0</v>
      </c>
      <c r="H242" s="276">
        <v>0</v>
      </c>
      <c r="I242" s="120">
        <v>0</v>
      </c>
      <c r="J242" s="120">
        <v>0</v>
      </c>
      <c r="K242" s="223">
        <f t="shared" si="14"/>
        <v>0</v>
      </c>
      <c r="L242" s="224">
        <f t="shared" si="15"/>
        <v>0</v>
      </c>
      <c r="M242" s="304"/>
      <c r="N242" s="262"/>
      <c r="O242" s="262"/>
      <c r="P242" s="262"/>
      <c r="Q242" s="262"/>
      <c r="R242" s="262"/>
      <c r="S242" s="262"/>
    </row>
    <row r="243" spans="1:19" x14ac:dyDescent="0.25">
      <c r="A243" s="210">
        <v>5628</v>
      </c>
      <c r="B243" s="211" t="s">
        <v>208</v>
      </c>
      <c r="C243" s="301">
        <v>0</v>
      </c>
      <c r="D243" s="224">
        <v>1</v>
      </c>
      <c r="E243" s="266">
        <v>0</v>
      </c>
      <c r="F243" s="120">
        <v>0</v>
      </c>
      <c r="G243" s="276">
        <v>0</v>
      </c>
      <c r="H243" s="276">
        <v>0</v>
      </c>
      <c r="I243" s="120">
        <v>0</v>
      </c>
      <c r="J243" s="120">
        <v>0</v>
      </c>
      <c r="K243" s="223">
        <f t="shared" si="14"/>
        <v>0</v>
      </c>
      <c r="L243" s="224">
        <f t="shared" si="15"/>
        <v>1</v>
      </c>
      <c r="M243" s="304"/>
      <c r="N243" s="262"/>
      <c r="O243" s="262"/>
      <c r="P243" s="262"/>
      <c r="Q243" s="262"/>
      <c r="R243" s="262"/>
      <c r="S243" s="262"/>
    </row>
    <row r="244" spans="1:19" x14ac:dyDescent="0.25">
      <c r="A244" s="210">
        <v>5629</v>
      </c>
      <c r="B244" s="211" t="s">
        <v>129</v>
      </c>
      <c r="C244" s="301">
        <v>0</v>
      </c>
      <c r="D244" s="224">
        <v>0</v>
      </c>
      <c r="E244" s="266">
        <v>0</v>
      </c>
      <c r="F244" s="120">
        <v>0</v>
      </c>
      <c r="G244" s="276">
        <v>0</v>
      </c>
      <c r="H244" s="276">
        <v>0</v>
      </c>
      <c r="I244" s="120">
        <v>0</v>
      </c>
      <c r="J244" s="120">
        <v>0</v>
      </c>
      <c r="K244" s="223">
        <f t="shared" si="14"/>
        <v>0</v>
      </c>
      <c r="L244" s="224">
        <f t="shared" si="15"/>
        <v>0</v>
      </c>
      <c r="M244" s="304"/>
      <c r="N244" s="262"/>
      <c r="O244" s="262"/>
      <c r="P244" s="262"/>
      <c r="Q244" s="262"/>
      <c r="R244" s="262"/>
      <c r="S244" s="262"/>
    </row>
    <row r="245" spans="1:19" x14ac:dyDescent="0.25">
      <c r="A245" s="210">
        <v>5630</v>
      </c>
      <c r="B245" s="211" t="s">
        <v>136</v>
      </c>
      <c r="C245" s="301">
        <v>0</v>
      </c>
      <c r="D245" s="224">
        <v>0</v>
      </c>
      <c r="E245" s="266">
        <v>0</v>
      </c>
      <c r="F245" s="120">
        <v>0</v>
      </c>
      <c r="G245" s="276">
        <v>0</v>
      </c>
      <c r="H245" s="276">
        <v>0</v>
      </c>
      <c r="I245" s="120">
        <v>0</v>
      </c>
      <c r="J245" s="120">
        <v>0</v>
      </c>
      <c r="K245" s="223">
        <f t="shared" si="14"/>
        <v>0</v>
      </c>
      <c r="L245" s="224">
        <f t="shared" si="15"/>
        <v>0</v>
      </c>
      <c r="M245" s="304"/>
      <c r="N245" s="262"/>
      <c r="O245" s="262"/>
      <c r="P245" s="262"/>
      <c r="Q245" s="262"/>
      <c r="R245" s="262"/>
      <c r="S245" s="262"/>
    </row>
    <row r="246" spans="1:19" x14ac:dyDescent="0.25">
      <c r="A246" s="210">
        <v>5631</v>
      </c>
      <c r="B246" s="211" t="s">
        <v>117</v>
      </c>
      <c r="C246" s="301">
        <v>0</v>
      </c>
      <c r="D246" s="224">
        <v>0</v>
      </c>
      <c r="E246" s="266">
        <v>0</v>
      </c>
      <c r="F246" s="120">
        <v>0</v>
      </c>
      <c r="G246" s="276">
        <v>0</v>
      </c>
      <c r="H246" s="276">
        <v>0</v>
      </c>
      <c r="I246" s="120">
        <v>0</v>
      </c>
      <c r="J246" s="120">
        <v>0</v>
      </c>
      <c r="K246" s="223">
        <f t="shared" si="14"/>
        <v>0</v>
      </c>
      <c r="L246" s="224">
        <f t="shared" si="15"/>
        <v>0</v>
      </c>
      <c r="M246" s="304"/>
      <c r="N246" s="262"/>
      <c r="O246" s="262"/>
      <c r="P246" s="262"/>
      <c r="Q246" s="262"/>
      <c r="R246" s="262"/>
      <c r="S246" s="262"/>
    </row>
    <row r="247" spans="1:19" x14ac:dyDescent="0.25">
      <c r="A247" s="210">
        <v>5632</v>
      </c>
      <c r="B247" s="211" t="s">
        <v>209</v>
      </c>
      <c r="C247" s="301">
        <v>0</v>
      </c>
      <c r="D247" s="224">
        <v>0</v>
      </c>
      <c r="E247" s="266">
        <v>0</v>
      </c>
      <c r="F247" s="120">
        <v>0</v>
      </c>
      <c r="G247" s="276">
        <v>0</v>
      </c>
      <c r="H247" s="276">
        <v>0</v>
      </c>
      <c r="I247" s="120">
        <v>0</v>
      </c>
      <c r="J247" s="120">
        <v>0</v>
      </c>
      <c r="K247" s="223">
        <f t="shared" si="14"/>
        <v>0</v>
      </c>
      <c r="L247" s="224">
        <f t="shared" si="15"/>
        <v>0</v>
      </c>
      <c r="M247" s="304"/>
      <c r="N247" s="262"/>
      <c r="O247" s="262"/>
      <c r="P247" s="262"/>
      <c r="Q247" s="262"/>
      <c r="R247" s="262"/>
      <c r="S247" s="262"/>
    </row>
    <row r="248" spans="1:19" x14ac:dyDescent="0.25">
      <c r="A248" s="210">
        <v>5633</v>
      </c>
      <c r="B248" s="211" t="s">
        <v>210</v>
      </c>
      <c r="C248" s="301">
        <v>0</v>
      </c>
      <c r="D248" s="224">
        <v>0</v>
      </c>
      <c r="E248" s="266">
        <v>0</v>
      </c>
      <c r="F248" s="120">
        <v>0</v>
      </c>
      <c r="G248" s="276">
        <v>0</v>
      </c>
      <c r="H248" s="276">
        <v>0</v>
      </c>
      <c r="I248" s="120">
        <v>0</v>
      </c>
      <c r="J248" s="120">
        <v>0</v>
      </c>
      <c r="K248" s="223">
        <f t="shared" si="14"/>
        <v>0</v>
      </c>
      <c r="L248" s="224">
        <f t="shared" si="15"/>
        <v>0</v>
      </c>
      <c r="M248" s="304"/>
      <c r="N248" s="262"/>
      <c r="O248" s="262"/>
      <c r="P248" s="262"/>
      <c r="Q248" s="262"/>
      <c r="R248" s="262"/>
      <c r="S248" s="262"/>
    </row>
    <row r="249" spans="1:19" x14ac:dyDescent="0.25">
      <c r="A249" s="210">
        <v>5634</v>
      </c>
      <c r="B249" s="211" t="s">
        <v>211</v>
      </c>
      <c r="C249" s="301">
        <v>0</v>
      </c>
      <c r="D249" s="224">
        <v>0</v>
      </c>
      <c r="E249" s="266">
        <v>0</v>
      </c>
      <c r="F249" s="120">
        <v>0</v>
      </c>
      <c r="G249" s="276">
        <v>0</v>
      </c>
      <c r="H249" s="276">
        <v>0</v>
      </c>
      <c r="I249" s="120">
        <v>0</v>
      </c>
      <c r="J249" s="120">
        <v>0</v>
      </c>
      <c r="K249" s="223">
        <f t="shared" si="14"/>
        <v>0</v>
      </c>
      <c r="L249" s="224">
        <f t="shared" si="15"/>
        <v>0</v>
      </c>
      <c r="M249" s="304"/>
      <c r="N249" s="262"/>
      <c r="O249" s="262"/>
      <c r="P249" s="262"/>
      <c r="Q249" s="262"/>
      <c r="R249" s="262"/>
      <c r="S249" s="262"/>
    </row>
    <row r="250" spans="1:19" x14ac:dyDescent="0.25">
      <c r="A250" s="210">
        <v>5635</v>
      </c>
      <c r="B250" s="211" t="s">
        <v>111</v>
      </c>
      <c r="C250" s="301">
        <v>0</v>
      </c>
      <c r="D250" s="224">
        <v>0</v>
      </c>
      <c r="E250" s="266">
        <v>0</v>
      </c>
      <c r="F250" s="120">
        <v>0</v>
      </c>
      <c r="G250" s="276">
        <v>0</v>
      </c>
      <c r="H250" s="276">
        <v>0</v>
      </c>
      <c r="I250" s="120">
        <v>0</v>
      </c>
      <c r="J250" s="120">
        <v>0</v>
      </c>
      <c r="K250" s="223">
        <f t="shared" si="14"/>
        <v>0</v>
      </c>
      <c r="L250" s="224">
        <f t="shared" si="15"/>
        <v>0</v>
      </c>
      <c r="M250" s="304"/>
      <c r="N250" s="262"/>
      <c r="O250" s="262"/>
      <c r="P250" s="262"/>
      <c r="Q250" s="262"/>
      <c r="R250" s="262"/>
      <c r="S250" s="262"/>
    </row>
    <row r="251" spans="1:19" x14ac:dyDescent="0.25">
      <c r="A251" s="210">
        <v>5636</v>
      </c>
      <c r="B251" s="211" t="s">
        <v>212</v>
      </c>
      <c r="C251" s="301">
        <v>0</v>
      </c>
      <c r="D251" s="224">
        <v>0</v>
      </c>
      <c r="E251" s="266">
        <v>0</v>
      </c>
      <c r="F251" s="120">
        <v>0</v>
      </c>
      <c r="G251" s="276">
        <v>0</v>
      </c>
      <c r="H251" s="276">
        <v>0</v>
      </c>
      <c r="I251" s="120">
        <v>0</v>
      </c>
      <c r="J251" s="120">
        <v>0</v>
      </c>
      <c r="K251" s="223">
        <f t="shared" si="14"/>
        <v>0</v>
      </c>
      <c r="L251" s="224">
        <f t="shared" si="15"/>
        <v>0</v>
      </c>
      <c r="M251" s="304"/>
      <c r="N251" s="262"/>
      <c r="O251" s="262"/>
      <c r="P251" s="262"/>
      <c r="Q251" s="262"/>
      <c r="R251" s="262"/>
      <c r="S251" s="262"/>
    </row>
    <row r="252" spans="1:19" x14ac:dyDescent="0.25">
      <c r="A252" s="210">
        <v>5637</v>
      </c>
      <c r="B252" s="211" t="s">
        <v>213</v>
      </c>
      <c r="C252" s="301">
        <v>0</v>
      </c>
      <c r="D252" s="224">
        <v>0</v>
      </c>
      <c r="E252" s="266">
        <v>0</v>
      </c>
      <c r="F252" s="120">
        <v>0</v>
      </c>
      <c r="G252" s="276">
        <v>0</v>
      </c>
      <c r="H252" s="276">
        <v>0</v>
      </c>
      <c r="I252" s="120">
        <v>0</v>
      </c>
      <c r="J252" s="120">
        <v>0</v>
      </c>
      <c r="K252" s="223">
        <f t="shared" si="14"/>
        <v>0</v>
      </c>
      <c r="L252" s="224">
        <f t="shared" si="15"/>
        <v>0</v>
      </c>
      <c r="M252" s="304"/>
      <c r="N252" s="262"/>
      <c r="O252" s="262"/>
      <c r="P252" s="262"/>
      <c r="Q252" s="262"/>
      <c r="R252" s="262"/>
      <c r="S252" s="262"/>
    </row>
    <row r="253" spans="1:19" x14ac:dyDescent="0.25">
      <c r="A253" s="210">
        <v>5638</v>
      </c>
      <c r="B253" s="211" t="s">
        <v>214</v>
      </c>
      <c r="C253" s="301">
        <v>0</v>
      </c>
      <c r="D253" s="224">
        <v>0</v>
      </c>
      <c r="E253" s="266">
        <v>0</v>
      </c>
      <c r="F253" s="120">
        <v>0</v>
      </c>
      <c r="G253" s="276">
        <v>0</v>
      </c>
      <c r="H253" s="276">
        <v>0</v>
      </c>
      <c r="I253" s="120">
        <v>0</v>
      </c>
      <c r="J253" s="120">
        <v>0</v>
      </c>
      <c r="K253" s="223">
        <f t="shared" si="14"/>
        <v>0</v>
      </c>
      <c r="L253" s="224">
        <f t="shared" si="15"/>
        <v>0</v>
      </c>
      <c r="M253" s="304"/>
      <c r="N253" s="262"/>
      <c r="O253" s="262"/>
      <c r="P253" s="262"/>
      <c r="Q253" s="262"/>
      <c r="R253" s="262"/>
      <c r="S253" s="262"/>
    </row>
    <row r="254" spans="1:19" x14ac:dyDescent="0.25">
      <c r="A254" s="210">
        <v>5639</v>
      </c>
      <c r="B254" s="211" t="s">
        <v>215</v>
      </c>
      <c r="C254" s="301">
        <v>0</v>
      </c>
      <c r="D254" s="224">
        <v>0</v>
      </c>
      <c r="E254" s="266">
        <v>0</v>
      </c>
      <c r="F254" s="120">
        <v>0</v>
      </c>
      <c r="G254" s="276">
        <v>0</v>
      </c>
      <c r="H254" s="276">
        <v>0</v>
      </c>
      <c r="I254" s="120">
        <v>0</v>
      </c>
      <c r="J254" s="120">
        <v>0</v>
      </c>
      <c r="K254" s="223">
        <f t="shared" si="14"/>
        <v>0</v>
      </c>
      <c r="L254" s="224">
        <f t="shared" si="15"/>
        <v>0</v>
      </c>
      <c r="M254" s="304"/>
      <c r="N254" s="262"/>
      <c r="O254" s="262"/>
      <c r="P254" s="262"/>
      <c r="Q254" s="262"/>
      <c r="R254" s="262"/>
      <c r="S254" s="262"/>
    </row>
    <row r="255" spans="1:19" x14ac:dyDescent="0.25">
      <c r="A255" s="210">
        <v>5640</v>
      </c>
      <c r="B255" s="211" t="s">
        <v>63</v>
      </c>
      <c r="C255" s="301">
        <v>0</v>
      </c>
      <c r="D255" s="224">
        <v>0</v>
      </c>
      <c r="E255" s="266">
        <v>0</v>
      </c>
      <c r="F255" s="120">
        <v>0</v>
      </c>
      <c r="G255" s="276">
        <v>0</v>
      </c>
      <c r="H255" s="276">
        <v>0</v>
      </c>
      <c r="I255" s="120">
        <v>0</v>
      </c>
      <c r="J255" s="120">
        <v>0</v>
      </c>
      <c r="K255" s="223">
        <f t="shared" si="14"/>
        <v>0</v>
      </c>
      <c r="L255" s="224">
        <f t="shared" si="15"/>
        <v>0</v>
      </c>
      <c r="M255" s="304"/>
      <c r="N255" s="262"/>
      <c r="O255" s="262"/>
      <c r="P255" s="262"/>
      <c r="Q255" s="262"/>
      <c r="R255" s="262"/>
      <c r="S255" s="262"/>
    </row>
    <row r="256" spans="1:19" x14ac:dyDescent="0.25">
      <c r="A256" s="210">
        <v>5641</v>
      </c>
      <c r="B256" s="211" t="s">
        <v>119</v>
      </c>
      <c r="C256" s="301">
        <v>0</v>
      </c>
      <c r="D256" s="224">
        <v>0</v>
      </c>
      <c r="E256" s="266">
        <v>0</v>
      </c>
      <c r="F256" s="120">
        <v>0</v>
      </c>
      <c r="G256" s="276">
        <v>0</v>
      </c>
      <c r="H256" s="276">
        <v>0</v>
      </c>
      <c r="I256" s="120">
        <v>0</v>
      </c>
      <c r="J256" s="120">
        <v>0</v>
      </c>
      <c r="K256" s="223">
        <f t="shared" ref="K256:K261" si="16">C256+E256-G256-I256</f>
        <v>0</v>
      </c>
      <c r="L256" s="224">
        <f t="shared" ref="L256:L261" si="17">D256+F256-H256-J256</f>
        <v>0</v>
      </c>
      <c r="M256" s="304"/>
      <c r="N256" s="262"/>
      <c r="O256" s="262"/>
      <c r="P256" s="262"/>
      <c r="Q256" s="262"/>
      <c r="R256" s="262"/>
      <c r="S256" s="262"/>
    </row>
    <row r="257" spans="1:19" x14ac:dyDescent="0.25">
      <c r="A257" s="210">
        <v>5642</v>
      </c>
      <c r="B257" s="211" t="s">
        <v>145</v>
      </c>
      <c r="C257" s="301">
        <v>0</v>
      </c>
      <c r="D257" s="224">
        <v>0</v>
      </c>
      <c r="E257" s="266">
        <v>0</v>
      </c>
      <c r="F257" s="120">
        <v>0</v>
      </c>
      <c r="G257" s="276">
        <v>0</v>
      </c>
      <c r="H257" s="276">
        <v>0</v>
      </c>
      <c r="I257" s="120">
        <v>0</v>
      </c>
      <c r="J257" s="120">
        <v>0</v>
      </c>
      <c r="K257" s="223">
        <f t="shared" si="16"/>
        <v>0</v>
      </c>
      <c r="L257" s="224">
        <f t="shared" si="17"/>
        <v>0</v>
      </c>
      <c r="M257" s="304"/>
      <c r="N257" s="262"/>
      <c r="O257" s="262"/>
      <c r="P257" s="262"/>
      <c r="Q257" s="262"/>
      <c r="R257" s="262"/>
      <c r="S257" s="262"/>
    </row>
    <row r="258" spans="1:19" x14ac:dyDescent="0.25">
      <c r="A258" s="210">
        <v>5643</v>
      </c>
      <c r="B258" s="211" t="s">
        <v>120</v>
      </c>
      <c r="C258" s="301">
        <v>0</v>
      </c>
      <c r="D258" s="224">
        <v>0</v>
      </c>
      <c r="E258" s="266">
        <v>0</v>
      </c>
      <c r="F258" s="120">
        <v>0</v>
      </c>
      <c r="G258" s="276">
        <v>0</v>
      </c>
      <c r="H258" s="276">
        <v>0</v>
      </c>
      <c r="I258" s="120">
        <v>0</v>
      </c>
      <c r="J258" s="120">
        <v>0</v>
      </c>
      <c r="K258" s="223">
        <f t="shared" si="16"/>
        <v>0</v>
      </c>
      <c r="L258" s="224">
        <f t="shared" si="17"/>
        <v>0</v>
      </c>
      <c r="M258" s="304"/>
      <c r="N258" s="262"/>
      <c r="O258" s="262"/>
      <c r="P258" s="262"/>
      <c r="Q258" s="262"/>
      <c r="R258" s="262"/>
      <c r="S258" s="262"/>
    </row>
    <row r="259" spans="1:19" x14ac:dyDescent="0.25">
      <c r="A259" s="210">
        <v>5644</v>
      </c>
      <c r="B259" s="211" t="s">
        <v>55</v>
      </c>
      <c r="C259" s="301">
        <v>0</v>
      </c>
      <c r="D259" s="224">
        <v>0</v>
      </c>
      <c r="E259" s="266">
        <v>0</v>
      </c>
      <c r="F259" s="120">
        <v>0</v>
      </c>
      <c r="G259" s="276">
        <v>0</v>
      </c>
      <c r="H259" s="276">
        <v>0</v>
      </c>
      <c r="I259" s="120">
        <v>0</v>
      </c>
      <c r="J259" s="120">
        <v>0</v>
      </c>
      <c r="K259" s="223">
        <f t="shared" si="16"/>
        <v>0</v>
      </c>
      <c r="L259" s="224">
        <f t="shared" si="17"/>
        <v>0</v>
      </c>
      <c r="M259" s="304"/>
      <c r="N259" s="262"/>
      <c r="O259" s="262"/>
      <c r="P259" s="262"/>
      <c r="Q259" s="262"/>
      <c r="R259" s="262"/>
      <c r="S259" s="262"/>
    </row>
    <row r="260" spans="1:19" x14ac:dyDescent="0.25">
      <c r="A260" s="210">
        <v>5645</v>
      </c>
      <c r="B260" s="211" t="s">
        <v>216</v>
      </c>
      <c r="C260" s="301">
        <v>0</v>
      </c>
      <c r="D260" s="224">
        <v>0</v>
      </c>
      <c r="E260" s="266">
        <v>0</v>
      </c>
      <c r="F260" s="120">
        <v>0</v>
      </c>
      <c r="G260" s="276">
        <v>0</v>
      </c>
      <c r="H260" s="276">
        <v>0</v>
      </c>
      <c r="I260" s="120">
        <v>0</v>
      </c>
      <c r="J260" s="120">
        <v>0</v>
      </c>
      <c r="K260" s="223">
        <f t="shared" si="16"/>
        <v>0</v>
      </c>
      <c r="L260" s="224">
        <f t="shared" si="17"/>
        <v>0</v>
      </c>
      <c r="M260" s="304"/>
      <c r="N260" s="262"/>
      <c r="O260" s="262"/>
      <c r="P260" s="262"/>
      <c r="Q260" s="262"/>
      <c r="R260" s="262"/>
      <c r="S260" s="262"/>
    </row>
    <row r="261" spans="1:19" ht="30.75" thickBot="1" x14ac:dyDescent="0.3">
      <c r="A261" s="204">
        <v>5699</v>
      </c>
      <c r="B261" s="205" t="s">
        <v>217</v>
      </c>
      <c r="C261" s="300">
        <v>0</v>
      </c>
      <c r="D261" s="225">
        <v>0</v>
      </c>
      <c r="E261" s="266">
        <v>0</v>
      </c>
      <c r="F261" s="120">
        <v>0</v>
      </c>
      <c r="G261" s="276">
        <v>0</v>
      </c>
      <c r="H261" s="276">
        <v>0</v>
      </c>
      <c r="I261" s="120">
        <v>0</v>
      </c>
      <c r="J261" s="120">
        <v>0</v>
      </c>
      <c r="K261" s="221">
        <f t="shared" si="16"/>
        <v>0</v>
      </c>
      <c r="L261" s="225">
        <f t="shared" si="17"/>
        <v>0</v>
      </c>
      <c r="M261" s="304"/>
      <c r="N261" s="262"/>
      <c r="O261" s="262"/>
      <c r="P261" s="262"/>
      <c r="Q261" s="262"/>
      <c r="R261" s="262"/>
      <c r="S261" s="262"/>
    </row>
    <row r="262" spans="1:19" ht="15.75" thickBot="1" x14ac:dyDescent="0.3">
      <c r="A262" s="254">
        <v>6000</v>
      </c>
      <c r="B262" s="255" t="s">
        <v>218</v>
      </c>
      <c r="C262" s="226"/>
      <c r="D262" s="226"/>
      <c r="E262" s="226"/>
      <c r="F262" s="226"/>
      <c r="G262" s="282"/>
      <c r="H262" s="282"/>
      <c r="I262" s="226"/>
      <c r="J262" s="226"/>
      <c r="K262" s="226"/>
      <c r="L262" s="227"/>
      <c r="M262" s="262"/>
      <c r="N262" s="1"/>
      <c r="O262" s="1"/>
      <c r="P262" s="1"/>
      <c r="Q262" s="1"/>
      <c r="R262" s="1"/>
      <c r="S262" s="1"/>
    </row>
    <row r="263" spans="1:19" x14ac:dyDescent="0.25">
      <c r="A263" s="204">
        <v>6101</v>
      </c>
      <c r="B263" s="205" t="s">
        <v>136</v>
      </c>
      <c r="C263" s="300">
        <v>3</v>
      </c>
      <c r="D263" s="225">
        <v>2</v>
      </c>
      <c r="E263" s="429">
        <v>0</v>
      </c>
      <c r="F263" s="342">
        <v>0</v>
      </c>
      <c r="G263" s="275">
        <v>0</v>
      </c>
      <c r="H263" s="275">
        <v>0</v>
      </c>
      <c r="I263" s="342">
        <v>0</v>
      </c>
      <c r="J263" s="342">
        <v>0</v>
      </c>
      <c r="K263" s="221">
        <f t="shared" ref="K263:K294" si="18">C263+E263-G263-I263</f>
        <v>3</v>
      </c>
      <c r="L263" s="225">
        <f t="shared" ref="L263:L294" si="19">D263+F263-H263-J263</f>
        <v>2</v>
      </c>
      <c r="M263" s="304"/>
      <c r="N263" s="262"/>
      <c r="O263" s="262"/>
      <c r="P263" s="262"/>
      <c r="Q263" s="262"/>
      <c r="R263" s="262"/>
      <c r="S263" s="262"/>
    </row>
    <row r="264" spans="1:19" x14ac:dyDescent="0.25">
      <c r="A264" s="210">
        <v>6102</v>
      </c>
      <c r="B264" s="211" t="s">
        <v>219</v>
      </c>
      <c r="C264" s="301">
        <v>0</v>
      </c>
      <c r="D264" s="224">
        <v>0</v>
      </c>
      <c r="E264" s="430">
        <v>0</v>
      </c>
      <c r="F264" s="309">
        <v>0</v>
      </c>
      <c r="G264" s="276">
        <v>0</v>
      </c>
      <c r="H264" s="276">
        <v>0</v>
      </c>
      <c r="I264" s="309">
        <v>0</v>
      </c>
      <c r="J264" s="309">
        <v>0</v>
      </c>
      <c r="K264" s="223">
        <f t="shared" si="18"/>
        <v>0</v>
      </c>
      <c r="L264" s="224">
        <f t="shared" si="19"/>
        <v>0</v>
      </c>
      <c r="M264" s="304"/>
      <c r="N264" s="262"/>
      <c r="O264" s="262"/>
      <c r="P264" s="262"/>
      <c r="Q264" s="262"/>
      <c r="R264" s="262"/>
      <c r="S264" s="262"/>
    </row>
    <row r="265" spans="1:19" x14ac:dyDescent="0.25">
      <c r="A265" s="210">
        <v>6103</v>
      </c>
      <c r="B265" s="211" t="s">
        <v>132</v>
      </c>
      <c r="C265" s="301">
        <v>4</v>
      </c>
      <c r="D265" s="224">
        <v>6</v>
      </c>
      <c r="E265" s="430">
        <v>1</v>
      </c>
      <c r="F265" s="309">
        <v>0</v>
      </c>
      <c r="G265" s="276">
        <v>0</v>
      </c>
      <c r="H265" s="276">
        <v>0</v>
      </c>
      <c r="I265" s="309">
        <v>0</v>
      </c>
      <c r="J265" s="309">
        <v>0</v>
      </c>
      <c r="K265" s="223">
        <f t="shared" si="18"/>
        <v>5</v>
      </c>
      <c r="L265" s="224">
        <f t="shared" si="19"/>
        <v>6</v>
      </c>
      <c r="M265" s="304"/>
      <c r="N265" s="262"/>
      <c r="O265" s="262"/>
      <c r="P265" s="262"/>
      <c r="Q265" s="262"/>
      <c r="R265" s="262"/>
      <c r="S265" s="262"/>
    </row>
    <row r="266" spans="1:19" x14ac:dyDescent="0.25">
      <c r="A266" s="210">
        <v>6104</v>
      </c>
      <c r="B266" s="211" t="s">
        <v>116</v>
      </c>
      <c r="C266" s="301">
        <v>2</v>
      </c>
      <c r="D266" s="224">
        <v>1</v>
      </c>
      <c r="E266" s="430">
        <v>0</v>
      </c>
      <c r="F266" s="309">
        <v>0</v>
      </c>
      <c r="G266" s="276">
        <v>0</v>
      </c>
      <c r="H266" s="276">
        <v>0</v>
      </c>
      <c r="I266" s="309">
        <v>0</v>
      </c>
      <c r="J266" s="309">
        <v>0</v>
      </c>
      <c r="K266" s="223">
        <f t="shared" si="18"/>
        <v>2</v>
      </c>
      <c r="L266" s="224">
        <f t="shared" si="19"/>
        <v>1</v>
      </c>
      <c r="M266" s="304"/>
      <c r="N266" s="262"/>
      <c r="O266" s="262"/>
      <c r="P266" s="262"/>
      <c r="Q266" s="262"/>
      <c r="R266" s="262"/>
      <c r="S266" s="262"/>
    </row>
    <row r="267" spans="1:19" x14ac:dyDescent="0.25">
      <c r="A267" s="210">
        <v>6105</v>
      </c>
      <c r="B267" s="211" t="s">
        <v>220</v>
      </c>
      <c r="C267" s="301">
        <v>0</v>
      </c>
      <c r="D267" s="224">
        <v>0</v>
      </c>
      <c r="E267" s="430">
        <v>0</v>
      </c>
      <c r="F267" s="309">
        <v>0</v>
      </c>
      <c r="G267" s="276">
        <v>0</v>
      </c>
      <c r="H267" s="276">
        <v>0</v>
      </c>
      <c r="I267" s="309">
        <v>0</v>
      </c>
      <c r="J267" s="309">
        <v>0</v>
      </c>
      <c r="K267" s="223">
        <f t="shared" si="18"/>
        <v>0</v>
      </c>
      <c r="L267" s="224">
        <f t="shared" si="19"/>
        <v>0</v>
      </c>
      <c r="M267" s="304"/>
      <c r="N267" s="262"/>
      <c r="O267" s="262"/>
      <c r="P267" s="262"/>
      <c r="Q267" s="262"/>
      <c r="R267" s="262"/>
      <c r="S267" s="262"/>
    </row>
    <row r="268" spans="1:19" x14ac:dyDescent="0.25">
      <c r="A268" s="210">
        <v>6106</v>
      </c>
      <c r="B268" s="211" t="s">
        <v>114</v>
      </c>
      <c r="C268" s="301">
        <v>0</v>
      </c>
      <c r="D268" s="224">
        <v>4</v>
      </c>
      <c r="E268" s="430">
        <v>0</v>
      </c>
      <c r="F268" s="309">
        <v>0</v>
      </c>
      <c r="G268" s="276">
        <v>0</v>
      </c>
      <c r="H268" s="276">
        <v>0</v>
      </c>
      <c r="I268" s="309">
        <v>0</v>
      </c>
      <c r="J268" s="309">
        <v>0</v>
      </c>
      <c r="K268" s="223">
        <f t="shared" si="18"/>
        <v>0</v>
      </c>
      <c r="L268" s="224">
        <f t="shared" si="19"/>
        <v>4</v>
      </c>
      <c r="M268" s="304"/>
      <c r="N268" s="262"/>
      <c r="O268" s="262"/>
      <c r="P268" s="262"/>
      <c r="Q268" s="262"/>
      <c r="R268" s="262"/>
      <c r="S268" s="262"/>
    </row>
    <row r="269" spans="1:19" x14ac:dyDescent="0.25">
      <c r="A269" s="210">
        <v>6107</v>
      </c>
      <c r="B269" s="211" t="s">
        <v>221</v>
      </c>
      <c r="C269" s="301">
        <v>0</v>
      </c>
      <c r="D269" s="224">
        <v>10</v>
      </c>
      <c r="E269" s="430">
        <v>0</v>
      </c>
      <c r="F269" s="309">
        <v>0</v>
      </c>
      <c r="G269" s="276">
        <v>0</v>
      </c>
      <c r="H269" s="276">
        <v>0</v>
      </c>
      <c r="I269" s="309">
        <v>0</v>
      </c>
      <c r="J269" s="309">
        <v>0</v>
      </c>
      <c r="K269" s="223">
        <f t="shared" si="18"/>
        <v>0</v>
      </c>
      <c r="L269" s="224">
        <f t="shared" si="19"/>
        <v>10</v>
      </c>
      <c r="M269" s="304"/>
      <c r="N269" s="262"/>
      <c r="O269" s="262"/>
      <c r="P269" s="262"/>
      <c r="Q269" s="262"/>
      <c r="R269" s="262"/>
      <c r="S269" s="262"/>
    </row>
    <row r="270" spans="1:19" x14ac:dyDescent="0.25">
      <c r="A270" s="210">
        <v>6108</v>
      </c>
      <c r="B270" s="211" t="s">
        <v>222</v>
      </c>
      <c r="C270" s="301">
        <v>78</v>
      </c>
      <c r="D270" s="224">
        <v>24</v>
      </c>
      <c r="E270" s="430">
        <v>1</v>
      </c>
      <c r="F270" s="309">
        <v>0</v>
      </c>
      <c r="G270" s="276">
        <v>0</v>
      </c>
      <c r="H270" s="276">
        <v>0</v>
      </c>
      <c r="I270" s="309">
        <v>0</v>
      </c>
      <c r="J270" s="309">
        <v>0</v>
      </c>
      <c r="K270" s="223">
        <f t="shared" si="18"/>
        <v>79</v>
      </c>
      <c r="L270" s="224">
        <f t="shared" si="19"/>
        <v>24</v>
      </c>
      <c r="M270" s="304"/>
      <c r="N270" s="262"/>
      <c r="O270" s="262"/>
      <c r="P270" s="262"/>
      <c r="Q270" s="262"/>
      <c r="R270" s="262"/>
      <c r="S270" s="262"/>
    </row>
    <row r="271" spans="1:19" x14ac:dyDescent="0.25">
      <c r="A271" s="210">
        <v>6109</v>
      </c>
      <c r="B271" s="211" t="s">
        <v>223</v>
      </c>
      <c r="C271" s="301">
        <v>0</v>
      </c>
      <c r="D271" s="224">
        <v>0</v>
      </c>
      <c r="E271" s="430">
        <v>0</v>
      </c>
      <c r="F271" s="309">
        <v>0</v>
      </c>
      <c r="G271" s="276">
        <v>0</v>
      </c>
      <c r="H271" s="276">
        <v>0</v>
      </c>
      <c r="I271" s="309">
        <v>0</v>
      </c>
      <c r="J271" s="309">
        <v>0</v>
      </c>
      <c r="K271" s="223">
        <f t="shared" si="18"/>
        <v>0</v>
      </c>
      <c r="L271" s="224">
        <f t="shared" si="19"/>
        <v>0</v>
      </c>
      <c r="M271" s="304"/>
      <c r="N271" s="262"/>
      <c r="O271" s="262"/>
      <c r="P271" s="262"/>
      <c r="Q271" s="262"/>
      <c r="R271" s="262"/>
      <c r="S271" s="262"/>
    </row>
    <row r="272" spans="1:19" x14ac:dyDescent="0.25">
      <c r="A272" s="210">
        <v>6199</v>
      </c>
      <c r="B272" s="211" t="s">
        <v>224</v>
      </c>
      <c r="C272" s="301">
        <v>0</v>
      </c>
      <c r="D272" s="224">
        <v>0</v>
      </c>
      <c r="E272" s="430">
        <v>0</v>
      </c>
      <c r="F272" s="309">
        <v>0</v>
      </c>
      <c r="G272" s="276">
        <v>0</v>
      </c>
      <c r="H272" s="276">
        <v>0</v>
      </c>
      <c r="I272" s="309">
        <v>0</v>
      </c>
      <c r="J272" s="309">
        <v>0</v>
      </c>
      <c r="K272" s="223">
        <f t="shared" si="18"/>
        <v>0</v>
      </c>
      <c r="L272" s="224">
        <f t="shared" si="19"/>
        <v>0</v>
      </c>
      <c r="M272" s="304"/>
      <c r="N272" s="262"/>
      <c r="O272" s="262"/>
      <c r="P272" s="262"/>
      <c r="Q272" s="262"/>
      <c r="R272" s="262"/>
      <c r="S272" s="262"/>
    </row>
    <row r="273" spans="1:19" x14ac:dyDescent="0.25">
      <c r="A273" s="210">
        <v>6201</v>
      </c>
      <c r="B273" s="211" t="s">
        <v>144</v>
      </c>
      <c r="C273" s="301">
        <v>2</v>
      </c>
      <c r="D273" s="224">
        <v>1</v>
      </c>
      <c r="E273" s="430">
        <v>0</v>
      </c>
      <c r="F273" s="309">
        <v>0</v>
      </c>
      <c r="G273" s="276">
        <v>0</v>
      </c>
      <c r="H273" s="276">
        <v>0</v>
      </c>
      <c r="I273" s="309">
        <v>0</v>
      </c>
      <c r="J273" s="309">
        <v>0</v>
      </c>
      <c r="K273" s="223">
        <f t="shared" si="18"/>
        <v>2</v>
      </c>
      <c r="L273" s="224">
        <f t="shared" si="19"/>
        <v>1</v>
      </c>
      <c r="M273" s="304"/>
      <c r="N273" s="262"/>
      <c r="O273" s="262"/>
      <c r="P273" s="262"/>
      <c r="Q273" s="262"/>
      <c r="R273" s="262"/>
      <c r="S273" s="262"/>
    </row>
    <row r="274" spans="1:19" x14ac:dyDescent="0.25">
      <c r="A274" s="210">
        <v>6202</v>
      </c>
      <c r="B274" s="211" t="s">
        <v>63</v>
      </c>
      <c r="C274" s="301">
        <v>3</v>
      </c>
      <c r="D274" s="224">
        <v>7</v>
      </c>
      <c r="E274" s="430">
        <v>0</v>
      </c>
      <c r="F274" s="309">
        <v>0</v>
      </c>
      <c r="G274" s="276">
        <v>0</v>
      </c>
      <c r="H274" s="276">
        <v>0</v>
      </c>
      <c r="I274" s="309">
        <v>0</v>
      </c>
      <c r="J274" s="309">
        <v>0</v>
      </c>
      <c r="K274" s="223">
        <f t="shared" si="18"/>
        <v>3</v>
      </c>
      <c r="L274" s="224">
        <f t="shared" si="19"/>
        <v>7</v>
      </c>
      <c r="M274" s="304"/>
      <c r="N274" s="262"/>
      <c r="O274" s="262"/>
      <c r="P274" s="262"/>
      <c r="Q274" s="262"/>
      <c r="R274" s="262"/>
      <c r="S274" s="262"/>
    </row>
    <row r="275" spans="1:19" x14ac:dyDescent="0.25">
      <c r="A275" s="210">
        <v>6203</v>
      </c>
      <c r="B275" s="211" t="s">
        <v>119</v>
      </c>
      <c r="C275" s="301">
        <v>9</v>
      </c>
      <c r="D275" s="224">
        <v>14</v>
      </c>
      <c r="E275" s="430">
        <v>1</v>
      </c>
      <c r="F275" s="309">
        <v>0</v>
      </c>
      <c r="G275" s="276">
        <v>0</v>
      </c>
      <c r="H275" s="276">
        <v>0</v>
      </c>
      <c r="I275" s="309">
        <v>0</v>
      </c>
      <c r="J275" s="309">
        <v>0</v>
      </c>
      <c r="K275" s="223">
        <f t="shared" si="18"/>
        <v>10</v>
      </c>
      <c r="L275" s="224">
        <f t="shared" si="19"/>
        <v>14</v>
      </c>
      <c r="M275" s="304"/>
      <c r="N275" s="262"/>
      <c r="O275" s="262"/>
      <c r="P275" s="262"/>
      <c r="Q275" s="262"/>
      <c r="R275" s="262"/>
      <c r="S275" s="262"/>
    </row>
    <row r="276" spans="1:19" x14ac:dyDescent="0.25">
      <c r="A276" s="210">
        <v>6204</v>
      </c>
      <c r="B276" s="211" t="s">
        <v>145</v>
      </c>
      <c r="C276" s="301">
        <v>2</v>
      </c>
      <c r="D276" s="224">
        <v>1</v>
      </c>
      <c r="E276" s="430">
        <v>0</v>
      </c>
      <c r="F276" s="309">
        <v>0</v>
      </c>
      <c r="G276" s="276">
        <v>0</v>
      </c>
      <c r="H276" s="276">
        <v>0</v>
      </c>
      <c r="I276" s="309">
        <v>0</v>
      </c>
      <c r="J276" s="309">
        <v>0</v>
      </c>
      <c r="K276" s="223">
        <f t="shared" si="18"/>
        <v>2</v>
      </c>
      <c r="L276" s="224">
        <f t="shared" si="19"/>
        <v>1</v>
      </c>
      <c r="M276" s="304"/>
      <c r="N276" s="262"/>
      <c r="O276" s="262"/>
      <c r="P276" s="262"/>
      <c r="Q276" s="262"/>
      <c r="R276" s="262"/>
      <c r="S276" s="262"/>
    </row>
    <row r="277" spans="1:19" x14ac:dyDescent="0.25">
      <c r="A277" s="210">
        <v>6205</v>
      </c>
      <c r="B277" s="211" t="s">
        <v>120</v>
      </c>
      <c r="C277" s="301">
        <v>3</v>
      </c>
      <c r="D277" s="224">
        <v>1</v>
      </c>
      <c r="E277" s="430">
        <v>0</v>
      </c>
      <c r="F277" s="309">
        <v>0</v>
      </c>
      <c r="G277" s="276">
        <v>0</v>
      </c>
      <c r="H277" s="276">
        <v>0</v>
      </c>
      <c r="I277" s="309">
        <v>0</v>
      </c>
      <c r="J277" s="309">
        <v>0</v>
      </c>
      <c r="K277" s="223">
        <f t="shared" si="18"/>
        <v>3</v>
      </c>
      <c r="L277" s="224">
        <f t="shared" si="19"/>
        <v>1</v>
      </c>
      <c r="M277" s="304"/>
      <c r="N277" s="262"/>
      <c r="O277" s="262"/>
      <c r="P277" s="262"/>
      <c r="Q277" s="262"/>
      <c r="R277" s="262"/>
      <c r="S277" s="262"/>
    </row>
    <row r="278" spans="1:19" x14ac:dyDescent="0.25">
      <c r="A278" s="210">
        <v>6206</v>
      </c>
      <c r="B278" s="211" t="s">
        <v>55</v>
      </c>
      <c r="C278" s="301">
        <v>24</v>
      </c>
      <c r="D278" s="224">
        <v>1</v>
      </c>
      <c r="E278" s="430">
        <v>1</v>
      </c>
      <c r="F278" s="309">
        <v>0</v>
      </c>
      <c r="G278" s="276">
        <v>0</v>
      </c>
      <c r="H278" s="276">
        <v>0</v>
      </c>
      <c r="I278" s="309">
        <v>0</v>
      </c>
      <c r="J278" s="309">
        <v>0</v>
      </c>
      <c r="K278" s="223">
        <f t="shared" si="18"/>
        <v>25</v>
      </c>
      <c r="L278" s="224">
        <f t="shared" si="19"/>
        <v>1</v>
      </c>
      <c r="M278" s="304"/>
      <c r="N278" s="262"/>
      <c r="O278" s="262"/>
      <c r="P278" s="262"/>
      <c r="Q278" s="262"/>
      <c r="R278" s="262"/>
      <c r="S278" s="262"/>
    </row>
    <row r="279" spans="1:19" x14ac:dyDescent="0.25">
      <c r="A279" s="210">
        <v>6207</v>
      </c>
      <c r="B279" s="211" t="s">
        <v>65</v>
      </c>
      <c r="C279" s="301">
        <v>6</v>
      </c>
      <c r="D279" s="224">
        <v>3</v>
      </c>
      <c r="E279" s="430">
        <v>0</v>
      </c>
      <c r="F279" s="309">
        <v>1</v>
      </c>
      <c r="G279" s="276">
        <v>0</v>
      </c>
      <c r="H279" s="276">
        <v>0</v>
      </c>
      <c r="I279" s="309">
        <v>0</v>
      </c>
      <c r="J279" s="309">
        <v>0</v>
      </c>
      <c r="K279" s="223">
        <f t="shared" si="18"/>
        <v>6</v>
      </c>
      <c r="L279" s="224">
        <f t="shared" si="19"/>
        <v>4</v>
      </c>
      <c r="M279" s="304"/>
      <c r="N279" s="262"/>
      <c r="O279" s="262"/>
      <c r="P279" s="262"/>
      <c r="Q279" s="262"/>
      <c r="R279" s="262"/>
      <c r="S279" s="262"/>
    </row>
    <row r="280" spans="1:19" x14ac:dyDescent="0.25">
      <c r="A280" s="210">
        <v>6208</v>
      </c>
      <c r="B280" s="211" t="s">
        <v>146</v>
      </c>
      <c r="C280" s="301">
        <v>1</v>
      </c>
      <c r="D280" s="224">
        <v>0</v>
      </c>
      <c r="E280" s="430">
        <v>0</v>
      </c>
      <c r="F280" s="309">
        <v>0</v>
      </c>
      <c r="G280" s="276">
        <v>0</v>
      </c>
      <c r="H280" s="276">
        <v>0</v>
      </c>
      <c r="I280" s="309">
        <v>0</v>
      </c>
      <c r="J280" s="309">
        <v>0</v>
      </c>
      <c r="K280" s="223">
        <f t="shared" si="18"/>
        <v>1</v>
      </c>
      <c r="L280" s="224">
        <f t="shared" si="19"/>
        <v>0</v>
      </c>
      <c r="M280" s="304"/>
      <c r="N280" s="262"/>
      <c r="O280" s="262"/>
      <c r="P280" s="262"/>
      <c r="Q280" s="262"/>
      <c r="R280" s="262"/>
      <c r="S280" s="262"/>
    </row>
    <row r="281" spans="1:19" x14ac:dyDescent="0.25">
      <c r="A281" s="210">
        <v>6209</v>
      </c>
      <c r="B281" s="211" t="s">
        <v>147</v>
      </c>
      <c r="C281" s="301">
        <v>9</v>
      </c>
      <c r="D281" s="224">
        <v>9</v>
      </c>
      <c r="E281" s="430">
        <v>0</v>
      </c>
      <c r="F281" s="309">
        <v>0</v>
      </c>
      <c r="G281" s="276">
        <v>0</v>
      </c>
      <c r="H281" s="276">
        <v>0</v>
      </c>
      <c r="I281" s="309">
        <v>0</v>
      </c>
      <c r="J281" s="309">
        <v>0</v>
      </c>
      <c r="K281" s="223">
        <f t="shared" si="18"/>
        <v>9</v>
      </c>
      <c r="L281" s="224">
        <f t="shared" si="19"/>
        <v>9</v>
      </c>
      <c r="M281" s="304"/>
      <c r="N281" s="262"/>
      <c r="O281" s="262"/>
      <c r="P281" s="262"/>
      <c r="Q281" s="262"/>
      <c r="R281" s="262"/>
      <c r="S281" s="262"/>
    </row>
    <row r="282" spans="1:19" x14ac:dyDescent="0.25">
      <c r="A282" s="210">
        <v>6210</v>
      </c>
      <c r="B282" s="211" t="s">
        <v>148</v>
      </c>
      <c r="C282" s="301">
        <v>0</v>
      </c>
      <c r="D282" s="224">
        <v>0</v>
      </c>
      <c r="E282" s="430">
        <v>0</v>
      </c>
      <c r="F282" s="309">
        <v>0</v>
      </c>
      <c r="G282" s="276">
        <v>0</v>
      </c>
      <c r="H282" s="276">
        <v>0</v>
      </c>
      <c r="I282" s="309">
        <v>0</v>
      </c>
      <c r="J282" s="309">
        <v>0</v>
      </c>
      <c r="K282" s="223">
        <f t="shared" si="18"/>
        <v>0</v>
      </c>
      <c r="L282" s="224">
        <f t="shared" si="19"/>
        <v>0</v>
      </c>
      <c r="M282" s="304"/>
      <c r="N282" s="262"/>
      <c r="O282" s="262"/>
      <c r="P282" s="262"/>
      <c r="Q282" s="262"/>
      <c r="R282" s="262"/>
      <c r="S282" s="262"/>
    </row>
    <row r="283" spans="1:19" x14ac:dyDescent="0.25">
      <c r="A283" s="210">
        <v>6211</v>
      </c>
      <c r="B283" s="211" t="s">
        <v>149</v>
      </c>
      <c r="C283" s="301">
        <v>0</v>
      </c>
      <c r="D283" s="224">
        <v>0</v>
      </c>
      <c r="E283" s="430">
        <v>0</v>
      </c>
      <c r="F283" s="309">
        <v>0</v>
      </c>
      <c r="G283" s="276">
        <v>0</v>
      </c>
      <c r="H283" s="276">
        <v>0</v>
      </c>
      <c r="I283" s="309">
        <v>0</v>
      </c>
      <c r="J283" s="309">
        <v>0</v>
      </c>
      <c r="K283" s="223">
        <f t="shared" si="18"/>
        <v>0</v>
      </c>
      <c r="L283" s="224">
        <f t="shared" si="19"/>
        <v>0</v>
      </c>
      <c r="M283" s="304"/>
      <c r="N283" s="262"/>
      <c r="O283" s="262"/>
      <c r="P283" s="262"/>
      <c r="Q283" s="262"/>
      <c r="R283" s="262"/>
      <c r="S283" s="262"/>
    </row>
    <row r="284" spans="1:19" x14ac:dyDescent="0.25">
      <c r="A284" s="210">
        <v>6212</v>
      </c>
      <c r="B284" s="211" t="s">
        <v>150</v>
      </c>
      <c r="C284" s="301">
        <v>0</v>
      </c>
      <c r="D284" s="224">
        <v>0</v>
      </c>
      <c r="E284" s="430">
        <v>0</v>
      </c>
      <c r="F284" s="309">
        <v>0</v>
      </c>
      <c r="G284" s="276">
        <v>0</v>
      </c>
      <c r="H284" s="276">
        <v>0</v>
      </c>
      <c r="I284" s="309">
        <v>0</v>
      </c>
      <c r="J284" s="309">
        <v>0</v>
      </c>
      <c r="K284" s="223">
        <f t="shared" si="18"/>
        <v>0</v>
      </c>
      <c r="L284" s="224">
        <f t="shared" si="19"/>
        <v>0</v>
      </c>
      <c r="M284" s="304"/>
      <c r="N284" s="262"/>
      <c r="O284" s="262"/>
      <c r="P284" s="262"/>
      <c r="Q284" s="262"/>
      <c r="R284" s="262"/>
      <c r="S284" s="262"/>
    </row>
    <row r="285" spans="1:19" x14ac:dyDescent="0.25">
      <c r="A285" s="210">
        <v>6213</v>
      </c>
      <c r="B285" s="211" t="s">
        <v>151</v>
      </c>
      <c r="C285" s="301">
        <v>0</v>
      </c>
      <c r="D285" s="224">
        <v>0</v>
      </c>
      <c r="E285" s="430">
        <v>0</v>
      </c>
      <c r="F285" s="309">
        <v>0</v>
      </c>
      <c r="G285" s="276">
        <v>0</v>
      </c>
      <c r="H285" s="276">
        <v>0</v>
      </c>
      <c r="I285" s="309">
        <v>0</v>
      </c>
      <c r="J285" s="309">
        <v>0</v>
      </c>
      <c r="K285" s="223">
        <f t="shared" si="18"/>
        <v>0</v>
      </c>
      <c r="L285" s="224">
        <f t="shared" si="19"/>
        <v>0</v>
      </c>
      <c r="M285" s="304"/>
      <c r="N285" s="262"/>
      <c r="O285" s="262"/>
      <c r="P285" s="262"/>
      <c r="Q285" s="262"/>
      <c r="R285" s="262"/>
      <c r="S285" s="262"/>
    </row>
    <row r="286" spans="1:19" x14ac:dyDescent="0.25">
      <c r="A286" s="210">
        <v>6214</v>
      </c>
      <c r="B286" s="211" t="s">
        <v>59</v>
      </c>
      <c r="C286" s="301">
        <v>0</v>
      </c>
      <c r="D286" s="224">
        <v>0</v>
      </c>
      <c r="E286" s="430">
        <v>0</v>
      </c>
      <c r="F286" s="309">
        <v>0</v>
      </c>
      <c r="G286" s="276">
        <v>0</v>
      </c>
      <c r="H286" s="276">
        <v>0</v>
      </c>
      <c r="I286" s="309">
        <v>0</v>
      </c>
      <c r="J286" s="309">
        <v>0</v>
      </c>
      <c r="K286" s="223">
        <f t="shared" si="18"/>
        <v>0</v>
      </c>
      <c r="L286" s="224">
        <f t="shared" si="19"/>
        <v>0</v>
      </c>
      <c r="M286" s="304"/>
      <c r="N286" s="262"/>
      <c r="O286" s="262"/>
      <c r="P286" s="262"/>
      <c r="Q286" s="262"/>
      <c r="R286" s="262"/>
      <c r="S286" s="262"/>
    </row>
    <row r="287" spans="1:19" x14ac:dyDescent="0.25">
      <c r="A287" s="210">
        <v>6215</v>
      </c>
      <c r="B287" s="211" t="s">
        <v>60</v>
      </c>
      <c r="C287" s="301">
        <v>0</v>
      </c>
      <c r="D287" s="224">
        <v>0</v>
      </c>
      <c r="E287" s="430">
        <v>0</v>
      </c>
      <c r="F287" s="309">
        <v>0</v>
      </c>
      <c r="G287" s="276">
        <v>0</v>
      </c>
      <c r="H287" s="276">
        <v>0</v>
      </c>
      <c r="I287" s="309">
        <v>0</v>
      </c>
      <c r="J287" s="309">
        <v>0</v>
      </c>
      <c r="K287" s="223">
        <f t="shared" si="18"/>
        <v>0</v>
      </c>
      <c r="L287" s="224">
        <f t="shared" si="19"/>
        <v>0</v>
      </c>
      <c r="M287" s="304"/>
      <c r="N287" s="262"/>
      <c r="O287" s="262"/>
      <c r="P287" s="262"/>
      <c r="Q287" s="262"/>
      <c r="R287" s="262"/>
      <c r="S287" s="262"/>
    </row>
    <row r="288" spans="1:19" x14ac:dyDescent="0.25">
      <c r="A288" s="210">
        <v>6216</v>
      </c>
      <c r="B288" s="211" t="s">
        <v>153</v>
      </c>
      <c r="C288" s="301">
        <v>1</v>
      </c>
      <c r="D288" s="224">
        <v>1</v>
      </c>
      <c r="E288" s="430">
        <v>0</v>
      </c>
      <c r="F288" s="309">
        <v>0</v>
      </c>
      <c r="G288" s="276">
        <v>0</v>
      </c>
      <c r="H288" s="276">
        <v>0</v>
      </c>
      <c r="I288" s="309">
        <v>0</v>
      </c>
      <c r="J288" s="309">
        <v>0</v>
      </c>
      <c r="K288" s="223">
        <f t="shared" si="18"/>
        <v>1</v>
      </c>
      <c r="L288" s="224">
        <f t="shared" si="19"/>
        <v>1</v>
      </c>
      <c r="M288" s="304"/>
      <c r="N288" s="262"/>
      <c r="O288" s="262"/>
      <c r="P288" s="262"/>
      <c r="Q288" s="262"/>
      <c r="R288" s="262"/>
      <c r="S288" s="262"/>
    </row>
    <row r="289" spans="1:19" x14ac:dyDescent="0.25">
      <c r="A289" s="210">
        <v>6217</v>
      </c>
      <c r="B289" s="211" t="s">
        <v>154</v>
      </c>
      <c r="C289" s="301">
        <v>2</v>
      </c>
      <c r="D289" s="224">
        <v>4</v>
      </c>
      <c r="E289" s="430">
        <v>1</v>
      </c>
      <c r="F289" s="309">
        <v>0</v>
      </c>
      <c r="G289" s="276">
        <v>0</v>
      </c>
      <c r="H289" s="276">
        <v>0</v>
      </c>
      <c r="I289" s="309">
        <v>0</v>
      </c>
      <c r="J289" s="309">
        <v>0</v>
      </c>
      <c r="K289" s="223">
        <f t="shared" si="18"/>
        <v>3</v>
      </c>
      <c r="L289" s="224">
        <f t="shared" si="19"/>
        <v>4</v>
      </c>
      <c r="M289" s="304"/>
      <c r="N289" s="262"/>
      <c r="O289" s="262"/>
      <c r="P289" s="262"/>
      <c r="Q289" s="262"/>
      <c r="R289" s="262"/>
      <c r="S289" s="262"/>
    </row>
    <row r="290" spans="1:19" x14ac:dyDescent="0.25">
      <c r="A290" s="210">
        <v>6299</v>
      </c>
      <c r="B290" s="211" t="s">
        <v>155</v>
      </c>
      <c r="C290" s="301">
        <v>7</v>
      </c>
      <c r="D290" s="224">
        <v>0</v>
      </c>
      <c r="E290" s="430">
        <v>0</v>
      </c>
      <c r="F290" s="309">
        <v>0</v>
      </c>
      <c r="G290" s="276">
        <v>0</v>
      </c>
      <c r="H290" s="276">
        <v>0</v>
      </c>
      <c r="I290" s="309">
        <v>0</v>
      </c>
      <c r="J290" s="309">
        <v>0</v>
      </c>
      <c r="K290" s="223">
        <f t="shared" si="18"/>
        <v>7</v>
      </c>
      <c r="L290" s="224">
        <f t="shared" si="19"/>
        <v>0</v>
      </c>
      <c r="M290" s="304"/>
      <c r="N290" s="262"/>
      <c r="O290" s="262"/>
      <c r="P290" s="262"/>
      <c r="Q290" s="262"/>
      <c r="R290" s="262"/>
      <c r="S290" s="262"/>
    </row>
    <row r="291" spans="1:19" x14ac:dyDescent="0.25">
      <c r="A291" s="210">
        <v>6301</v>
      </c>
      <c r="B291" s="211" t="s">
        <v>156</v>
      </c>
      <c r="C291" s="301">
        <v>26</v>
      </c>
      <c r="D291" s="224">
        <v>22</v>
      </c>
      <c r="E291" s="430">
        <v>0</v>
      </c>
      <c r="F291" s="309">
        <v>0</v>
      </c>
      <c r="G291" s="276">
        <v>0</v>
      </c>
      <c r="H291" s="276">
        <v>0</v>
      </c>
      <c r="I291" s="309">
        <v>0</v>
      </c>
      <c r="J291" s="309">
        <v>0</v>
      </c>
      <c r="K291" s="223">
        <f t="shared" si="18"/>
        <v>26</v>
      </c>
      <c r="L291" s="224">
        <f t="shared" si="19"/>
        <v>22</v>
      </c>
      <c r="M291" s="304"/>
      <c r="N291" s="262"/>
      <c r="O291" s="262"/>
      <c r="P291" s="262"/>
      <c r="Q291" s="262"/>
      <c r="R291" s="262"/>
      <c r="S291" s="262"/>
    </row>
    <row r="292" spans="1:19" x14ac:dyDescent="0.25">
      <c r="A292" s="210">
        <v>6302</v>
      </c>
      <c r="B292" s="211" t="s">
        <v>157</v>
      </c>
      <c r="C292" s="301">
        <v>0</v>
      </c>
      <c r="D292" s="224">
        <v>0</v>
      </c>
      <c r="E292" s="430">
        <v>0</v>
      </c>
      <c r="F292" s="309">
        <v>0</v>
      </c>
      <c r="G292" s="276">
        <v>0</v>
      </c>
      <c r="H292" s="276">
        <v>0</v>
      </c>
      <c r="I292" s="309">
        <v>0</v>
      </c>
      <c r="J292" s="309">
        <v>0</v>
      </c>
      <c r="K292" s="223">
        <f t="shared" si="18"/>
        <v>0</v>
      </c>
      <c r="L292" s="224">
        <f t="shared" si="19"/>
        <v>0</v>
      </c>
      <c r="M292" s="304"/>
      <c r="N292" s="262"/>
      <c r="O292" s="262"/>
      <c r="P292" s="262"/>
      <c r="Q292" s="262"/>
      <c r="R292" s="262"/>
      <c r="S292" s="262"/>
    </row>
    <row r="293" spans="1:19" x14ac:dyDescent="0.25">
      <c r="A293" s="210">
        <v>6303</v>
      </c>
      <c r="B293" s="211" t="s">
        <v>158</v>
      </c>
      <c r="C293" s="301">
        <v>5</v>
      </c>
      <c r="D293" s="224">
        <v>2</v>
      </c>
      <c r="E293" s="430">
        <v>0</v>
      </c>
      <c r="F293" s="309">
        <v>0</v>
      </c>
      <c r="G293" s="276">
        <v>0</v>
      </c>
      <c r="H293" s="276">
        <v>0</v>
      </c>
      <c r="I293" s="309">
        <v>0</v>
      </c>
      <c r="J293" s="309">
        <v>0</v>
      </c>
      <c r="K293" s="223">
        <f t="shared" si="18"/>
        <v>5</v>
      </c>
      <c r="L293" s="224">
        <f t="shared" si="19"/>
        <v>2</v>
      </c>
      <c r="M293" s="304"/>
      <c r="N293" s="262"/>
      <c r="O293" s="262"/>
      <c r="P293" s="262"/>
      <c r="Q293" s="262"/>
      <c r="R293" s="262"/>
      <c r="S293" s="262"/>
    </row>
    <row r="294" spans="1:19" x14ac:dyDescent="0.25">
      <c r="A294" s="210">
        <v>6304</v>
      </c>
      <c r="B294" s="211" t="s">
        <v>159</v>
      </c>
      <c r="C294" s="301">
        <v>0</v>
      </c>
      <c r="D294" s="224">
        <v>0</v>
      </c>
      <c r="E294" s="430">
        <v>0</v>
      </c>
      <c r="F294" s="309">
        <v>0</v>
      </c>
      <c r="G294" s="276">
        <v>0</v>
      </c>
      <c r="H294" s="276">
        <v>0</v>
      </c>
      <c r="I294" s="309">
        <v>0</v>
      </c>
      <c r="J294" s="309">
        <v>0</v>
      </c>
      <c r="K294" s="223">
        <f t="shared" si="18"/>
        <v>0</v>
      </c>
      <c r="L294" s="224">
        <f t="shared" si="19"/>
        <v>0</v>
      </c>
      <c r="M294" s="304"/>
      <c r="N294" s="262"/>
      <c r="O294" s="262"/>
      <c r="P294" s="262"/>
      <c r="Q294" s="262"/>
      <c r="R294" s="262"/>
      <c r="S294" s="262"/>
    </row>
    <row r="295" spans="1:19" x14ac:dyDescent="0.25">
      <c r="A295" s="210">
        <v>6305</v>
      </c>
      <c r="B295" s="211" t="s">
        <v>160</v>
      </c>
      <c r="C295" s="301">
        <v>0</v>
      </c>
      <c r="D295" s="224">
        <v>0</v>
      </c>
      <c r="E295" s="430">
        <v>0</v>
      </c>
      <c r="F295" s="309">
        <v>0</v>
      </c>
      <c r="G295" s="276">
        <v>0</v>
      </c>
      <c r="H295" s="276">
        <v>0</v>
      </c>
      <c r="I295" s="309">
        <v>0</v>
      </c>
      <c r="J295" s="309">
        <v>0</v>
      </c>
      <c r="K295" s="223">
        <f t="shared" ref="K295:K326" si="20">C295+E295-G295-I295</f>
        <v>0</v>
      </c>
      <c r="L295" s="224">
        <f t="shared" ref="L295:L326" si="21">D295+F295-H295-J295</f>
        <v>0</v>
      </c>
      <c r="M295" s="304"/>
      <c r="N295" s="262"/>
      <c r="O295" s="262"/>
      <c r="P295" s="262"/>
      <c r="Q295" s="262"/>
      <c r="R295" s="262"/>
      <c r="S295" s="262"/>
    </row>
    <row r="296" spans="1:19" x14ac:dyDescent="0.25">
      <c r="A296" s="210">
        <v>6306</v>
      </c>
      <c r="B296" s="211" t="s">
        <v>161</v>
      </c>
      <c r="C296" s="301">
        <v>4</v>
      </c>
      <c r="D296" s="224">
        <v>1</v>
      </c>
      <c r="E296" s="430">
        <v>1</v>
      </c>
      <c r="F296" s="309">
        <v>0</v>
      </c>
      <c r="G296" s="276">
        <v>0</v>
      </c>
      <c r="H296" s="276">
        <v>0</v>
      </c>
      <c r="I296" s="309">
        <v>0</v>
      </c>
      <c r="J296" s="309">
        <v>0</v>
      </c>
      <c r="K296" s="223">
        <f t="shared" si="20"/>
        <v>5</v>
      </c>
      <c r="L296" s="224">
        <f t="shared" si="21"/>
        <v>1</v>
      </c>
      <c r="M296" s="304"/>
      <c r="N296" s="262"/>
      <c r="O296" s="262"/>
      <c r="P296" s="262"/>
      <c r="Q296" s="262"/>
      <c r="R296" s="262"/>
      <c r="S296" s="262"/>
    </row>
    <row r="297" spans="1:19" x14ac:dyDescent="0.25">
      <c r="A297" s="210">
        <v>6307</v>
      </c>
      <c r="B297" s="211" t="s">
        <v>162</v>
      </c>
      <c r="C297" s="301">
        <v>0</v>
      </c>
      <c r="D297" s="224">
        <v>0</v>
      </c>
      <c r="E297" s="430">
        <v>0</v>
      </c>
      <c r="F297" s="309">
        <v>0</v>
      </c>
      <c r="G297" s="276">
        <v>0</v>
      </c>
      <c r="H297" s="276">
        <v>0</v>
      </c>
      <c r="I297" s="309">
        <v>0</v>
      </c>
      <c r="J297" s="309">
        <v>0</v>
      </c>
      <c r="K297" s="223">
        <f t="shared" si="20"/>
        <v>0</v>
      </c>
      <c r="L297" s="224">
        <f t="shared" si="21"/>
        <v>0</v>
      </c>
      <c r="M297" s="304"/>
      <c r="N297" s="262"/>
      <c r="O297" s="262"/>
      <c r="P297" s="262"/>
      <c r="Q297" s="262"/>
      <c r="R297" s="262"/>
      <c r="S297" s="262"/>
    </row>
    <row r="298" spans="1:19" x14ac:dyDescent="0.25">
      <c r="A298" s="210">
        <v>6308</v>
      </c>
      <c r="B298" s="211" t="s">
        <v>225</v>
      </c>
      <c r="C298" s="301">
        <v>3</v>
      </c>
      <c r="D298" s="224">
        <v>0</v>
      </c>
      <c r="E298" s="430">
        <v>0</v>
      </c>
      <c r="F298" s="309">
        <v>0</v>
      </c>
      <c r="G298" s="276">
        <v>0</v>
      </c>
      <c r="H298" s="276">
        <v>0</v>
      </c>
      <c r="I298" s="309">
        <v>0</v>
      </c>
      <c r="J298" s="309">
        <v>0</v>
      </c>
      <c r="K298" s="223">
        <f t="shared" si="20"/>
        <v>3</v>
      </c>
      <c r="L298" s="224">
        <f t="shared" si="21"/>
        <v>0</v>
      </c>
      <c r="M298" s="304"/>
      <c r="N298" s="262"/>
      <c r="O298" s="262"/>
      <c r="P298" s="262"/>
      <c r="Q298" s="262"/>
      <c r="R298" s="262"/>
      <c r="S298" s="262"/>
    </row>
    <row r="299" spans="1:19" x14ac:dyDescent="0.25">
      <c r="A299" s="210">
        <v>6309</v>
      </c>
      <c r="B299" s="211" t="s">
        <v>164</v>
      </c>
      <c r="C299" s="301">
        <v>13</v>
      </c>
      <c r="D299" s="224">
        <v>9</v>
      </c>
      <c r="E299" s="430">
        <v>0</v>
      </c>
      <c r="F299" s="309">
        <v>0</v>
      </c>
      <c r="G299" s="276">
        <v>0</v>
      </c>
      <c r="H299" s="276">
        <v>0</v>
      </c>
      <c r="I299" s="309">
        <v>0</v>
      </c>
      <c r="J299" s="309">
        <v>0</v>
      </c>
      <c r="K299" s="223">
        <f t="shared" si="20"/>
        <v>13</v>
      </c>
      <c r="L299" s="224">
        <f t="shared" si="21"/>
        <v>9</v>
      </c>
      <c r="M299" s="304"/>
      <c r="N299" s="262"/>
      <c r="O299" s="262"/>
      <c r="P299" s="262"/>
      <c r="Q299" s="262"/>
      <c r="R299" s="262"/>
      <c r="S299" s="262"/>
    </row>
    <row r="300" spans="1:19" x14ac:dyDescent="0.25">
      <c r="A300" s="210">
        <v>6310</v>
      </c>
      <c r="B300" s="211" t="s">
        <v>86</v>
      </c>
      <c r="C300" s="301">
        <v>5</v>
      </c>
      <c r="D300" s="224">
        <v>5</v>
      </c>
      <c r="E300" s="430">
        <v>0</v>
      </c>
      <c r="F300" s="309">
        <v>0</v>
      </c>
      <c r="G300" s="276">
        <v>0</v>
      </c>
      <c r="H300" s="276">
        <v>0</v>
      </c>
      <c r="I300" s="309">
        <v>0</v>
      </c>
      <c r="J300" s="309">
        <v>0</v>
      </c>
      <c r="K300" s="223">
        <f t="shared" si="20"/>
        <v>5</v>
      </c>
      <c r="L300" s="224">
        <f t="shared" si="21"/>
        <v>5</v>
      </c>
      <c r="M300" s="304"/>
      <c r="N300" s="262"/>
      <c r="O300" s="262"/>
      <c r="P300" s="262"/>
      <c r="Q300" s="262"/>
      <c r="R300" s="262"/>
      <c r="S300" s="262"/>
    </row>
    <row r="301" spans="1:19" x14ac:dyDescent="0.25">
      <c r="A301" s="210">
        <v>6311</v>
      </c>
      <c r="B301" s="211" t="s">
        <v>165</v>
      </c>
      <c r="C301" s="301">
        <v>3</v>
      </c>
      <c r="D301" s="224">
        <v>0</v>
      </c>
      <c r="E301" s="430">
        <v>0</v>
      </c>
      <c r="F301" s="309">
        <v>0</v>
      </c>
      <c r="G301" s="276">
        <v>0</v>
      </c>
      <c r="H301" s="276">
        <v>0</v>
      </c>
      <c r="I301" s="309">
        <v>0</v>
      </c>
      <c r="J301" s="309">
        <v>0</v>
      </c>
      <c r="K301" s="223">
        <f t="shared" si="20"/>
        <v>3</v>
      </c>
      <c r="L301" s="224">
        <f t="shared" si="21"/>
        <v>0</v>
      </c>
      <c r="M301" s="304"/>
      <c r="N301" s="262"/>
      <c r="O301" s="262"/>
      <c r="P301" s="262"/>
      <c r="Q301" s="262"/>
      <c r="R301" s="262"/>
      <c r="S301" s="262"/>
    </row>
    <row r="302" spans="1:19" x14ac:dyDescent="0.25">
      <c r="A302" s="210">
        <v>6312</v>
      </c>
      <c r="B302" s="211" t="s">
        <v>226</v>
      </c>
      <c r="C302" s="301">
        <v>0</v>
      </c>
      <c r="D302" s="224">
        <v>0</v>
      </c>
      <c r="E302" s="430">
        <v>0</v>
      </c>
      <c r="F302" s="309">
        <v>0</v>
      </c>
      <c r="G302" s="276">
        <v>0</v>
      </c>
      <c r="H302" s="276">
        <v>0</v>
      </c>
      <c r="I302" s="309">
        <v>0</v>
      </c>
      <c r="J302" s="309">
        <v>0</v>
      </c>
      <c r="K302" s="223">
        <f t="shared" si="20"/>
        <v>0</v>
      </c>
      <c r="L302" s="224">
        <f t="shared" si="21"/>
        <v>0</v>
      </c>
      <c r="M302" s="304"/>
      <c r="N302" s="262"/>
      <c r="O302" s="262"/>
      <c r="P302" s="262"/>
      <c r="Q302" s="262"/>
      <c r="R302" s="262"/>
      <c r="S302" s="262"/>
    </row>
    <row r="303" spans="1:19" x14ac:dyDescent="0.25">
      <c r="A303" s="210">
        <v>6401</v>
      </c>
      <c r="B303" s="211" t="s">
        <v>167</v>
      </c>
      <c r="C303" s="301">
        <v>11</v>
      </c>
      <c r="D303" s="224">
        <v>11</v>
      </c>
      <c r="E303" s="430">
        <v>0</v>
      </c>
      <c r="F303" s="309">
        <v>0</v>
      </c>
      <c r="G303" s="276">
        <v>0</v>
      </c>
      <c r="H303" s="276">
        <v>0</v>
      </c>
      <c r="I303" s="309">
        <v>0</v>
      </c>
      <c r="J303" s="309">
        <v>0</v>
      </c>
      <c r="K303" s="223">
        <f t="shared" si="20"/>
        <v>11</v>
      </c>
      <c r="L303" s="224">
        <f t="shared" si="21"/>
        <v>11</v>
      </c>
      <c r="M303" s="304"/>
      <c r="N303" s="262"/>
      <c r="O303" s="262"/>
      <c r="P303" s="262"/>
      <c r="Q303" s="262"/>
      <c r="R303" s="262"/>
      <c r="S303" s="262"/>
    </row>
    <row r="304" spans="1:19" x14ac:dyDescent="0.25">
      <c r="A304" s="210">
        <v>6402</v>
      </c>
      <c r="B304" s="211" t="s">
        <v>168</v>
      </c>
      <c r="C304" s="301">
        <v>0</v>
      </c>
      <c r="D304" s="224">
        <v>0</v>
      </c>
      <c r="E304" s="430">
        <v>0</v>
      </c>
      <c r="F304" s="309">
        <v>0</v>
      </c>
      <c r="G304" s="276">
        <v>0</v>
      </c>
      <c r="H304" s="276">
        <v>0</v>
      </c>
      <c r="I304" s="309">
        <v>0</v>
      </c>
      <c r="J304" s="309">
        <v>0</v>
      </c>
      <c r="K304" s="223">
        <f t="shared" si="20"/>
        <v>0</v>
      </c>
      <c r="L304" s="224">
        <f t="shared" si="21"/>
        <v>0</v>
      </c>
      <c r="M304" s="304"/>
      <c r="N304" s="262"/>
      <c r="O304" s="262"/>
      <c r="P304" s="262"/>
      <c r="Q304" s="262"/>
      <c r="R304" s="262"/>
      <c r="S304" s="262"/>
    </row>
    <row r="305" spans="1:19" x14ac:dyDescent="0.25">
      <c r="A305" s="210">
        <v>6403</v>
      </c>
      <c r="B305" s="211" t="s">
        <v>169</v>
      </c>
      <c r="C305" s="301">
        <v>0</v>
      </c>
      <c r="D305" s="224">
        <v>9</v>
      </c>
      <c r="E305" s="430">
        <v>0</v>
      </c>
      <c r="F305" s="309">
        <v>0</v>
      </c>
      <c r="G305" s="276">
        <v>0</v>
      </c>
      <c r="H305" s="276">
        <v>0</v>
      </c>
      <c r="I305" s="309">
        <v>0</v>
      </c>
      <c r="J305" s="309">
        <v>0</v>
      </c>
      <c r="K305" s="223">
        <f t="shared" si="20"/>
        <v>0</v>
      </c>
      <c r="L305" s="224">
        <f t="shared" si="21"/>
        <v>9</v>
      </c>
      <c r="M305" s="304"/>
      <c r="N305" s="262"/>
      <c r="O305" s="262"/>
      <c r="P305" s="262"/>
      <c r="Q305" s="262"/>
      <c r="R305" s="262"/>
      <c r="S305" s="262"/>
    </row>
    <row r="306" spans="1:19" x14ac:dyDescent="0.25">
      <c r="A306" s="210">
        <v>6404</v>
      </c>
      <c r="B306" s="343" t="s">
        <v>175</v>
      </c>
      <c r="C306" s="301">
        <v>10</v>
      </c>
      <c r="D306" s="224">
        <v>50</v>
      </c>
      <c r="E306" s="430">
        <v>0</v>
      </c>
      <c r="F306" s="309">
        <v>0</v>
      </c>
      <c r="G306" s="276">
        <v>0</v>
      </c>
      <c r="H306" s="276">
        <v>0</v>
      </c>
      <c r="I306" s="309">
        <v>0</v>
      </c>
      <c r="J306" s="309">
        <v>0</v>
      </c>
      <c r="K306" s="223">
        <f t="shared" si="20"/>
        <v>10</v>
      </c>
      <c r="L306" s="224">
        <f t="shared" si="21"/>
        <v>50</v>
      </c>
      <c r="M306" s="304"/>
      <c r="N306" s="262"/>
      <c r="O306" s="262"/>
      <c r="P306" s="262"/>
      <c r="Q306" s="262"/>
      <c r="R306" s="262"/>
      <c r="S306" s="262"/>
    </row>
    <row r="307" spans="1:19" x14ac:dyDescent="0.25">
      <c r="A307" s="210">
        <v>6499</v>
      </c>
      <c r="B307" s="211" t="s">
        <v>176</v>
      </c>
      <c r="C307" s="301">
        <v>15</v>
      </c>
      <c r="D307" s="224">
        <v>50</v>
      </c>
      <c r="E307" s="430">
        <v>0</v>
      </c>
      <c r="F307" s="309">
        <v>0</v>
      </c>
      <c r="G307" s="276">
        <v>0</v>
      </c>
      <c r="H307" s="276">
        <v>0</v>
      </c>
      <c r="I307" s="309">
        <v>0</v>
      </c>
      <c r="J307" s="309">
        <v>0</v>
      </c>
      <c r="K307" s="223">
        <f t="shared" si="20"/>
        <v>15</v>
      </c>
      <c r="L307" s="224">
        <f t="shared" si="21"/>
        <v>50</v>
      </c>
      <c r="M307" s="304"/>
      <c r="N307" s="262"/>
      <c r="O307" s="262"/>
      <c r="P307" s="262"/>
      <c r="Q307" s="262"/>
      <c r="R307" s="262"/>
      <c r="S307" s="262"/>
    </row>
    <row r="308" spans="1:19" x14ac:dyDescent="0.25">
      <c r="A308" s="210">
        <v>6501</v>
      </c>
      <c r="B308" s="211" t="s">
        <v>112</v>
      </c>
      <c r="C308" s="301">
        <v>11</v>
      </c>
      <c r="D308" s="224">
        <v>13</v>
      </c>
      <c r="E308" s="430">
        <v>0</v>
      </c>
      <c r="F308" s="309">
        <v>0</v>
      </c>
      <c r="G308" s="276">
        <v>0</v>
      </c>
      <c r="H308" s="276">
        <v>0</v>
      </c>
      <c r="I308" s="309">
        <v>0</v>
      </c>
      <c r="J308" s="309">
        <v>0</v>
      </c>
      <c r="K308" s="223">
        <f t="shared" si="20"/>
        <v>11</v>
      </c>
      <c r="L308" s="224">
        <f t="shared" si="21"/>
        <v>13</v>
      </c>
      <c r="M308" s="304"/>
      <c r="N308" s="262"/>
      <c r="O308" s="262"/>
      <c r="P308" s="262"/>
      <c r="Q308" s="262"/>
      <c r="R308" s="262"/>
      <c r="S308" s="262"/>
    </row>
    <row r="309" spans="1:19" x14ac:dyDescent="0.25">
      <c r="A309" s="210">
        <v>6502</v>
      </c>
      <c r="B309" s="211" t="s">
        <v>177</v>
      </c>
      <c r="C309" s="301">
        <v>8</v>
      </c>
      <c r="D309" s="224">
        <v>40</v>
      </c>
      <c r="E309" s="430">
        <v>0</v>
      </c>
      <c r="F309" s="309">
        <v>0</v>
      </c>
      <c r="G309" s="276">
        <v>0</v>
      </c>
      <c r="H309" s="276">
        <v>0</v>
      </c>
      <c r="I309" s="309">
        <v>0</v>
      </c>
      <c r="J309" s="309">
        <v>0</v>
      </c>
      <c r="K309" s="223">
        <f t="shared" si="20"/>
        <v>8</v>
      </c>
      <c r="L309" s="224">
        <f t="shared" si="21"/>
        <v>40</v>
      </c>
      <c r="M309" s="304"/>
      <c r="N309" s="262"/>
      <c r="O309" s="262"/>
      <c r="P309" s="262"/>
      <c r="Q309" s="262"/>
      <c r="R309" s="262"/>
      <c r="S309" s="262"/>
    </row>
    <row r="310" spans="1:19" x14ac:dyDescent="0.25">
      <c r="A310" s="210">
        <v>6503</v>
      </c>
      <c r="B310" s="211" t="s">
        <v>104</v>
      </c>
      <c r="C310" s="301">
        <v>23</v>
      </c>
      <c r="D310" s="224">
        <v>36</v>
      </c>
      <c r="E310" s="430">
        <v>1</v>
      </c>
      <c r="F310" s="309">
        <v>1</v>
      </c>
      <c r="G310" s="276">
        <v>0</v>
      </c>
      <c r="H310" s="276">
        <v>0</v>
      </c>
      <c r="I310" s="309">
        <v>0</v>
      </c>
      <c r="J310" s="309">
        <v>0</v>
      </c>
      <c r="K310" s="223">
        <f t="shared" si="20"/>
        <v>24</v>
      </c>
      <c r="L310" s="224">
        <f t="shared" si="21"/>
        <v>37</v>
      </c>
      <c r="M310" s="304"/>
      <c r="N310" s="262"/>
      <c r="O310" s="262"/>
      <c r="P310" s="262"/>
      <c r="Q310" s="262"/>
      <c r="R310" s="262"/>
      <c r="S310" s="262"/>
    </row>
    <row r="311" spans="1:19" x14ac:dyDescent="0.25">
      <c r="A311" s="210">
        <v>6504</v>
      </c>
      <c r="B311" s="211" t="s">
        <v>179</v>
      </c>
      <c r="C311" s="344">
        <v>31</v>
      </c>
      <c r="D311" s="224">
        <v>34</v>
      </c>
      <c r="E311" s="430">
        <v>0</v>
      </c>
      <c r="F311" s="309">
        <v>0</v>
      </c>
      <c r="G311" s="276">
        <v>0</v>
      </c>
      <c r="H311" s="276">
        <v>0</v>
      </c>
      <c r="I311" s="309">
        <v>0</v>
      </c>
      <c r="J311" s="309">
        <v>0</v>
      </c>
      <c r="K311" s="223">
        <f t="shared" si="20"/>
        <v>31</v>
      </c>
      <c r="L311" s="224">
        <f t="shared" si="21"/>
        <v>34</v>
      </c>
      <c r="M311" s="304"/>
      <c r="N311" s="262"/>
      <c r="O311" s="262"/>
      <c r="P311" s="262"/>
      <c r="Q311" s="262"/>
      <c r="R311" s="262"/>
      <c r="S311" s="262"/>
    </row>
    <row r="312" spans="1:19" x14ac:dyDescent="0.25">
      <c r="A312" s="210">
        <v>6505</v>
      </c>
      <c r="B312" s="211" t="s">
        <v>180</v>
      </c>
      <c r="C312" s="301">
        <v>0</v>
      </c>
      <c r="D312" s="224">
        <v>0</v>
      </c>
      <c r="E312" s="430">
        <v>0</v>
      </c>
      <c r="F312" s="309">
        <v>0</v>
      </c>
      <c r="G312" s="276">
        <v>0</v>
      </c>
      <c r="H312" s="276">
        <v>0</v>
      </c>
      <c r="I312" s="309">
        <v>0</v>
      </c>
      <c r="J312" s="309">
        <v>0</v>
      </c>
      <c r="K312" s="223">
        <f t="shared" si="20"/>
        <v>0</v>
      </c>
      <c r="L312" s="224">
        <f t="shared" si="21"/>
        <v>0</v>
      </c>
      <c r="M312" s="304"/>
      <c r="N312" s="262"/>
      <c r="O312" s="262"/>
      <c r="P312" s="262"/>
      <c r="Q312" s="262"/>
      <c r="R312" s="262"/>
      <c r="S312" s="262"/>
    </row>
    <row r="313" spans="1:19" x14ac:dyDescent="0.25">
      <c r="A313" s="210">
        <v>6506</v>
      </c>
      <c r="B313" s="211" t="s">
        <v>102</v>
      </c>
      <c r="C313" s="301">
        <v>0</v>
      </c>
      <c r="D313" s="224">
        <v>0</v>
      </c>
      <c r="E313" s="430">
        <v>0</v>
      </c>
      <c r="F313" s="309">
        <v>0</v>
      </c>
      <c r="G313" s="276">
        <v>0</v>
      </c>
      <c r="H313" s="276">
        <v>0</v>
      </c>
      <c r="I313" s="309">
        <v>0</v>
      </c>
      <c r="J313" s="309">
        <v>0</v>
      </c>
      <c r="K313" s="223">
        <f t="shared" si="20"/>
        <v>0</v>
      </c>
      <c r="L313" s="224">
        <f t="shared" si="21"/>
        <v>0</v>
      </c>
      <c r="M313" s="304"/>
      <c r="N313" s="262"/>
      <c r="O313" s="262"/>
      <c r="P313" s="262"/>
      <c r="Q313" s="262"/>
      <c r="R313" s="262"/>
      <c r="S313" s="262"/>
    </row>
    <row r="314" spans="1:19" x14ac:dyDescent="0.25">
      <c r="A314" s="210">
        <v>6507</v>
      </c>
      <c r="B314" s="211" t="s">
        <v>121</v>
      </c>
      <c r="C314" s="301">
        <v>2</v>
      </c>
      <c r="D314" s="224">
        <v>0</v>
      </c>
      <c r="E314" s="430">
        <v>0</v>
      </c>
      <c r="F314" s="309">
        <v>0</v>
      </c>
      <c r="G314" s="276">
        <v>0</v>
      </c>
      <c r="H314" s="276">
        <v>0</v>
      </c>
      <c r="I314" s="309">
        <v>0</v>
      </c>
      <c r="J314" s="309">
        <v>0</v>
      </c>
      <c r="K314" s="223">
        <f t="shared" si="20"/>
        <v>2</v>
      </c>
      <c r="L314" s="224">
        <f t="shared" si="21"/>
        <v>0</v>
      </c>
      <c r="M314" s="304"/>
      <c r="N314" s="262"/>
      <c r="O314" s="262"/>
      <c r="P314" s="262"/>
      <c r="Q314" s="262"/>
      <c r="R314" s="262"/>
      <c r="S314" s="262"/>
    </row>
    <row r="315" spans="1:19" x14ac:dyDescent="0.25">
      <c r="A315" s="210">
        <v>6508</v>
      </c>
      <c r="B315" s="211" t="s">
        <v>87</v>
      </c>
      <c r="C315" s="301">
        <v>35</v>
      </c>
      <c r="D315" s="224">
        <v>42</v>
      </c>
      <c r="E315" s="430">
        <v>0</v>
      </c>
      <c r="F315" s="309">
        <v>0</v>
      </c>
      <c r="G315" s="276">
        <v>0</v>
      </c>
      <c r="H315" s="276">
        <v>0</v>
      </c>
      <c r="I315" s="309">
        <v>0</v>
      </c>
      <c r="J315" s="309">
        <v>0</v>
      </c>
      <c r="K315" s="223">
        <f t="shared" si="20"/>
        <v>35</v>
      </c>
      <c r="L315" s="224">
        <f t="shared" si="21"/>
        <v>42</v>
      </c>
      <c r="M315" s="304"/>
      <c r="N315" s="262"/>
      <c r="O315" s="262"/>
      <c r="P315" s="262"/>
      <c r="Q315" s="262"/>
      <c r="R315" s="262"/>
      <c r="S315" s="262"/>
    </row>
    <row r="316" spans="1:19" x14ac:dyDescent="0.25">
      <c r="A316" s="210">
        <v>6509</v>
      </c>
      <c r="B316" s="211" t="s">
        <v>182</v>
      </c>
      <c r="C316" s="301">
        <v>68</v>
      </c>
      <c r="D316" s="224">
        <v>77</v>
      </c>
      <c r="E316" s="430">
        <v>0</v>
      </c>
      <c r="F316" s="309">
        <v>0</v>
      </c>
      <c r="G316" s="276">
        <v>0</v>
      </c>
      <c r="H316" s="276">
        <v>0</v>
      </c>
      <c r="I316" s="309">
        <v>0</v>
      </c>
      <c r="J316" s="309">
        <v>0</v>
      </c>
      <c r="K316" s="223">
        <f t="shared" si="20"/>
        <v>68</v>
      </c>
      <c r="L316" s="224">
        <f t="shared" si="21"/>
        <v>77</v>
      </c>
      <c r="M316" s="304"/>
      <c r="N316" s="262"/>
      <c r="O316" s="262"/>
      <c r="P316" s="262"/>
      <c r="Q316" s="262"/>
      <c r="R316" s="262"/>
      <c r="S316" s="262"/>
    </row>
    <row r="317" spans="1:19" x14ac:dyDescent="0.25">
      <c r="A317" s="210">
        <v>6510</v>
      </c>
      <c r="B317" s="211" t="s">
        <v>98</v>
      </c>
      <c r="C317" s="301">
        <v>0</v>
      </c>
      <c r="D317" s="224">
        <v>3</v>
      </c>
      <c r="E317" s="430">
        <v>0</v>
      </c>
      <c r="F317" s="309">
        <v>0</v>
      </c>
      <c r="G317" s="276">
        <v>0</v>
      </c>
      <c r="H317" s="276">
        <v>0</v>
      </c>
      <c r="I317" s="309">
        <v>0</v>
      </c>
      <c r="J317" s="309">
        <v>0</v>
      </c>
      <c r="K317" s="223">
        <f t="shared" si="20"/>
        <v>0</v>
      </c>
      <c r="L317" s="224">
        <f t="shared" si="21"/>
        <v>3</v>
      </c>
      <c r="M317" s="304"/>
      <c r="N317" s="262"/>
      <c r="O317" s="262"/>
      <c r="P317" s="262"/>
      <c r="Q317" s="262"/>
      <c r="R317" s="262"/>
      <c r="S317" s="262"/>
    </row>
    <row r="318" spans="1:19" x14ac:dyDescent="0.25">
      <c r="A318" s="210">
        <v>6511</v>
      </c>
      <c r="B318" s="211" t="s">
        <v>103</v>
      </c>
      <c r="C318" s="301">
        <v>2</v>
      </c>
      <c r="D318" s="224">
        <v>0</v>
      </c>
      <c r="E318" s="430">
        <v>0</v>
      </c>
      <c r="F318" s="309">
        <v>0</v>
      </c>
      <c r="G318" s="276">
        <v>0</v>
      </c>
      <c r="H318" s="276">
        <v>0</v>
      </c>
      <c r="I318" s="309">
        <v>0</v>
      </c>
      <c r="J318" s="309">
        <v>0</v>
      </c>
      <c r="K318" s="223">
        <f t="shared" si="20"/>
        <v>2</v>
      </c>
      <c r="L318" s="224">
        <f t="shared" si="21"/>
        <v>0</v>
      </c>
      <c r="M318" s="304"/>
      <c r="N318" s="262"/>
      <c r="O318" s="262"/>
      <c r="P318" s="262"/>
      <c r="Q318" s="262"/>
      <c r="R318" s="262"/>
      <c r="S318" s="262"/>
    </row>
    <row r="319" spans="1:19" x14ac:dyDescent="0.25">
      <c r="A319" s="210">
        <v>6512</v>
      </c>
      <c r="B319" s="211" t="s">
        <v>183</v>
      </c>
      <c r="C319" s="301">
        <v>0</v>
      </c>
      <c r="D319" s="224">
        <v>0</v>
      </c>
      <c r="E319" s="430">
        <v>0</v>
      </c>
      <c r="F319" s="309">
        <v>0</v>
      </c>
      <c r="G319" s="276">
        <v>0</v>
      </c>
      <c r="H319" s="276">
        <v>0</v>
      </c>
      <c r="I319" s="309">
        <v>0</v>
      </c>
      <c r="J319" s="309">
        <v>0</v>
      </c>
      <c r="K319" s="223">
        <f t="shared" si="20"/>
        <v>0</v>
      </c>
      <c r="L319" s="224">
        <f t="shared" si="21"/>
        <v>0</v>
      </c>
      <c r="M319" s="304"/>
      <c r="N319" s="262"/>
      <c r="O319" s="262"/>
      <c r="P319" s="262"/>
      <c r="Q319" s="262"/>
      <c r="R319" s="262"/>
      <c r="S319" s="262"/>
    </row>
    <row r="320" spans="1:19" x14ac:dyDescent="0.25">
      <c r="A320" s="210">
        <v>6513</v>
      </c>
      <c r="B320" s="211" t="s">
        <v>184</v>
      </c>
      <c r="C320" s="301">
        <v>1</v>
      </c>
      <c r="D320" s="224">
        <v>0</v>
      </c>
      <c r="E320" s="430">
        <v>0</v>
      </c>
      <c r="F320" s="309">
        <v>0</v>
      </c>
      <c r="G320" s="276">
        <v>0</v>
      </c>
      <c r="H320" s="276">
        <v>0</v>
      </c>
      <c r="I320" s="309">
        <v>0</v>
      </c>
      <c r="J320" s="309">
        <v>0</v>
      </c>
      <c r="K320" s="223">
        <f t="shared" si="20"/>
        <v>1</v>
      </c>
      <c r="L320" s="224">
        <f t="shared" si="21"/>
        <v>0</v>
      </c>
      <c r="M320" s="304"/>
      <c r="N320" s="262"/>
      <c r="O320" s="262"/>
      <c r="P320" s="262"/>
      <c r="Q320" s="262"/>
      <c r="R320" s="262"/>
      <c r="S320" s="262"/>
    </row>
    <row r="321" spans="1:19" x14ac:dyDescent="0.25">
      <c r="A321" s="210">
        <v>6514</v>
      </c>
      <c r="B321" s="211" t="s">
        <v>108</v>
      </c>
      <c r="C321" s="301">
        <v>2</v>
      </c>
      <c r="D321" s="224">
        <v>3</v>
      </c>
      <c r="E321" s="430">
        <v>0</v>
      </c>
      <c r="F321" s="309">
        <v>0</v>
      </c>
      <c r="G321" s="276">
        <v>0</v>
      </c>
      <c r="H321" s="276">
        <v>0</v>
      </c>
      <c r="I321" s="309">
        <v>0</v>
      </c>
      <c r="J321" s="309">
        <v>0</v>
      </c>
      <c r="K321" s="223">
        <f t="shared" si="20"/>
        <v>2</v>
      </c>
      <c r="L321" s="224">
        <f t="shared" si="21"/>
        <v>3</v>
      </c>
      <c r="M321" s="304"/>
      <c r="N321" s="262"/>
      <c r="O321" s="262"/>
      <c r="P321" s="262"/>
      <c r="Q321" s="262"/>
      <c r="R321" s="262"/>
      <c r="S321" s="262"/>
    </row>
    <row r="322" spans="1:19" x14ac:dyDescent="0.25">
      <c r="A322" s="210">
        <v>6515</v>
      </c>
      <c r="B322" s="211" t="s">
        <v>185</v>
      </c>
      <c r="C322" s="301">
        <v>0</v>
      </c>
      <c r="D322" s="224">
        <v>0</v>
      </c>
      <c r="E322" s="430">
        <v>0</v>
      </c>
      <c r="F322" s="309">
        <v>0</v>
      </c>
      <c r="G322" s="276">
        <v>0</v>
      </c>
      <c r="H322" s="276">
        <v>0</v>
      </c>
      <c r="I322" s="309">
        <v>0</v>
      </c>
      <c r="J322" s="309">
        <v>0</v>
      </c>
      <c r="K322" s="223">
        <f t="shared" si="20"/>
        <v>0</v>
      </c>
      <c r="L322" s="224">
        <f t="shared" si="21"/>
        <v>0</v>
      </c>
      <c r="M322" s="304"/>
      <c r="N322" s="262"/>
      <c r="O322" s="262"/>
      <c r="P322" s="262"/>
      <c r="Q322" s="262"/>
      <c r="R322" s="262"/>
      <c r="S322" s="262"/>
    </row>
    <row r="323" spans="1:19" x14ac:dyDescent="0.25">
      <c r="A323" s="210">
        <v>6516</v>
      </c>
      <c r="B323" s="211" t="s">
        <v>109</v>
      </c>
      <c r="C323" s="301">
        <v>3</v>
      </c>
      <c r="D323" s="224">
        <v>5</v>
      </c>
      <c r="E323" s="430">
        <v>0</v>
      </c>
      <c r="F323" s="309">
        <v>0</v>
      </c>
      <c r="G323" s="276">
        <v>0</v>
      </c>
      <c r="H323" s="276">
        <v>0</v>
      </c>
      <c r="I323" s="309">
        <v>0</v>
      </c>
      <c r="J323" s="309">
        <v>0</v>
      </c>
      <c r="K323" s="223">
        <f t="shared" si="20"/>
        <v>3</v>
      </c>
      <c r="L323" s="224">
        <f t="shared" si="21"/>
        <v>5</v>
      </c>
      <c r="M323" s="304"/>
      <c r="N323" s="262"/>
      <c r="O323" s="262"/>
      <c r="P323" s="262"/>
      <c r="Q323" s="262"/>
      <c r="R323" s="262"/>
      <c r="S323" s="262"/>
    </row>
    <row r="324" spans="1:19" x14ac:dyDescent="0.25">
      <c r="A324" s="210">
        <v>6517</v>
      </c>
      <c r="B324" s="211" t="s">
        <v>186</v>
      </c>
      <c r="C324" s="301">
        <v>0</v>
      </c>
      <c r="D324" s="224">
        <v>0</v>
      </c>
      <c r="E324" s="430">
        <v>0</v>
      </c>
      <c r="F324" s="309">
        <v>0</v>
      </c>
      <c r="G324" s="276">
        <v>0</v>
      </c>
      <c r="H324" s="276">
        <v>0</v>
      </c>
      <c r="I324" s="309">
        <v>0</v>
      </c>
      <c r="J324" s="309">
        <v>0</v>
      </c>
      <c r="K324" s="223">
        <f t="shared" si="20"/>
        <v>0</v>
      </c>
      <c r="L324" s="224">
        <f t="shared" si="21"/>
        <v>0</v>
      </c>
      <c r="M324" s="304"/>
      <c r="N324" s="262"/>
      <c r="O324" s="262"/>
      <c r="P324" s="262"/>
      <c r="Q324" s="262"/>
      <c r="R324" s="262"/>
      <c r="S324" s="262"/>
    </row>
    <row r="325" spans="1:19" x14ac:dyDescent="0.25">
      <c r="A325" s="210">
        <v>6518</v>
      </c>
      <c r="B325" s="211" t="s">
        <v>187</v>
      </c>
      <c r="C325" s="301">
        <v>0</v>
      </c>
      <c r="D325" s="224">
        <v>0</v>
      </c>
      <c r="E325" s="430">
        <v>0</v>
      </c>
      <c r="F325" s="309">
        <v>0</v>
      </c>
      <c r="G325" s="276">
        <v>0</v>
      </c>
      <c r="H325" s="276">
        <v>0</v>
      </c>
      <c r="I325" s="309">
        <v>0</v>
      </c>
      <c r="J325" s="309">
        <v>0</v>
      </c>
      <c r="K325" s="223">
        <f t="shared" si="20"/>
        <v>0</v>
      </c>
      <c r="L325" s="224">
        <f t="shared" si="21"/>
        <v>0</v>
      </c>
      <c r="M325" s="304"/>
      <c r="N325" s="262"/>
      <c r="O325" s="262"/>
      <c r="P325" s="262"/>
      <c r="Q325" s="262"/>
      <c r="R325" s="262"/>
      <c r="S325" s="262"/>
    </row>
    <row r="326" spans="1:19" x14ac:dyDescent="0.25">
      <c r="A326" s="210">
        <v>6519</v>
      </c>
      <c r="B326" s="211" t="s">
        <v>188</v>
      </c>
      <c r="C326" s="301">
        <v>0</v>
      </c>
      <c r="D326" s="224">
        <v>0</v>
      </c>
      <c r="E326" s="430">
        <v>0</v>
      </c>
      <c r="F326" s="309">
        <v>0</v>
      </c>
      <c r="G326" s="276">
        <v>0</v>
      </c>
      <c r="H326" s="276">
        <v>0</v>
      </c>
      <c r="I326" s="309">
        <v>0</v>
      </c>
      <c r="J326" s="309">
        <v>0</v>
      </c>
      <c r="K326" s="223">
        <f t="shared" si="20"/>
        <v>0</v>
      </c>
      <c r="L326" s="224">
        <f t="shared" si="21"/>
        <v>0</v>
      </c>
      <c r="M326" s="304"/>
      <c r="N326" s="262"/>
      <c r="O326" s="262"/>
      <c r="P326" s="262"/>
      <c r="Q326" s="262"/>
      <c r="R326" s="262"/>
      <c r="S326" s="262"/>
    </row>
    <row r="327" spans="1:19" x14ac:dyDescent="0.25">
      <c r="A327" s="210">
        <v>6520</v>
      </c>
      <c r="B327" s="211" t="s">
        <v>227</v>
      </c>
      <c r="C327" s="301">
        <v>0</v>
      </c>
      <c r="D327" s="224">
        <v>0</v>
      </c>
      <c r="E327" s="430">
        <v>0</v>
      </c>
      <c r="F327" s="309">
        <v>0</v>
      </c>
      <c r="G327" s="276">
        <v>0</v>
      </c>
      <c r="H327" s="276">
        <v>0</v>
      </c>
      <c r="I327" s="309">
        <v>0</v>
      </c>
      <c r="J327" s="309">
        <v>0</v>
      </c>
      <c r="K327" s="223">
        <f t="shared" ref="K327:K358" si="22">C327+E327-G327-I327</f>
        <v>0</v>
      </c>
      <c r="L327" s="224">
        <f t="shared" ref="L327:L358" si="23">D327+F327-H327-J327</f>
        <v>0</v>
      </c>
      <c r="M327" s="304"/>
      <c r="N327" s="262"/>
      <c r="O327" s="262"/>
      <c r="P327" s="262"/>
      <c r="Q327" s="262"/>
      <c r="R327" s="262"/>
      <c r="S327" s="262"/>
    </row>
    <row r="328" spans="1:19" x14ac:dyDescent="0.25">
      <c r="A328" s="210">
        <v>6521</v>
      </c>
      <c r="B328" s="211" t="s">
        <v>189</v>
      </c>
      <c r="C328" s="301">
        <v>0</v>
      </c>
      <c r="D328" s="224">
        <v>0</v>
      </c>
      <c r="E328" s="430">
        <v>0</v>
      </c>
      <c r="F328" s="309">
        <v>0</v>
      </c>
      <c r="G328" s="276">
        <v>0</v>
      </c>
      <c r="H328" s="276">
        <v>0</v>
      </c>
      <c r="I328" s="309">
        <v>0</v>
      </c>
      <c r="J328" s="309">
        <v>0</v>
      </c>
      <c r="K328" s="223">
        <f t="shared" si="22"/>
        <v>0</v>
      </c>
      <c r="L328" s="224">
        <f t="shared" si="23"/>
        <v>0</v>
      </c>
      <c r="M328" s="304"/>
      <c r="N328" s="262"/>
      <c r="O328" s="262"/>
      <c r="P328" s="262"/>
      <c r="Q328" s="262"/>
      <c r="R328" s="262"/>
      <c r="S328" s="262"/>
    </row>
    <row r="329" spans="1:19" x14ac:dyDescent="0.25">
      <c r="A329" s="210">
        <v>6522</v>
      </c>
      <c r="B329" s="211" t="s">
        <v>190</v>
      </c>
      <c r="C329" s="301">
        <v>0</v>
      </c>
      <c r="D329" s="224">
        <v>0</v>
      </c>
      <c r="E329" s="430">
        <v>0</v>
      </c>
      <c r="F329" s="309">
        <v>0</v>
      </c>
      <c r="G329" s="276">
        <v>0</v>
      </c>
      <c r="H329" s="276">
        <v>0</v>
      </c>
      <c r="I329" s="309">
        <v>0</v>
      </c>
      <c r="J329" s="309">
        <v>0</v>
      </c>
      <c r="K329" s="223">
        <f t="shared" si="22"/>
        <v>0</v>
      </c>
      <c r="L329" s="224">
        <f t="shared" si="23"/>
        <v>0</v>
      </c>
      <c r="M329" s="304"/>
      <c r="N329" s="262"/>
      <c r="O329" s="262"/>
      <c r="P329" s="262"/>
      <c r="Q329" s="262"/>
      <c r="R329" s="262"/>
      <c r="S329" s="262"/>
    </row>
    <row r="330" spans="1:19" x14ac:dyDescent="0.25">
      <c r="A330" s="210">
        <v>6523</v>
      </c>
      <c r="B330" s="211" t="s">
        <v>191</v>
      </c>
      <c r="C330" s="301">
        <v>0</v>
      </c>
      <c r="D330" s="224">
        <v>0</v>
      </c>
      <c r="E330" s="430">
        <v>0</v>
      </c>
      <c r="F330" s="309">
        <v>0</v>
      </c>
      <c r="G330" s="276">
        <v>0</v>
      </c>
      <c r="H330" s="276">
        <v>0</v>
      </c>
      <c r="I330" s="309">
        <v>0</v>
      </c>
      <c r="J330" s="309">
        <v>0</v>
      </c>
      <c r="K330" s="223">
        <f t="shared" si="22"/>
        <v>0</v>
      </c>
      <c r="L330" s="224">
        <f t="shared" si="23"/>
        <v>0</v>
      </c>
      <c r="M330" s="304"/>
      <c r="N330" s="262"/>
      <c r="O330" s="262"/>
      <c r="P330" s="262"/>
      <c r="Q330" s="262"/>
      <c r="R330" s="262"/>
      <c r="S330" s="262"/>
    </row>
    <row r="331" spans="1:19" x14ac:dyDescent="0.25">
      <c r="A331" s="210">
        <v>6524</v>
      </c>
      <c r="B331" s="211" t="s">
        <v>192</v>
      </c>
      <c r="C331" s="301">
        <v>0</v>
      </c>
      <c r="D331" s="224">
        <v>0</v>
      </c>
      <c r="E331" s="430">
        <v>0</v>
      </c>
      <c r="F331" s="309">
        <v>0</v>
      </c>
      <c r="G331" s="276">
        <v>0</v>
      </c>
      <c r="H331" s="276">
        <v>0</v>
      </c>
      <c r="I331" s="309">
        <v>0</v>
      </c>
      <c r="J331" s="309">
        <v>0</v>
      </c>
      <c r="K331" s="223">
        <f t="shared" si="22"/>
        <v>0</v>
      </c>
      <c r="L331" s="224">
        <f t="shared" si="23"/>
        <v>0</v>
      </c>
      <c r="M331" s="304"/>
      <c r="N331" s="262"/>
      <c r="O331" s="262"/>
      <c r="P331" s="262"/>
      <c r="Q331" s="262"/>
      <c r="R331" s="262"/>
      <c r="S331" s="262"/>
    </row>
    <row r="332" spans="1:19" x14ac:dyDescent="0.25">
      <c r="A332" s="210">
        <v>6525</v>
      </c>
      <c r="B332" s="211" t="s">
        <v>193</v>
      </c>
      <c r="C332" s="301">
        <v>0</v>
      </c>
      <c r="D332" s="224">
        <v>0</v>
      </c>
      <c r="E332" s="430">
        <v>0</v>
      </c>
      <c r="F332" s="309">
        <v>0</v>
      </c>
      <c r="G332" s="276">
        <v>0</v>
      </c>
      <c r="H332" s="276">
        <v>0</v>
      </c>
      <c r="I332" s="309">
        <v>0</v>
      </c>
      <c r="J332" s="309">
        <v>0</v>
      </c>
      <c r="K332" s="223">
        <f t="shared" si="22"/>
        <v>0</v>
      </c>
      <c r="L332" s="224">
        <f t="shared" si="23"/>
        <v>0</v>
      </c>
      <c r="M332" s="304"/>
      <c r="N332" s="262"/>
      <c r="O332" s="262"/>
      <c r="P332" s="262"/>
      <c r="Q332" s="262"/>
      <c r="R332" s="262"/>
      <c r="S332" s="262"/>
    </row>
    <row r="333" spans="1:19" x14ac:dyDescent="0.25">
      <c r="A333" s="210">
        <v>6526</v>
      </c>
      <c r="B333" s="211" t="s">
        <v>228</v>
      </c>
      <c r="C333" s="301">
        <v>0</v>
      </c>
      <c r="D333" s="224">
        <v>0</v>
      </c>
      <c r="E333" s="430">
        <v>0</v>
      </c>
      <c r="F333" s="309">
        <v>0</v>
      </c>
      <c r="G333" s="276">
        <v>0</v>
      </c>
      <c r="H333" s="276">
        <v>0</v>
      </c>
      <c r="I333" s="309">
        <v>0</v>
      </c>
      <c r="J333" s="309">
        <v>0</v>
      </c>
      <c r="K333" s="223">
        <f t="shared" si="22"/>
        <v>0</v>
      </c>
      <c r="L333" s="224">
        <f t="shared" si="23"/>
        <v>0</v>
      </c>
      <c r="M333" s="304"/>
      <c r="N333" s="262"/>
      <c r="O333" s="262"/>
      <c r="P333" s="262"/>
      <c r="Q333" s="262"/>
      <c r="R333" s="262"/>
      <c r="S333" s="262"/>
    </row>
    <row r="334" spans="1:19" x14ac:dyDescent="0.25">
      <c r="A334" s="210">
        <v>6527</v>
      </c>
      <c r="B334" s="211" t="s">
        <v>229</v>
      </c>
      <c r="C334" s="301">
        <v>4</v>
      </c>
      <c r="D334" s="224">
        <v>9</v>
      </c>
      <c r="E334" s="430">
        <v>0</v>
      </c>
      <c r="F334" s="309">
        <v>0</v>
      </c>
      <c r="G334" s="276">
        <v>0</v>
      </c>
      <c r="H334" s="276">
        <v>0</v>
      </c>
      <c r="I334" s="309">
        <v>0</v>
      </c>
      <c r="J334" s="309">
        <v>0</v>
      </c>
      <c r="K334" s="223">
        <f t="shared" si="22"/>
        <v>4</v>
      </c>
      <c r="L334" s="224">
        <f t="shared" si="23"/>
        <v>9</v>
      </c>
      <c r="M334" s="304"/>
      <c r="N334" s="262"/>
      <c r="O334" s="262"/>
      <c r="P334" s="262"/>
      <c r="Q334" s="262"/>
      <c r="R334" s="262"/>
      <c r="S334" s="262"/>
    </row>
    <row r="335" spans="1:19" x14ac:dyDescent="0.25">
      <c r="A335" s="210">
        <v>6528</v>
      </c>
      <c r="B335" s="211" t="s">
        <v>197</v>
      </c>
      <c r="C335" s="301">
        <v>0</v>
      </c>
      <c r="D335" s="224">
        <v>1</v>
      </c>
      <c r="E335" s="430">
        <v>0</v>
      </c>
      <c r="F335" s="309">
        <v>0</v>
      </c>
      <c r="G335" s="276">
        <v>0</v>
      </c>
      <c r="H335" s="276">
        <v>0</v>
      </c>
      <c r="I335" s="309">
        <v>0</v>
      </c>
      <c r="J335" s="309">
        <v>0</v>
      </c>
      <c r="K335" s="223">
        <f t="shared" si="22"/>
        <v>0</v>
      </c>
      <c r="L335" s="224">
        <f t="shared" si="23"/>
        <v>1</v>
      </c>
      <c r="M335" s="304"/>
      <c r="N335" s="262"/>
      <c r="O335" s="262"/>
      <c r="P335" s="262"/>
      <c r="Q335" s="262"/>
      <c r="R335" s="262"/>
      <c r="S335" s="262"/>
    </row>
    <row r="336" spans="1:19" x14ac:dyDescent="0.25">
      <c r="A336" s="210">
        <v>6529</v>
      </c>
      <c r="B336" s="211" t="s">
        <v>201</v>
      </c>
      <c r="C336" s="301">
        <v>21</v>
      </c>
      <c r="D336" s="224">
        <v>13</v>
      </c>
      <c r="E336" s="430">
        <v>0</v>
      </c>
      <c r="F336" s="309">
        <v>0</v>
      </c>
      <c r="G336" s="276">
        <v>0</v>
      </c>
      <c r="H336" s="276">
        <v>0</v>
      </c>
      <c r="I336" s="309">
        <v>0</v>
      </c>
      <c r="J336" s="309">
        <v>0</v>
      </c>
      <c r="K336" s="223">
        <f t="shared" si="22"/>
        <v>21</v>
      </c>
      <c r="L336" s="224">
        <f t="shared" si="23"/>
        <v>13</v>
      </c>
      <c r="M336" s="304"/>
      <c r="N336" s="262"/>
      <c r="O336" s="262"/>
      <c r="P336" s="262"/>
      <c r="Q336" s="262"/>
      <c r="R336" s="262"/>
      <c r="S336" s="262"/>
    </row>
    <row r="337" spans="1:19" ht="30" x14ac:dyDescent="0.25">
      <c r="A337" s="210">
        <v>6599</v>
      </c>
      <c r="B337" s="211" t="s">
        <v>202</v>
      </c>
      <c r="C337" s="301">
        <v>0</v>
      </c>
      <c r="D337" s="224">
        <v>0</v>
      </c>
      <c r="E337" s="430">
        <v>0</v>
      </c>
      <c r="F337" s="309">
        <v>0</v>
      </c>
      <c r="G337" s="276">
        <v>0</v>
      </c>
      <c r="H337" s="276">
        <v>0</v>
      </c>
      <c r="I337" s="309">
        <v>0</v>
      </c>
      <c r="J337" s="309">
        <v>0</v>
      </c>
      <c r="K337" s="223">
        <f t="shared" si="22"/>
        <v>0</v>
      </c>
      <c r="L337" s="224">
        <f t="shared" si="23"/>
        <v>0</v>
      </c>
      <c r="M337" s="304"/>
      <c r="N337" s="262"/>
      <c r="O337" s="262"/>
      <c r="P337" s="262"/>
      <c r="Q337" s="262"/>
      <c r="R337" s="262"/>
      <c r="S337" s="262"/>
    </row>
    <row r="338" spans="1:19" x14ac:dyDescent="0.25">
      <c r="A338" s="210">
        <v>6601</v>
      </c>
      <c r="B338" s="211" t="s">
        <v>230</v>
      </c>
      <c r="C338" s="301">
        <v>7</v>
      </c>
      <c r="D338" s="224">
        <v>21</v>
      </c>
      <c r="E338" s="430">
        <v>0</v>
      </c>
      <c r="F338" s="309">
        <v>0</v>
      </c>
      <c r="G338" s="276">
        <v>0</v>
      </c>
      <c r="H338" s="276">
        <v>0</v>
      </c>
      <c r="I338" s="309">
        <v>0</v>
      </c>
      <c r="J338" s="309">
        <v>0</v>
      </c>
      <c r="K338" s="223">
        <f t="shared" si="22"/>
        <v>7</v>
      </c>
      <c r="L338" s="224">
        <f t="shared" si="23"/>
        <v>21</v>
      </c>
      <c r="M338" s="304"/>
      <c r="N338" s="262"/>
      <c r="O338" s="262"/>
      <c r="P338" s="262"/>
      <c r="Q338" s="262"/>
      <c r="R338" s="262"/>
      <c r="S338" s="262"/>
    </row>
    <row r="339" spans="1:19" x14ac:dyDescent="0.25">
      <c r="A339" s="210">
        <v>6602</v>
      </c>
      <c r="B339" s="211" t="s">
        <v>205</v>
      </c>
      <c r="C339" s="301">
        <v>0</v>
      </c>
      <c r="D339" s="224">
        <v>0</v>
      </c>
      <c r="E339" s="430">
        <v>0</v>
      </c>
      <c r="F339" s="309">
        <v>0</v>
      </c>
      <c r="G339" s="276">
        <v>0</v>
      </c>
      <c r="H339" s="276">
        <v>0</v>
      </c>
      <c r="I339" s="309">
        <v>0</v>
      </c>
      <c r="J339" s="309">
        <v>0</v>
      </c>
      <c r="K339" s="223">
        <f t="shared" si="22"/>
        <v>0</v>
      </c>
      <c r="L339" s="224">
        <f t="shared" si="23"/>
        <v>0</v>
      </c>
      <c r="M339" s="304"/>
      <c r="N339" s="262"/>
      <c r="O339" s="262"/>
      <c r="P339" s="262"/>
      <c r="Q339" s="262"/>
      <c r="R339" s="262"/>
      <c r="S339" s="262"/>
    </row>
    <row r="340" spans="1:19" x14ac:dyDescent="0.25">
      <c r="A340" s="210">
        <v>6603</v>
      </c>
      <c r="B340" s="211" t="s">
        <v>231</v>
      </c>
      <c r="C340" s="301">
        <v>0</v>
      </c>
      <c r="D340" s="224">
        <v>0</v>
      </c>
      <c r="E340" s="430">
        <v>0</v>
      </c>
      <c r="F340" s="309">
        <v>0</v>
      </c>
      <c r="G340" s="276">
        <v>0</v>
      </c>
      <c r="H340" s="276">
        <v>0</v>
      </c>
      <c r="I340" s="309">
        <v>0</v>
      </c>
      <c r="J340" s="309">
        <v>0</v>
      </c>
      <c r="K340" s="223">
        <f t="shared" si="22"/>
        <v>0</v>
      </c>
      <c r="L340" s="224">
        <f t="shared" si="23"/>
        <v>0</v>
      </c>
      <c r="M340" s="304"/>
      <c r="N340" s="262"/>
      <c r="O340" s="262"/>
      <c r="P340" s="262"/>
      <c r="Q340" s="262"/>
      <c r="R340" s="262"/>
      <c r="S340" s="262"/>
    </row>
    <row r="341" spans="1:19" x14ac:dyDescent="0.25">
      <c r="A341" s="210">
        <v>6604</v>
      </c>
      <c r="B341" s="211" t="s">
        <v>204</v>
      </c>
      <c r="C341" s="301">
        <v>0</v>
      </c>
      <c r="D341" s="224">
        <v>0</v>
      </c>
      <c r="E341" s="430">
        <v>0</v>
      </c>
      <c r="F341" s="309">
        <v>0</v>
      </c>
      <c r="G341" s="276">
        <v>0</v>
      </c>
      <c r="H341" s="276">
        <v>0</v>
      </c>
      <c r="I341" s="309">
        <v>0</v>
      </c>
      <c r="J341" s="309">
        <v>0</v>
      </c>
      <c r="K341" s="223">
        <f t="shared" si="22"/>
        <v>0</v>
      </c>
      <c r="L341" s="224">
        <f t="shared" si="23"/>
        <v>0</v>
      </c>
      <c r="M341" s="304"/>
      <c r="N341" s="262"/>
      <c r="O341" s="262"/>
      <c r="P341" s="262"/>
      <c r="Q341" s="262"/>
      <c r="R341" s="262"/>
      <c r="S341" s="262"/>
    </row>
    <row r="342" spans="1:19" x14ac:dyDescent="0.25">
      <c r="A342" s="210">
        <v>6605</v>
      </c>
      <c r="B342" s="211" t="s">
        <v>98</v>
      </c>
      <c r="C342" s="301">
        <v>11</v>
      </c>
      <c r="D342" s="224">
        <v>7</v>
      </c>
      <c r="E342" s="430">
        <v>0</v>
      </c>
      <c r="F342" s="309">
        <v>0</v>
      </c>
      <c r="G342" s="276">
        <v>0</v>
      </c>
      <c r="H342" s="276">
        <v>0</v>
      </c>
      <c r="I342" s="309">
        <v>0</v>
      </c>
      <c r="J342" s="309">
        <v>0</v>
      </c>
      <c r="K342" s="223">
        <f t="shared" si="22"/>
        <v>11</v>
      </c>
      <c r="L342" s="224">
        <f t="shared" si="23"/>
        <v>7</v>
      </c>
      <c r="M342" s="304"/>
      <c r="N342" s="262"/>
      <c r="O342" s="262"/>
      <c r="P342" s="262"/>
      <c r="Q342" s="262"/>
      <c r="R342" s="262"/>
      <c r="S342" s="262"/>
    </row>
    <row r="343" spans="1:19" x14ac:dyDescent="0.25">
      <c r="A343" s="210">
        <v>6606</v>
      </c>
      <c r="B343" s="211" t="s">
        <v>125</v>
      </c>
      <c r="C343" s="301">
        <v>2</v>
      </c>
      <c r="D343" s="224">
        <v>0</v>
      </c>
      <c r="E343" s="430">
        <v>0</v>
      </c>
      <c r="F343" s="309">
        <v>0</v>
      </c>
      <c r="G343" s="276">
        <v>0</v>
      </c>
      <c r="H343" s="276">
        <v>0</v>
      </c>
      <c r="I343" s="309">
        <v>0</v>
      </c>
      <c r="J343" s="309">
        <v>0</v>
      </c>
      <c r="K343" s="223">
        <f t="shared" si="22"/>
        <v>2</v>
      </c>
      <c r="L343" s="224">
        <f t="shared" si="23"/>
        <v>0</v>
      </c>
      <c r="M343" s="304"/>
      <c r="N343" s="262"/>
      <c r="O343" s="262"/>
      <c r="P343" s="262"/>
      <c r="Q343" s="262"/>
      <c r="R343" s="262"/>
      <c r="S343" s="262"/>
    </row>
    <row r="344" spans="1:19" x14ac:dyDescent="0.25">
      <c r="A344" s="210">
        <v>6607</v>
      </c>
      <c r="B344" s="211" t="s">
        <v>100</v>
      </c>
      <c r="C344" s="301">
        <v>4</v>
      </c>
      <c r="D344" s="224">
        <v>8</v>
      </c>
      <c r="E344" s="430">
        <v>0</v>
      </c>
      <c r="F344" s="309">
        <v>0</v>
      </c>
      <c r="G344" s="276">
        <v>0</v>
      </c>
      <c r="H344" s="276">
        <v>0</v>
      </c>
      <c r="I344" s="309">
        <v>0</v>
      </c>
      <c r="J344" s="309">
        <v>0</v>
      </c>
      <c r="K344" s="223">
        <f t="shared" si="22"/>
        <v>4</v>
      </c>
      <c r="L344" s="224">
        <f t="shared" si="23"/>
        <v>8</v>
      </c>
      <c r="M344" s="304"/>
      <c r="N344" s="262"/>
      <c r="O344" s="262"/>
      <c r="P344" s="262"/>
      <c r="Q344" s="262"/>
      <c r="R344" s="262"/>
      <c r="S344" s="262"/>
    </row>
    <row r="345" spans="1:19" x14ac:dyDescent="0.25">
      <c r="A345" s="210">
        <v>6608</v>
      </c>
      <c r="B345" s="211" t="s">
        <v>197</v>
      </c>
      <c r="C345" s="301">
        <v>0</v>
      </c>
      <c r="D345" s="224">
        <v>0</v>
      </c>
      <c r="E345" s="430">
        <v>0</v>
      </c>
      <c r="F345" s="309">
        <v>0</v>
      </c>
      <c r="G345" s="276">
        <v>0</v>
      </c>
      <c r="H345" s="276">
        <v>0</v>
      </c>
      <c r="I345" s="309">
        <v>0</v>
      </c>
      <c r="J345" s="309">
        <v>0</v>
      </c>
      <c r="K345" s="223">
        <f t="shared" si="22"/>
        <v>0</v>
      </c>
      <c r="L345" s="224">
        <f t="shared" si="23"/>
        <v>0</v>
      </c>
      <c r="M345" s="304"/>
      <c r="N345" s="262"/>
      <c r="O345" s="262"/>
      <c r="P345" s="262"/>
      <c r="Q345" s="262"/>
      <c r="R345" s="262"/>
      <c r="S345" s="262"/>
    </row>
    <row r="346" spans="1:19" x14ac:dyDescent="0.25">
      <c r="A346" s="210">
        <v>6609</v>
      </c>
      <c r="B346" s="211" t="s">
        <v>193</v>
      </c>
      <c r="C346" s="301">
        <v>0</v>
      </c>
      <c r="D346" s="224">
        <v>0</v>
      </c>
      <c r="E346" s="430">
        <v>0</v>
      </c>
      <c r="F346" s="309">
        <v>0</v>
      </c>
      <c r="G346" s="276">
        <v>0</v>
      </c>
      <c r="H346" s="276">
        <v>0</v>
      </c>
      <c r="I346" s="309">
        <v>0</v>
      </c>
      <c r="J346" s="309">
        <v>0</v>
      </c>
      <c r="K346" s="223">
        <f t="shared" si="22"/>
        <v>0</v>
      </c>
      <c r="L346" s="224">
        <f t="shared" si="23"/>
        <v>0</v>
      </c>
      <c r="M346" s="304"/>
      <c r="N346" s="262"/>
      <c r="O346" s="262"/>
      <c r="P346" s="262"/>
      <c r="Q346" s="262"/>
      <c r="R346" s="262"/>
      <c r="S346" s="262"/>
    </row>
    <row r="347" spans="1:19" x14ac:dyDescent="0.25">
      <c r="A347" s="210">
        <v>6610</v>
      </c>
      <c r="B347" s="211" t="s">
        <v>232</v>
      </c>
      <c r="C347" s="301">
        <v>0</v>
      </c>
      <c r="D347" s="224">
        <v>2</v>
      </c>
      <c r="E347" s="430">
        <v>1</v>
      </c>
      <c r="F347" s="309">
        <v>1</v>
      </c>
      <c r="G347" s="276">
        <v>0</v>
      </c>
      <c r="H347" s="276">
        <v>0</v>
      </c>
      <c r="I347" s="309">
        <v>0</v>
      </c>
      <c r="J347" s="309">
        <v>0</v>
      </c>
      <c r="K347" s="223">
        <f t="shared" si="22"/>
        <v>1</v>
      </c>
      <c r="L347" s="224">
        <f t="shared" si="23"/>
        <v>3</v>
      </c>
      <c r="M347" s="304"/>
      <c r="N347" s="262"/>
      <c r="O347" s="262"/>
      <c r="P347" s="262"/>
      <c r="Q347" s="262"/>
      <c r="R347" s="262"/>
      <c r="S347" s="262"/>
    </row>
    <row r="348" spans="1:19" x14ac:dyDescent="0.25">
      <c r="A348" s="210">
        <v>6611</v>
      </c>
      <c r="B348" s="211" t="s">
        <v>102</v>
      </c>
      <c r="C348" s="301">
        <v>2</v>
      </c>
      <c r="D348" s="224">
        <v>2</v>
      </c>
      <c r="E348" s="430">
        <v>0</v>
      </c>
      <c r="F348" s="309">
        <v>0</v>
      </c>
      <c r="G348" s="276">
        <v>0</v>
      </c>
      <c r="H348" s="276">
        <v>0</v>
      </c>
      <c r="I348" s="309">
        <v>0</v>
      </c>
      <c r="J348" s="309">
        <v>0</v>
      </c>
      <c r="K348" s="223">
        <f t="shared" si="22"/>
        <v>2</v>
      </c>
      <c r="L348" s="224">
        <f t="shared" si="23"/>
        <v>2</v>
      </c>
      <c r="M348" s="304"/>
      <c r="N348" s="262"/>
      <c r="O348" s="262"/>
      <c r="P348" s="262"/>
      <c r="Q348" s="262"/>
      <c r="R348" s="262"/>
      <c r="S348" s="262"/>
    </row>
    <row r="349" spans="1:19" x14ac:dyDescent="0.25">
      <c r="A349" s="210">
        <v>6612</v>
      </c>
      <c r="B349" s="211" t="s">
        <v>233</v>
      </c>
      <c r="C349" s="301">
        <v>0</v>
      </c>
      <c r="D349" s="224">
        <v>0</v>
      </c>
      <c r="E349" s="430">
        <v>0</v>
      </c>
      <c r="F349" s="309">
        <v>0</v>
      </c>
      <c r="G349" s="276">
        <v>0</v>
      </c>
      <c r="H349" s="276">
        <v>0</v>
      </c>
      <c r="I349" s="309">
        <v>0</v>
      </c>
      <c r="J349" s="309">
        <v>0</v>
      </c>
      <c r="K349" s="223">
        <f t="shared" si="22"/>
        <v>0</v>
      </c>
      <c r="L349" s="224">
        <f t="shared" si="23"/>
        <v>0</v>
      </c>
      <c r="M349" s="304"/>
      <c r="N349" s="262"/>
      <c r="O349" s="262"/>
      <c r="P349" s="262"/>
      <c r="Q349" s="262"/>
      <c r="R349" s="262"/>
      <c r="S349" s="262"/>
    </row>
    <row r="350" spans="1:19" x14ac:dyDescent="0.25">
      <c r="A350" s="210">
        <v>6613</v>
      </c>
      <c r="B350" s="211" t="s">
        <v>103</v>
      </c>
      <c r="C350" s="301">
        <v>3</v>
      </c>
      <c r="D350" s="224">
        <v>7</v>
      </c>
      <c r="E350" s="430">
        <v>0</v>
      </c>
      <c r="F350" s="309">
        <v>0</v>
      </c>
      <c r="G350" s="276">
        <v>0</v>
      </c>
      <c r="H350" s="276">
        <v>0</v>
      </c>
      <c r="I350" s="309">
        <v>0</v>
      </c>
      <c r="J350" s="309">
        <v>0</v>
      </c>
      <c r="K350" s="223">
        <f t="shared" si="22"/>
        <v>3</v>
      </c>
      <c r="L350" s="224">
        <f t="shared" si="23"/>
        <v>7</v>
      </c>
      <c r="M350" s="304"/>
      <c r="N350" s="262"/>
      <c r="O350" s="262"/>
      <c r="P350" s="262"/>
      <c r="Q350" s="262"/>
      <c r="R350" s="262"/>
      <c r="S350" s="262"/>
    </row>
    <row r="351" spans="1:19" x14ac:dyDescent="0.25">
      <c r="A351" s="210">
        <v>6614</v>
      </c>
      <c r="B351" s="211" t="s">
        <v>108</v>
      </c>
      <c r="C351" s="301">
        <v>6</v>
      </c>
      <c r="D351" s="224">
        <v>20</v>
      </c>
      <c r="E351" s="430">
        <v>0</v>
      </c>
      <c r="F351" s="309">
        <v>0</v>
      </c>
      <c r="G351" s="276">
        <v>0</v>
      </c>
      <c r="H351" s="276">
        <v>0</v>
      </c>
      <c r="I351" s="309">
        <v>0</v>
      </c>
      <c r="J351" s="309">
        <v>0</v>
      </c>
      <c r="K351" s="223">
        <f t="shared" si="22"/>
        <v>6</v>
      </c>
      <c r="L351" s="224">
        <f t="shared" si="23"/>
        <v>20</v>
      </c>
      <c r="M351" s="304"/>
      <c r="N351" s="262"/>
      <c r="O351" s="262"/>
      <c r="P351" s="262"/>
      <c r="Q351" s="262"/>
      <c r="R351" s="262"/>
      <c r="S351" s="262"/>
    </row>
    <row r="352" spans="1:19" x14ac:dyDescent="0.25">
      <c r="A352" s="210">
        <v>6615</v>
      </c>
      <c r="B352" s="211" t="s">
        <v>185</v>
      </c>
      <c r="C352" s="301">
        <v>0</v>
      </c>
      <c r="D352" s="224">
        <v>0</v>
      </c>
      <c r="E352" s="430">
        <v>0</v>
      </c>
      <c r="F352" s="309">
        <v>0</v>
      </c>
      <c r="G352" s="276">
        <v>0</v>
      </c>
      <c r="H352" s="276">
        <v>0</v>
      </c>
      <c r="I352" s="309">
        <v>0</v>
      </c>
      <c r="J352" s="309">
        <v>0</v>
      </c>
      <c r="K352" s="223">
        <f t="shared" si="22"/>
        <v>0</v>
      </c>
      <c r="L352" s="224">
        <f t="shared" si="23"/>
        <v>0</v>
      </c>
      <c r="M352" s="304"/>
      <c r="N352" s="262"/>
      <c r="O352" s="262"/>
      <c r="P352" s="262"/>
      <c r="Q352" s="262"/>
      <c r="R352" s="262"/>
      <c r="S352" s="262"/>
    </row>
    <row r="353" spans="1:19" x14ac:dyDescent="0.25">
      <c r="A353" s="210">
        <v>6616</v>
      </c>
      <c r="B353" s="211" t="s">
        <v>109</v>
      </c>
      <c r="C353" s="301">
        <v>5</v>
      </c>
      <c r="D353" s="224">
        <v>22</v>
      </c>
      <c r="E353" s="430">
        <v>0</v>
      </c>
      <c r="F353" s="309">
        <v>0</v>
      </c>
      <c r="G353" s="276">
        <v>0</v>
      </c>
      <c r="H353" s="276">
        <v>0</v>
      </c>
      <c r="I353" s="309">
        <v>0</v>
      </c>
      <c r="J353" s="309">
        <v>0</v>
      </c>
      <c r="K353" s="223">
        <f t="shared" si="22"/>
        <v>5</v>
      </c>
      <c r="L353" s="224">
        <f t="shared" si="23"/>
        <v>22</v>
      </c>
      <c r="M353" s="304"/>
      <c r="N353" s="262"/>
      <c r="O353" s="262"/>
      <c r="P353" s="262"/>
      <c r="Q353" s="262"/>
      <c r="R353" s="262"/>
      <c r="S353" s="262"/>
    </row>
    <row r="354" spans="1:19" x14ac:dyDescent="0.25">
      <c r="A354" s="210">
        <v>6617</v>
      </c>
      <c r="B354" s="211" t="s">
        <v>186</v>
      </c>
      <c r="C354" s="301">
        <v>0</v>
      </c>
      <c r="D354" s="224">
        <v>0</v>
      </c>
      <c r="E354" s="430">
        <v>0</v>
      </c>
      <c r="F354" s="309">
        <v>0</v>
      </c>
      <c r="G354" s="276">
        <v>0</v>
      </c>
      <c r="H354" s="276">
        <v>0</v>
      </c>
      <c r="I354" s="309">
        <v>0</v>
      </c>
      <c r="J354" s="309">
        <v>0</v>
      </c>
      <c r="K354" s="223">
        <f t="shared" si="22"/>
        <v>0</v>
      </c>
      <c r="L354" s="224">
        <f t="shared" si="23"/>
        <v>0</v>
      </c>
      <c r="M354" s="304"/>
      <c r="N354" s="262"/>
      <c r="O354" s="262"/>
      <c r="P354" s="262"/>
      <c r="Q354" s="262"/>
      <c r="R354" s="262"/>
      <c r="S354" s="262"/>
    </row>
    <row r="355" spans="1:19" x14ac:dyDescent="0.25">
      <c r="A355" s="210">
        <v>6618</v>
      </c>
      <c r="B355" s="211" t="s">
        <v>187</v>
      </c>
      <c r="C355" s="301">
        <v>0</v>
      </c>
      <c r="D355" s="224">
        <v>1</v>
      </c>
      <c r="E355" s="430">
        <v>0</v>
      </c>
      <c r="F355" s="309">
        <v>0</v>
      </c>
      <c r="G355" s="276">
        <v>0</v>
      </c>
      <c r="H355" s="276">
        <v>0</v>
      </c>
      <c r="I355" s="309">
        <v>0</v>
      </c>
      <c r="J355" s="309">
        <v>0</v>
      </c>
      <c r="K355" s="223">
        <f t="shared" si="22"/>
        <v>0</v>
      </c>
      <c r="L355" s="224">
        <f t="shared" si="23"/>
        <v>1</v>
      </c>
      <c r="M355" s="304"/>
      <c r="N355" s="262"/>
      <c r="O355" s="262"/>
      <c r="P355" s="262"/>
      <c r="Q355" s="262"/>
      <c r="R355" s="262"/>
      <c r="S355" s="262"/>
    </row>
    <row r="356" spans="1:19" x14ac:dyDescent="0.25">
      <c r="A356" s="210">
        <v>6619</v>
      </c>
      <c r="B356" s="211" t="s">
        <v>188</v>
      </c>
      <c r="C356" s="301">
        <v>0</v>
      </c>
      <c r="D356" s="224">
        <v>0</v>
      </c>
      <c r="E356" s="430">
        <v>0</v>
      </c>
      <c r="F356" s="309">
        <v>0</v>
      </c>
      <c r="G356" s="276">
        <v>0</v>
      </c>
      <c r="H356" s="276">
        <v>0</v>
      </c>
      <c r="I356" s="309">
        <v>0</v>
      </c>
      <c r="J356" s="309">
        <v>0</v>
      </c>
      <c r="K356" s="223">
        <f t="shared" si="22"/>
        <v>0</v>
      </c>
      <c r="L356" s="224">
        <f t="shared" si="23"/>
        <v>0</v>
      </c>
      <c r="M356" s="304"/>
      <c r="N356" s="262"/>
      <c r="O356" s="262"/>
      <c r="P356" s="262"/>
      <c r="Q356" s="262"/>
      <c r="R356" s="262"/>
      <c r="S356" s="262"/>
    </row>
    <row r="357" spans="1:19" x14ac:dyDescent="0.25">
      <c r="A357" s="210">
        <v>6620</v>
      </c>
      <c r="B357" s="211" t="s">
        <v>191</v>
      </c>
      <c r="C357" s="301">
        <v>0</v>
      </c>
      <c r="D357" s="224">
        <v>0</v>
      </c>
      <c r="E357" s="430">
        <v>0</v>
      </c>
      <c r="F357" s="309">
        <v>0</v>
      </c>
      <c r="G357" s="276">
        <v>0</v>
      </c>
      <c r="H357" s="276">
        <v>0</v>
      </c>
      <c r="I357" s="309">
        <v>0</v>
      </c>
      <c r="J357" s="309">
        <v>0</v>
      </c>
      <c r="K357" s="223">
        <f t="shared" si="22"/>
        <v>0</v>
      </c>
      <c r="L357" s="224">
        <f t="shared" si="23"/>
        <v>0</v>
      </c>
      <c r="M357" s="304"/>
      <c r="N357" s="262"/>
      <c r="O357" s="262"/>
      <c r="P357" s="262"/>
      <c r="Q357" s="262"/>
      <c r="R357" s="262"/>
      <c r="S357" s="262"/>
    </row>
    <row r="358" spans="1:19" x14ac:dyDescent="0.25">
      <c r="A358" s="210">
        <v>6621</v>
      </c>
      <c r="B358" s="211" t="s">
        <v>110</v>
      </c>
      <c r="C358" s="301">
        <v>1</v>
      </c>
      <c r="D358" s="224">
        <v>0</v>
      </c>
      <c r="E358" s="430">
        <v>0</v>
      </c>
      <c r="F358" s="309">
        <v>0</v>
      </c>
      <c r="G358" s="276">
        <v>0</v>
      </c>
      <c r="H358" s="276">
        <v>0</v>
      </c>
      <c r="I358" s="309">
        <v>0</v>
      </c>
      <c r="J358" s="309">
        <v>0</v>
      </c>
      <c r="K358" s="223">
        <f t="shared" si="22"/>
        <v>1</v>
      </c>
      <c r="L358" s="224">
        <f t="shared" si="23"/>
        <v>0</v>
      </c>
      <c r="M358" s="304"/>
      <c r="N358" s="262"/>
      <c r="O358" s="262"/>
      <c r="P358" s="262"/>
      <c r="Q358" s="262"/>
      <c r="R358" s="262"/>
      <c r="S358" s="262"/>
    </row>
    <row r="359" spans="1:19" x14ac:dyDescent="0.25">
      <c r="A359" s="210">
        <v>6622</v>
      </c>
      <c r="B359" s="211" t="s">
        <v>129</v>
      </c>
      <c r="C359" s="301">
        <v>12</v>
      </c>
      <c r="D359" s="224">
        <v>5</v>
      </c>
      <c r="E359" s="430">
        <v>0</v>
      </c>
      <c r="F359" s="309">
        <v>0</v>
      </c>
      <c r="G359" s="276">
        <v>0</v>
      </c>
      <c r="H359" s="276">
        <v>0</v>
      </c>
      <c r="I359" s="309">
        <v>0</v>
      </c>
      <c r="J359" s="309">
        <v>0</v>
      </c>
      <c r="K359" s="223">
        <f t="shared" ref="K359:K377" si="24">C359+E359-G359-I359</f>
        <v>12</v>
      </c>
      <c r="L359" s="224">
        <f t="shared" ref="L359:L377" si="25">D359+F359-H359-J359</f>
        <v>5</v>
      </c>
      <c r="M359" s="304"/>
      <c r="N359" s="262"/>
      <c r="O359" s="262"/>
      <c r="P359" s="262"/>
      <c r="Q359" s="262"/>
      <c r="R359" s="262"/>
      <c r="S359" s="262"/>
    </row>
    <row r="360" spans="1:19" x14ac:dyDescent="0.25">
      <c r="A360" s="210">
        <v>6623</v>
      </c>
      <c r="B360" s="211" t="s">
        <v>77</v>
      </c>
      <c r="C360" s="301">
        <v>5</v>
      </c>
      <c r="D360" s="224">
        <v>2</v>
      </c>
      <c r="E360" s="430">
        <v>0</v>
      </c>
      <c r="F360" s="309">
        <v>0</v>
      </c>
      <c r="G360" s="276">
        <v>0</v>
      </c>
      <c r="H360" s="276">
        <v>0</v>
      </c>
      <c r="I360" s="309">
        <v>0</v>
      </c>
      <c r="J360" s="309">
        <v>0</v>
      </c>
      <c r="K360" s="223">
        <f t="shared" si="24"/>
        <v>5</v>
      </c>
      <c r="L360" s="224">
        <f t="shared" si="25"/>
        <v>2</v>
      </c>
      <c r="M360" s="304"/>
      <c r="N360" s="262"/>
      <c r="O360" s="262"/>
      <c r="P360" s="262"/>
      <c r="Q360" s="262"/>
      <c r="R360" s="262"/>
      <c r="S360" s="262"/>
    </row>
    <row r="361" spans="1:19" x14ac:dyDescent="0.25">
      <c r="A361" s="210">
        <v>6624</v>
      </c>
      <c r="B361" s="211" t="s">
        <v>234</v>
      </c>
      <c r="C361" s="301">
        <v>0</v>
      </c>
      <c r="D361" s="224">
        <v>0</v>
      </c>
      <c r="E361" s="430">
        <v>0</v>
      </c>
      <c r="F361" s="309">
        <v>0</v>
      </c>
      <c r="G361" s="276">
        <v>0</v>
      </c>
      <c r="H361" s="276">
        <v>0</v>
      </c>
      <c r="I361" s="309">
        <v>0</v>
      </c>
      <c r="J361" s="309">
        <v>0</v>
      </c>
      <c r="K361" s="223">
        <f t="shared" si="24"/>
        <v>0</v>
      </c>
      <c r="L361" s="224">
        <f t="shared" si="25"/>
        <v>0</v>
      </c>
      <c r="M361" s="304"/>
      <c r="N361" s="262"/>
      <c r="O361" s="262"/>
      <c r="P361" s="262"/>
      <c r="Q361" s="262"/>
      <c r="R361" s="262"/>
      <c r="S361" s="262"/>
    </row>
    <row r="362" spans="1:19" x14ac:dyDescent="0.25">
      <c r="A362" s="210">
        <v>6625</v>
      </c>
      <c r="B362" s="211" t="s">
        <v>107</v>
      </c>
      <c r="C362" s="344">
        <v>4</v>
      </c>
      <c r="D362" s="345">
        <v>7</v>
      </c>
      <c r="E362" s="430">
        <v>0</v>
      </c>
      <c r="F362" s="309">
        <v>0</v>
      </c>
      <c r="G362" s="276">
        <v>0</v>
      </c>
      <c r="H362" s="276">
        <v>0</v>
      </c>
      <c r="I362" s="309">
        <v>0</v>
      </c>
      <c r="J362" s="309">
        <v>0</v>
      </c>
      <c r="K362" s="223">
        <f t="shared" si="24"/>
        <v>4</v>
      </c>
      <c r="L362" s="224">
        <f t="shared" si="25"/>
        <v>7</v>
      </c>
      <c r="M362" s="304"/>
      <c r="N362" s="262"/>
      <c r="O362" s="262"/>
      <c r="P362" s="262"/>
      <c r="Q362" s="262"/>
      <c r="R362" s="262"/>
      <c r="S362" s="262"/>
    </row>
    <row r="363" spans="1:19" x14ac:dyDescent="0.25">
      <c r="A363" s="210">
        <v>6626</v>
      </c>
      <c r="B363" s="211" t="s">
        <v>112</v>
      </c>
      <c r="C363" s="301">
        <v>4</v>
      </c>
      <c r="D363" s="224">
        <v>22</v>
      </c>
      <c r="E363" s="430">
        <v>0</v>
      </c>
      <c r="F363" s="309">
        <v>0</v>
      </c>
      <c r="G363" s="276">
        <v>0</v>
      </c>
      <c r="H363" s="276">
        <v>0</v>
      </c>
      <c r="I363" s="309">
        <v>0</v>
      </c>
      <c r="J363" s="309">
        <v>0</v>
      </c>
      <c r="K363" s="223">
        <f t="shared" si="24"/>
        <v>4</v>
      </c>
      <c r="L363" s="224">
        <f t="shared" si="25"/>
        <v>22</v>
      </c>
      <c r="M363" s="304"/>
      <c r="N363" s="262"/>
      <c r="O363" s="262"/>
      <c r="P363" s="262"/>
      <c r="Q363" s="262"/>
      <c r="R363" s="262"/>
      <c r="S363" s="262"/>
    </row>
    <row r="364" spans="1:19" x14ac:dyDescent="0.25">
      <c r="A364" s="210">
        <v>6627</v>
      </c>
      <c r="B364" s="211" t="s">
        <v>104</v>
      </c>
      <c r="C364" s="301">
        <v>3</v>
      </c>
      <c r="D364" s="224">
        <v>0</v>
      </c>
      <c r="E364" s="430">
        <v>0</v>
      </c>
      <c r="F364" s="309">
        <v>0</v>
      </c>
      <c r="G364" s="276">
        <v>0</v>
      </c>
      <c r="H364" s="276">
        <v>0</v>
      </c>
      <c r="I364" s="309">
        <v>0</v>
      </c>
      <c r="J364" s="309">
        <v>0</v>
      </c>
      <c r="K364" s="223">
        <f t="shared" si="24"/>
        <v>3</v>
      </c>
      <c r="L364" s="224">
        <f t="shared" si="25"/>
        <v>0</v>
      </c>
      <c r="M364" s="304"/>
      <c r="N364" s="262"/>
      <c r="O364" s="262"/>
      <c r="P364" s="262"/>
      <c r="Q364" s="262"/>
      <c r="R364" s="262"/>
      <c r="S364" s="262"/>
    </row>
    <row r="365" spans="1:19" x14ac:dyDescent="0.25">
      <c r="A365" s="210">
        <v>6628</v>
      </c>
      <c r="B365" s="211" t="s">
        <v>235</v>
      </c>
      <c r="C365" s="301">
        <v>0</v>
      </c>
      <c r="D365" s="224">
        <v>0</v>
      </c>
      <c r="E365" s="430">
        <v>1</v>
      </c>
      <c r="F365" s="309">
        <v>4</v>
      </c>
      <c r="G365" s="276">
        <v>0</v>
      </c>
      <c r="H365" s="276">
        <v>0</v>
      </c>
      <c r="I365" s="309">
        <v>0</v>
      </c>
      <c r="J365" s="309">
        <v>0</v>
      </c>
      <c r="K365" s="223">
        <f t="shared" si="24"/>
        <v>1</v>
      </c>
      <c r="L365" s="224">
        <f t="shared" si="25"/>
        <v>4</v>
      </c>
      <c r="M365" s="304"/>
      <c r="N365" s="262"/>
      <c r="O365" s="262"/>
      <c r="P365" s="262"/>
      <c r="Q365" s="262"/>
      <c r="R365" s="262"/>
      <c r="S365" s="262"/>
    </row>
    <row r="366" spans="1:19" x14ac:dyDescent="0.25">
      <c r="A366" s="210">
        <v>6629</v>
      </c>
      <c r="B366" s="211" t="s">
        <v>121</v>
      </c>
      <c r="C366" s="301">
        <v>5</v>
      </c>
      <c r="D366" s="224">
        <v>4</v>
      </c>
      <c r="E366" s="430">
        <v>0</v>
      </c>
      <c r="F366" s="309">
        <v>0</v>
      </c>
      <c r="G366" s="276">
        <v>0</v>
      </c>
      <c r="H366" s="276">
        <v>0</v>
      </c>
      <c r="I366" s="309">
        <v>0</v>
      </c>
      <c r="J366" s="309">
        <v>0</v>
      </c>
      <c r="K366" s="223">
        <f t="shared" si="24"/>
        <v>5</v>
      </c>
      <c r="L366" s="224">
        <f t="shared" si="25"/>
        <v>4</v>
      </c>
      <c r="M366" s="304"/>
      <c r="N366" s="262"/>
      <c r="O366" s="262"/>
      <c r="P366" s="262"/>
      <c r="Q366" s="262"/>
      <c r="R366" s="262"/>
      <c r="S366" s="262"/>
    </row>
    <row r="367" spans="1:19" x14ac:dyDescent="0.25">
      <c r="A367" s="210">
        <v>6630</v>
      </c>
      <c r="B367" s="211" t="s">
        <v>136</v>
      </c>
      <c r="C367" s="301">
        <v>4</v>
      </c>
      <c r="D367" s="224">
        <v>12</v>
      </c>
      <c r="E367" s="430">
        <v>0</v>
      </c>
      <c r="F367" s="309">
        <v>0</v>
      </c>
      <c r="G367" s="276">
        <v>0</v>
      </c>
      <c r="H367" s="276">
        <v>0</v>
      </c>
      <c r="I367" s="309">
        <v>0</v>
      </c>
      <c r="J367" s="309">
        <v>0</v>
      </c>
      <c r="K367" s="223">
        <f t="shared" si="24"/>
        <v>4</v>
      </c>
      <c r="L367" s="224">
        <f t="shared" si="25"/>
        <v>12</v>
      </c>
      <c r="M367" s="304"/>
      <c r="N367" s="262"/>
      <c r="O367" s="262"/>
      <c r="P367" s="262"/>
      <c r="Q367" s="262"/>
      <c r="R367" s="262"/>
      <c r="S367" s="262"/>
    </row>
    <row r="368" spans="1:19" x14ac:dyDescent="0.25">
      <c r="A368" s="210">
        <v>6631</v>
      </c>
      <c r="B368" s="211" t="s">
        <v>117</v>
      </c>
      <c r="C368" s="301">
        <v>3</v>
      </c>
      <c r="D368" s="224">
        <v>9</v>
      </c>
      <c r="E368" s="430">
        <v>0</v>
      </c>
      <c r="F368" s="309">
        <v>0</v>
      </c>
      <c r="G368" s="276">
        <v>0</v>
      </c>
      <c r="H368" s="276">
        <v>0</v>
      </c>
      <c r="I368" s="309">
        <v>0</v>
      </c>
      <c r="J368" s="309">
        <v>0</v>
      </c>
      <c r="K368" s="223">
        <f t="shared" si="24"/>
        <v>3</v>
      </c>
      <c r="L368" s="224">
        <f t="shared" si="25"/>
        <v>9</v>
      </c>
      <c r="M368" s="304"/>
      <c r="N368" s="262"/>
      <c r="O368" s="262"/>
      <c r="P368" s="262"/>
      <c r="Q368" s="262"/>
      <c r="R368" s="262"/>
      <c r="S368" s="262"/>
    </row>
    <row r="369" spans="1:19" x14ac:dyDescent="0.25">
      <c r="A369" s="210">
        <v>6632</v>
      </c>
      <c r="B369" s="211" t="s">
        <v>116</v>
      </c>
      <c r="C369" s="301">
        <v>5</v>
      </c>
      <c r="D369" s="224">
        <v>25</v>
      </c>
      <c r="E369" s="430">
        <v>0</v>
      </c>
      <c r="F369" s="309">
        <v>0</v>
      </c>
      <c r="G369" s="276">
        <v>0</v>
      </c>
      <c r="H369" s="276">
        <v>0</v>
      </c>
      <c r="I369" s="309">
        <v>0</v>
      </c>
      <c r="J369" s="309">
        <v>0</v>
      </c>
      <c r="K369" s="223">
        <f t="shared" si="24"/>
        <v>5</v>
      </c>
      <c r="L369" s="224">
        <f t="shared" si="25"/>
        <v>25</v>
      </c>
      <c r="M369" s="304"/>
      <c r="N369" s="262"/>
      <c r="O369" s="262"/>
      <c r="P369" s="262"/>
      <c r="Q369" s="262"/>
      <c r="R369" s="262"/>
      <c r="S369" s="262"/>
    </row>
    <row r="370" spans="1:19" x14ac:dyDescent="0.25">
      <c r="A370" s="210">
        <v>6633</v>
      </c>
      <c r="B370" s="211" t="s">
        <v>114</v>
      </c>
      <c r="C370" s="301">
        <v>8</v>
      </c>
      <c r="D370" s="224">
        <v>16</v>
      </c>
      <c r="E370" s="430">
        <v>0</v>
      </c>
      <c r="F370" s="309">
        <v>0</v>
      </c>
      <c r="G370" s="276">
        <v>0</v>
      </c>
      <c r="H370" s="276">
        <v>0</v>
      </c>
      <c r="I370" s="309">
        <v>0</v>
      </c>
      <c r="J370" s="309">
        <v>0</v>
      </c>
      <c r="K370" s="223">
        <f t="shared" si="24"/>
        <v>8</v>
      </c>
      <c r="L370" s="224">
        <f t="shared" si="25"/>
        <v>16</v>
      </c>
      <c r="M370" s="304"/>
      <c r="N370" s="262"/>
      <c r="O370" s="262"/>
      <c r="P370" s="262"/>
      <c r="Q370" s="262"/>
      <c r="R370" s="262"/>
      <c r="S370" s="262"/>
    </row>
    <row r="371" spans="1:19" x14ac:dyDescent="0.25">
      <c r="A371" s="210">
        <v>6634</v>
      </c>
      <c r="B371" s="211" t="s">
        <v>55</v>
      </c>
      <c r="C371" s="301">
        <v>7</v>
      </c>
      <c r="D371" s="224">
        <v>0</v>
      </c>
      <c r="E371" s="430">
        <v>0</v>
      </c>
      <c r="F371" s="309">
        <v>0</v>
      </c>
      <c r="G371" s="276">
        <v>0</v>
      </c>
      <c r="H371" s="276">
        <v>0</v>
      </c>
      <c r="I371" s="309">
        <v>0</v>
      </c>
      <c r="J371" s="309">
        <v>0</v>
      </c>
      <c r="K371" s="223">
        <f t="shared" si="24"/>
        <v>7</v>
      </c>
      <c r="L371" s="224">
        <f t="shared" si="25"/>
        <v>0</v>
      </c>
      <c r="M371" s="304"/>
      <c r="N371" s="262"/>
      <c r="O371" s="262"/>
      <c r="P371" s="262"/>
      <c r="Q371" s="262"/>
      <c r="R371" s="262"/>
      <c r="S371" s="262"/>
    </row>
    <row r="372" spans="1:19" x14ac:dyDescent="0.25">
      <c r="A372" s="210">
        <v>6635</v>
      </c>
      <c r="B372" s="211" t="s">
        <v>119</v>
      </c>
      <c r="C372" s="301">
        <v>0</v>
      </c>
      <c r="D372" s="224">
        <v>0</v>
      </c>
      <c r="E372" s="430">
        <v>0</v>
      </c>
      <c r="F372" s="309">
        <v>0</v>
      </c>
      <c r="G372" s="276">
        <v>0</v>
      </c>
      <c r="H372" s="276">
        <v>0</v>
      </c>
      <c r="I372" s="309">
        <v>0</v>
      </c>
      <c r="J372" s="309">
        <v>0</v>
      </c>
      <c r="K372" s="223">
        <f t="shared" si="24"/>
        <v>0</v>
      </c>
      <c r="L372" s="224">
        <f t="shared" si="25"/>
        <v>0</v>
      </c>
      <c r="M372" s="304"/>
      <c r="N372" s="262"/>
      <c r="O372" s="262"/>
      <c r="P372" s="262"/>
      <c r="Q372" s="262"/>
      <c r="R372" s="262"/>
      <c r="S372" s="262"/>
    </row>
    <row r="373" spans="1:19" x14ac:dyDescent="0.25">
      <c r="A373" s="210">
        <v>6636</v>
      </c>
      <c r="B373" s="211" t="s">
        <v>145</v>
      </c>
      <c r="C373" s="301">
        <v>0</v>
      </c>
      <c r="D373" s="224">
        <v>0</v>
      </c>
      <c r="E373" s="430">
        <v>0</v>
      </c>
      <c r="F373" s="309">
        <v>0</v>
      </c>
      <c r="G373" s="276">
        <v>0</v>
      </c>
      <c r="H373" s="276">
        <v>0</v>
      </c>
      <c r="I373" s="309">
        <v>0</v>
      </c>
      <c r="J373" s="309">
        <v>0</v>
      </c>
      <c r="K373" s="223">
        <f t="shared" si="24"/>
        <v>0</v>
      </c>
      <c r="L373" s="224">
        <f t="shared" si="25"/>
        <v>0</v>
      </c>
      <c r="M373" s="304"/>
      <c r="N373" s="262"/>
      <c r="O373" s="262"/>
      <c r="P373" s="262"/>
      <c r="Q373" s="262"/>
      <c r="R373" s="262"/>
      <c r="S373" s="262"/>
    </row>
    <row r="374" spans="1:19" x14ac:dyDescent="0.25">
      <c r="A374" s="210">
        <v>6637</v>
      </c>
      <c r="B374" s="211" t="s">
        <v>65</v>
      </c>
      <c r="C374" s="301">
        <v>0</v>
      </c>
      <c r="D374" s="224">
        <v>0</v>
      </c>
      <c r="E374" s="430">
        <v>0</v>
      </c>
      <c r="F374" s="309">
        <v>0</v>
      </c>
      <c r="G374" s="276">
        <v>0</v>
      </c>
      <c r="H374" s="276">
        <v>0</v>
      </c>
      <c r="I374" s="309">
        <v>0</v>
      </c>
      <c r="J374" s="309">
        <v>0</v>
      </c>
      <c r="K374" s="223">
        <f t="shared" si="24"/>
        <v>0</v>
      </c>
      <c r="L374" s="224">
        <f t="shared" si="25"/>
        <v>0</v>
      </c>
      <c r="M374" s="304"/>
      <c r="N374" s="262"/>
      <c r="O374" s="262"/>
      <c r="P374" s="262"/>
      <c r="Q374" s="262"/>
      <c r="R374" s="262"/>
      <c r="S374" s="262"/>
    </row>
    <row r="375" spans="1:19" x14ac:dyDescent="0.25">
      <c r="A375" s="210">
        <v>6638</v>
      </c>
      <c r="B375" s="211" t="s">
        <v>120</v>
      </c>
      <c r="C375" s="301">
        <v>3</v>
      </c>
      <c r="D375" s="224">
        <v>0</v>
      </c>
      <c r="E375" s="430">
        <v>0</v>
      </c>
      <c r="F375" s="309">
        <v>0</v>
      </c>
      <c r="G375" s="276">
        <v>0</v>
      </c>
      <c r="H375" s="276">
        <v>0</v>
      </c>
      <c r="I375" s="309">
        <v>0</v>
      </c>
      <c r="J375" s="309">
        <v>0</v>
      </c>
      <c r="K375" s="223">
        <f t="shared" si="24"/>
        <v>3</v>
      </c>
      <c r="L375" s="224">
        <f t="shared" si="25"/>
        <v>0</v>
      </c>
      <c r="M375" s="304"/>
      <c r="N375" s="262"/>
      <c r="O375" s="262"/>
      <c r="P375" s="262"/>
      <c r="Q375" s="262"/>
      <c r="R375" s="262"/>
      <c r="S375" s="262"/>
    </row>
    <row r="376" spans="1:19" x14ac:dyDescent="0.25">
      <c r="A376" s="210">
        <v>6639</v>
      </c>
      <c r="B376" s="211" t="s">
        <v>216</v>
      </c>
      <c r="C376" s="301">
        <v>24</v>
      </c>
      <c r="D376" s="224">
        <v>42</v>
      </c>
      <c r="E376" s="430">
        <v>0</v>
      </c>
      <c r="F376" s="309">
        <v>0</v>
      </c>
      <c r="G376" s="276">
        <v>0</v>
      </c>
      <c r="H376" s="276">
        <v>0</v>
      </c>
      <c r="I376" s="309">
        <v>0</v>
      </c>
      <c r="J376" s="309">
        <v>0</v>
      </c>
      <c r="K376" s="223">
        <f t="shared" si="24"/>
        <v>24</v>
      </c>
      <c r="L376" s="224">
        <f t="shared" si="25"/>
        <v>42</v>
      </c>
      <c r="M376" s="304"/>
      <c r="N376" s="262"/>
      <c r="O376" s="262"/>
      <c r="P376" s="262"/>
      <c r="Q376" s="262"/>
      <c r="R376" s="262"/>
      <c r="S376" s="262"/>
    </row>
    <row r="377" spans="1:19" ht="30.75" thickBot="1" x14ac:dyDescent="0.3">
      <c r="A377" s="204">
        <v>6699</v>
      </c>
      <c r="B377" s="205" t="s">
        <v>217</v>
      </c>
      <c r="C377" s="300">
        <v>15</v>
      </c>
      <c r="D377" s="225">
        <v>51</v>
      </c>
      <c r="E377" s="430">
        <v>0</v>
      </c>
      <c r="F377" s="309">
        <v>0</v>
      </c>
      <c r="G377" s="276">
        <v>0</v>
      </c>
      <c r="H377" s="276">
        <v>0</v>
      </c>
      <c r="I377" s="309">
        <v>0</v>
      </c>
      <c r="J377" s="309">
        <v>0</v>
      </c>
      <c r="K377" s="221">
        <f t="shared" si="24"/>
        <v>15</v>
      </c>
      <c r="L377" s="225">
        <f t="shared" si="25"/>
        <v>51</v>
      </c>
      <c r="M377" s="304"/>
      <c r="N377" s="262"/>
      <c r="O377" s="262"/>
      <c r="P377" s="262"/>
      <c r="Q377" s="262"/>
      <c r="R377" s="262"/>
      <c r="S377" s="262"/>
    </row>
    <row r="378" spans="1:19" ht="15.75" thickBot="1" x14ac:dyDescent="0.3">
      <c r="A378" s="254">
        <v>7000</v>
      </c>
      <c r="B378" s="255" t="s">
        <v>236</v>
      </c>
      <c r="C378" s="226"/>
      <c r="D378" s="226"/>
      <c r="E378" s="346"/>
      <c r="F378" s="346"/>
      <c r="G378" s="346"/>
      <c r="H378" s="282"/>
      <c r="I378" s="346"/>
      <c r="J378" s="346"/>
      <c r="K378" s="226"/>
      <c r="L378" s="227"/>
      <c r="M378" s="262"/>
      <c r="N378" s="1"/>
      <c r="O378" s="1"/>
      <c r="P378" s="1"/>
      <c r="Q378" s="1"/>
      <c r="R378" s="1"/>
      <c r="S378" s="1"/>
    </row>
    <row r="379" spans="1:19" x14ac:dyDescent="0.25">
      <c r="A379" s="204">
        <v>7101</v>
      </c>
      <c r="B379" s="205" t="s">
        <v>136</v>
      </c>
      <c r="C379" s="300">
        <v>0</v>
      </c>
      <c r="D379" s="225">
        <v>0</v>
      </c>
      <c r="E379" s="429">
        <v>0</v>
      </c>
      <c r="F379" s="342">
        <v>0</v>
      </c>
      <c r="G379" s="275">
        <v>0</v>
      </c>
      <c r="H379" s="275">
        <v>0</v>
      </c>
      <c r="I379" s="342">
        <v>0</v>
      </c>
      <c r="J379" s="342">
        <v>0</v>
      </c>
      <c r="K379" s="221">
        <f t="shared" ref="K379:K410" si="26">C379+E379-G379-I379</f>
        <v>0</v>
      </c>
      <c r="L379" s="225">
        <f t="shared" ref="L379:L410" si="27">D379+F379-H379-J379</f>
        <v>0</v>
      </c>
      <c r="M379" s="304"/>
      <c r="N379" s="262"/>
      <c r="O379" s="262"/>
      <c r="P379" s="262"/>
      <c r="Q379" s="262"/>
      <c r="R379" s="262"/>
      <c r="S379" s="262"/>
    </row>
    <row r="380" spans="1:19" x14ac:dyDescent="0.25">
      <c r="A380" s="210">
        <v>7102</v>
      </c>
      <c r="B380" s="211" t="s">
        <v>219</v>
      </c>
      <c r="C380" s="301">
        <v>0</v>
      </c>
      <c r="D380" s="224">
        <v>0</v>
      </c>
      <c r="E380" s="430">
        <v>0</v>
      </c>
      <c r="F380" s="309">
        <v>0</v>
      </c>
      <c r="G380" s="276">
        <v>0</v>
      </c>
      <c r="H380" s="276">
        <v>0</v>
      </c>
      <c r="I380" s="309">
        <v>0</v>
      </c>
      <c r="J380" s="309">
        <v>0</v>
      </c>
      <c r="K380" s="223">
        <f t="shared" si="26"/>
        <v>0</v>
      </c>
      <c r="L380" s="224">
        <f t="shared" si="27"/>
        <v>0</v>
      </c>
      <c r="M380" s="304"/>
      <c r="N380" s="262"/>
      <c r="O380" s="262"/>
      <c r="P380" s="262"/>
      <c r="Q380" s="262"/>
      <c r="R380" s="262"/>
      <c r="S380" s="262"/>
    </row>
    <row r="381" spans="1:19" x14ac:dyDescent="0.25">
      <c r="A381" s="210">
        <v>7103</v>
      </c>
      <c r="B381" s="211" t="s">
        <v>132</v>
      </c>
      <c r="C381" s="301">
        <v>0</v>
      </c>
      <c r="D381" s="224">
        <v>0</v>
      </c>
      <c r="E381" s="430">
        <v>0</v>
      </c>
      <c r="F381" s="309">
        <v>0</v>
      </c>
      <c r="G381" s="276">
        <v>0</v>
      </c>
      <c r="H381" s="276">
        <v>0</v>
      </c>
      <c r="I381" s="309">
        <v>0</v>
      </c>
      <c r="J381" s="309">
        <v>0</v>
      </c>
      <c r="K381" s="223">
        <f t="shared" si="26"/>
        <v>0</v>
      </c>
      <c r="L381" s="224">
        <f t="shared" si="27"/>
        <v>0</v>
      </c>
      <c r="M381" s="304"/>
      <c r="N381" s="262"/>
      <c r="O381" s="262"/>
      <c r="P381" s="262"/>
      <c r="Q381" s="262"/>
      <c r="R381" s="262"/>
      <c r="S381" s="262"/>
    </row>
    <row r="382" spans="1:19" x14ac:dyDescent="0.25">
      <c r="A382" s="210">
        <v>7104</v>
      </c>
      <c r="B382" s="211" t="s">
        <v>116</v>
      </c>
      <c r="C382" s="301">
        <v>0</v>
      </c>
      <c r="D382" s="224">
        <v>0</v>
      </c>
      <c r="E382" s="430">
        <v>0</v>
      </c>
      <c r="F382" s="309">
        <v>0</v>
      </c>
      <c r="G382" s="276">
        <v>0</v>
      </c>
      <c r="H382" s="276">
        <v>0</v>
      </c>
      <c r="I382" s="309">
        <v>0</v>
      </c>
      <c r="J382" s="309">
        <v>0</v>
      </c>
      <c r="K382" s="223">
        <f t="shared" si="26"/>
        <v>0</v>
      </c>
      <c r="L382" s="224">
        <f t="shared" si="27"/>
        <v>0</v>
      </c>
      <c r="M382" s="304"/>
      <c r="N382" s="262"/>
      <c r="O382" s="262"/>
      <c r="P382" s="262"/>
      <c r="Q382" s="262"/>
      <c r="R382" s="262"/>
      <c r="S382" s="262"/>
    </row>
    <row r="383" spans="1:19" x14ac:dyDescent="0.25">
      <c r="A383" s="210">
        <v>7105</v>
      </c>
      <c r="B383" s="211" t="s">
        <v>220</v>
      </c>
      <c r="C383" s="301">
        <v>0</v>
      </c>
      <c r="D383" s="224">
        <v>0</v>
      </c>
      <c r="E383" s="430">
        <v>0</v>
      </c>
      <c r="F383" s="309">
        <v>0</v>
      </c>
      <c r="G383" s="276">
        <v>0</v>
      </c>
      <c r="H383" s="276">
        <v>0</v>
      </c>
      <c r="I383" s="309">
        <v>0</v>
      </c>
      <c r="J383" s="309">
        <v>0</v>
      </c>
      <c r="K383" s="223">
        <f t="shared" si="26"/>
        <v>0</v>
      </c>
      <c r="L383" s="224">
        <f t="shared" si="27"/>
        <v>0</v>
      </c>
      <c r="M383" s="304"/>
      <c r="N383" s="262"/>
      <c r="O383" s="262"/>
      <c r="P383" s="262"/>
      <c r="Q383" s="262"/>
      <c r="R383" s="262"/>
      <c r="S383" s="262"/>
    </row>
    <row r="384" spans="1:19" x14ac:dyDescent="0.25">
      <c r="A384" s="210">
        <v>7106</v>
      </c>
      <c r="B384" s="211" t="s">
        <v>114</v>
      </c>
      <c r="C384" s="301">
        <v>0</v>
      </c>
      <c r="D384" s="224">
        <v>0</v>
      </c>
      <c r="E384" s="430">
        <v>0</v>
      </c>
      <c r="F384" s="309">
        <v>0</v>
      </c>
      <c r="G384" s="276">
        <v>0</v>
      </c>
      <c r="H384" s="276">
        <v>0</v>
      </c>
      <c r="I384" s="309">
        <v>0</v>
      </c>
      <c r="J384" s="309">
        <v>0</v>
      </c>
      <c r="K384" s="223">
        <f t="shared" si="26"/>
        <v>0</v>
      </c>
      <c r="L384" s="224">
        <f t="shared" si="27"/>
        <v>0</v>
      </c>
      <c r="M384" s="304"/>
      <c r="N384" s="262"/>
      <c r="O384" s="262"/>
      <c r="P384" s="262"/>
      <c r="Q384" s="262"/>
      <c r="R384" s="262"/>
      <c r="S384" s="262"/>
    </row>
    <row r="385" spans="1:19" x14ac:dyDescent="0.25">
      <c r="A385" s="210">
        <v>7107</v>
      </c>
      <c r="B385" s="211" t="s">
        <v>221</v>
      </c>
      <c r="C385" s="301">
        <v>0</v>
      </c>
      <c r="D385" s="224">
        <v>0</v>
      </c>
      <c r="E385" s="430">
        <v>0</v>
      </c>
      <c r="F385" s="309">
        <v>0</v>
      </c>
      <c r="G385" s="276">
        <v>0</v>
      </c>
      <c r="H385" s="276">
        <v>0</v>
      </c>
      <c r="I385" s="309">
        <v>0</v>
      </c>
      <c r="J385" s="309">
        <v>0</v>
      </c>
      <c r="K385" s="223">
        <f t="shared" si="26"/>
        <v>0</v>
      </c>
      <c r="L385" s="224">
        <f t="shared" si="27"/>
        <v>0</v>
      </c>
      <c r="M385" s="304"/>
      <c r="N385" s="262"/>
      <c r="O385" s="262"/>
      <c r="P385" s="262"/>
      <c r="Q385" s="262"/>
      <c r="R385" s="262"/>
      <c r="S385" s="262"/>
    </row>
    <row r="386" spans="1:19" x14ac:dyDescent="0.25">
      <c r="A386" s="210">
        <v>7108</v>
      </c>
      <c r="B386" s="211" t="s">
        <v>222</v>
      </c>
      <c r="C386" s="301">
        <v>0</v>
      </c>
      <c r="D386" s="224">
        <v>0</v>
      </c>
      <c r="E386" s="430">
        <v>0</v>
      </c>
      <c r="F386" s="309">
        <v>0</v>
      </c>
      <c r="G386" s="276">
        <v>0</v>
      </c>
      <c r="H386" s="276">
        <v>0</v>
      </c>
      <c r="I386" s="309">
        <v>0</v>
      </c>
      <c r="J386" s="309">
        <v>0</v>
      </c>
      <c r="K386" s="223">
        <f t="shared" si="26"/>
        <v>0</v>
      </c>
      <c r="L386" s="224">
        <f t="shared" si="27"/>
        <v>0</v>
      </c>
      <c r="M386" s="304"/>
      <c r="N386" s="262"/>
      <c r="O386" s="262"/>
      <c r="P386" s="262"/>
      <c r="Q386" s="262"/>
      <c r="R386" s="262"/>
      <c r="S386" s="262"/>
    </row>
    <row r="387" spans="1:19" x14ac:dyDescent="0.25">
      <c r="A387" s="210">
        <v>7109</v>
      </c>
      <c r="B387" s="211" t="s">
        <v>223</v>
      </c>
      <c r="C387" s="301">
        <v>1</v>
      </c>
      <c r="D387" s="224">
        <v>0</v>
      </c>
      <c r="E387" s="430">
        <v>0</v>
      </c>
      <c r="F387" s="309">
        <v>0</v>
      </c>
      <c r="G387" s="276">
        <v>0</v>
      </c>
      <c r="H387" s="276">
        <v>0</v>
      </c>
      <c r="I387" s="309">
        <v>0</v>
      </c>
      <c r="J387" s="309">
        <v>0</v>
      </c>
      <c r="K387" s="223">
        <f t="shared" si="26"/>
        <v>1</v>
      </c>
      <c r="L387" s="224">
        <f t="shared" si="27"/>
        <v>0</v>
      </c>
      <c r="M387" s="304"/>
      <c r="N387" s="262"/>
      <c r="O387" s="262"/>
      <c r="P387" s="262"/>
      <c r="Q387" s="262"/>
      <c r="R387" s="262"/>
      <c r="S387" s="262"/>
    </row>
    <row r="388" spans="1:19" x14ac:dyDescent="0.25">
      <c r="A388" s="210">
        <v>7199</v>
      </c>
      <c r="B388" s="211" t="s">
        <v>224</v>
      </c>
      <c r="C388" s="301">
        <v>0</v>
      </c>
      <c r="D388" s="224">
        <v>0</v>
      </c>
      <c r="E388" s="430">
        <v>0</v>
      </c>
      <c r="F388" s="309">
        <v>0</v>
      </c>
      <c r="G388" s="276">
        <v>0</v>
      </c>
      <c r="H388" s="276">
        <v>0</v>
      </c>
      <c r="I388" s="309">
        <v>0</v>
      </c>
      <c r="J388" s="309">
        <v>0</v>
      </c>
      <c r="K388" s="223">
        <f t="shared" si="26"/>
        <v>0</v>
      </c>
      <c r="L388" s="224">
        <f t="shared" si="27"/>
        <v>0</v>
      </c>
      <c r="M388" s="304"/>
      <c r="N388" s="262"/>
      <c r="O388" s="262"/>
      <c r="P388" s="262"/>
      <c r="Q388" s="262"/>
      <c r="R388" s="262"/>
      <c r="S388" s="262"/>
    </row>
    <row r="389" spans="1:19" x14ac:dyDescent="0.25">
      <c r="A389" s="210">
        <v>7201</v>
      </c>
      <c r="B389" s="211" t="s">
        <v>144</v>
      </c>
      <c r="C389" s="301">
        <v>0</v>
      </c>
      <c r="D389" s="224">
        <v>0</v>
      </c>
      <c r="E389" s="430">
        <v>0</v>
      </c>
      <c r="F389" s="309">
        <v>0</v>
      </c>
      <c r="G389" s="276">
        <v>0</v>
      </c>
      <c r="H389" s="276">
        <v>0</v>
      </c>
      <c r="I389" s="309">
        <v>0</v>
      </c>
      <c r="J389" s="309">
        <v>0</v>
      </c>
      <c r="K389" s="223">
        <f t="shared" si="26"/>
        <v>0</v>
      </c>
      <c r="L389" s="224">
        <f t="shared" si="27"/>
        <v>0</v>
      </c>
      <c r="M389" s="304"/>
      <c r="N389" s="262"/>
      <c r="O389" s="262"/>
      <c r="P389" s="262"/>
      <c r="Q389" s="262"/>
      <c r="R389" s="262"/>
      <c r="S389" s="262"/>
    </row>
    <row r="390" spans="1:19" x14ac:dyDescent="0.25">
      <c r="A390" s="210">
        <v>7202</v>
      </c>
      <c r="B390" s="211" t="s">
        <v>63</v>
      </c>
      <c r="C390" s="301">
        <v>0</v>
      </c>
      <c r="D390" s="224">
        <v>0</v>
      </c>
      <c r="E390" s="430">
        <v>0</v>
      </c>
      <c r="F390" s="309">
        <v>0</v>
      </c>
      <c r="G390" s="276">
        <v>0</v>
      </c>
      <c r="H390" s="276">
        <v>0</v>
      </c>
      <c r="I390" s="309">
        <v>0</v>
      </c>
      <c r="J390" s="309">
        <v>0</v>
      </c>
      <c r="K390" s="223">
        <f t="shared" si="26"/>
        <v>0</v>
      </c>
      <c r="L390" s="224">
        <f t="shared" si="27"/>
        <v>0</v>
      </c>
      <c r="M390" s="304"/>
      <c r="N390" s="262"/>
      <c r="O390" s="262"/>
      <c r="P390" s="262"/>
      <c r="Q390" s="262"/>
      <c r="R390" s="262"/>
      <c r="S390" s="262"/>
    </row>
    <row r="391" spans="1:19" x14ac:dyDescent="0.25">
      <c r="A391" s="210">
        <v>7203</v>
      </c>
      <c r="B391" s="211" t="s">
        <v>119</v>
      </c>
      <c r="C391" s="301">
        <v>0</v>
      </c>
      <c r="D391" s="224">
        <v>0</v>
      </c>
      <c r="E391" s="430">
        <v>0</v>
      </c>
      <c r="F391" s="309">
        <v>0</v>
      </c>
      <c r="G391" s="276">
        <v>0</v>
      </c>
      <c r="H391" s="276">
        <v>0</v>
      </c>
      <c r="I391" s="309">
        <v>0</v>
      </c>
      <c r="J391" s="309">
        <v>0</v>
      </c>
      <c r="K391" s="223">
        <f t="shared" si="26"/>
        <v>0</v>
      </c>
      <c r="L391" s="224">
        <f t="shared" si="27"/>
        <v>0</v>
      </c>
      <c r="M391" s="304"/>
      <c r="N391" s="262"/>
      <c r="O391" s="262"/>
      <c r="P391" s="262"/>
      <c r="Q391" s="262"/>
      <c r="R391" s="262"/>
      <c r="S391" s="262"/>
    </row>
    <row r="392" spans="1:19" x14ac:dyDescent="0.25">
      <c r="A392" s="210">
        <v>7204</v>
      </c>
      <c r="B392" s="211" t="s">
        <v>145</v>
      </c>
      <c r="C392" s="301">
        <v>0</v>
      </c>
      <c r="D392" s="224">
        <v>0</v>
      </c>
      <c r="E392" s="430">
        <v>0</v>
      </c>
      <c r="F392" s="309">
        <v>0</v>
      </c>
      <c r="G392" s="276">
        <v>0</v>
      </c>
      <c r="H392" s="276">
        <v>0</v>
      </c>
      <c r="I392" s="309">
        <v>0</v>
      </c>
      <c r="J392" s="309">
        <v>0</v>
      </c>
      <c r="K392" s="223">
        <f t="shared" si="26"/>
        <v>0</v>
      </c>
      <c r="L392" s="224">
        <f t="shared" si="27"/>
        <v>0</v>
      </c>
      <c r="M392" s="304"/>
      <c r="N392" s="262"/>
      <c r="O392" s="262"/>
      <c r="P392" s="262"/>
      <c r="Q392" s="262"/>
      <c r="R392" s="262"/>
      <c r="S392" s="262"/>
    </row>
    <row r="393" spans="1:19" x14ac:dyDescent="0.25">
      <c r="A393" s="210">
        <v>7205</v>
      </c>
      <c r="B393" s="211" t="s">
        <v>120</v>
      </c>
      <c r="C393" s="301">
        <v>0</v>
      </c>
      <c r="D393" s="224">
        <v>0</v>
      </c>
      <c r="E393" s="430">
        <v>0</v>
      </c>
      <c r="F393" s="309">
        <v>0</v>
      </c>
      <c r="G393" s="276">
        <v>0</v>
      </c>
      <c r="H393" s="276">
        <v>0</v>
      </c>
      <c r="I393" s="309">
        <v>0</v>
      </c>
      <c r="J393" s="309">
        <v>0</v>
      </c>
      <c r="K393" s="223">
        <f t="shared" si="26"/>
        <v>0</v>
      </c>
      <c r="L393" s="224">
        <f t="shared" si="27"/>
        <v>0</v>
      </c>
      <c r="M393" s="304"/>
      <c r="N393" s="262"/>
      <c r="O393" s="262"/>
      <c r="P393" s="262"/>
      <c r="Q393" s="262"/>
      <c r="R393" s="262"/>
      <c r="S393" s="262"/>
    </row>
    <row r="394" spans="1:19" x14ac:dyDescent="0.25">
      <c r="A394" s="210">
        <v>7206</v>
      </c>
      <c r="B394" s="211" t="s">
        <v>55</v>
      </c>
      <c r="C394" s="301">
        <v>1</v>
      </c>
      <c r="D394" s="224">
        <v>0</v>
      </c>
      <c r="E394" s="430">
        <v>0</v>
      </c>
      <c r="F394" s="309">
        <v>0</v>
      </c>
      <c r="G394" s="276">
        <v>0</v>
      </c>
      <c r="H394" s="276">
        <v>0</v>
      </c>
      <c r="I394" s="309">
        <v>0</v>
      </c>
      <c r="J394" s="309">
        <v>0</v>
      </c>
      <c r="K394" s="223">
        <f t="shared" si="26"/>
        <v>1</v>
      </c>
      <c r="L394" s="224">
        <f t="shared" si="27"/>
        <v>0</v>
      </c>
      <c r="M394" s="304"/>
      <c r="N394" s="262"/>
      <c r="O394" s="262"/>
      <c r="P394" s="262"/>
      <c r="Q394" s="262"/>
      <c r="R394" s="262"/>
      <c r="S394" s="262"/>
    </row>
    <row r="395" spans="1:19" x14ac:dyDescent="0.25">
      <c r="A395" s="210">
        <v>7207</v>
      </c>
      <c r="B395" s="211" t="s">
        <v>65</v>
      </c>
      <c r="C395" s="301">
        <v>0</v>
      </c>
      <c r="D395" s="224">
        <v>0</v>
      </c>
      <c r="E395" s="430">
        <v>0</v>
      </c>
      <c r="F395" s="309">
        <v>0</v>
      </c>
      <c r="G395" s="276">
        <v>0</v>
      </c>
      <c r="H395" s="276">
        <v>0</v>
      </c>
      <c r="I395" s="309">
        <v>0</v>
      </c>
      <c r="J395" s="309">
        <v>0</v>
      </c>
      <c r="K395" s="223">
        <f t="shared" si="26"/>
        <v>0</v>
      </c>
      <c r="L395" s="224">
        <f t="shared" si="27"/>
        <v>0</v>
      </c>
      <c r="M395" s="304"/>
      <c r="N395" s="262"/>
      <c r="O395" s="262"/>
      <c r="P395" s="262"/>
      <c r="Q395" s="262"/>
      <c r="R395" s="262"/>
      <c r="S395" s="262"/>
    </row>
    <row r="396" spans="1:19" x14ac:dyDescent="0.25">
      <c r="A396" s="210">
        <v>7208</v>
      </c>
      <c r="B396" s="211" t="s">
        <v>146</v>
      </c>
      <c r="C396" s="301">
        <v>0</v>
      </c>
      <c r="D396" s="224">
        <v>0</v>
      </c>
      <c r="E396" s="430">
        <v>0</v>
      </c>
      <c r="F396" s="309">
        <v>0</v>
      </c>
      <c r="G396" s="276">
        <v>0</v>
      </c>
      <c r="H396" s="276">
        <v>0</v>
      </c>
      <c r="I396" s="309">
        <v>0</v>
      </c>
      <c r="J396" s="309">
        <v>0</v>
      </c>
      <c r="K396" s="223">
        <f t="shared" si="26"/>
        <v>0</v>
      </c>
      <c r="L396" s="224">
        <f t="shared" si="27"/>
        <v>0</v>
      </c>
      <c r="M396" s="304"/>
      <c r="N396" s="262"/>
      <c r="O396" s="262"/>
      <c r="P396" s="262"/>
      <c r="Q396" s="262"/>
      <c r="R396" s="262"/>
      <c r="S396" s="262"/>
    </row>
    <row r="397" spans="1:19" x14ac:dyDescent="0.25">
      <c r="A397" s="210">
        <v>7209</v>
      </c>
      <c r="B397" s="211" t="s">
        <v>147</v>
      </c>
      <c r="C397" s="301">
        <v>0</v>
      </c>
      <c r="D397" s="224">
        <v>0</v>
      </c>
      <c r="E397" s="430">
        <v>0</v>
      </c>
      <c r="F397" s="309">
        <v>0</v>
      </c>
      <c r="G397" s="276">
        <v>0</v>
      </c>
      <c r="H397" s="276">
        <v>0</v>
      </c>
      <c r="I397" s="309">
        <v>0</v>
      </c>
      <c r="J397" s="309">
        <v>0</v>
      </c>
      <c r="K397" s="223">
        <f t="shared" si="26"/>
        <v>0</v>
      </c>
      <c r="L397" s="224">
        <f t="shared" si="27"/>
        <v>0</v>
      </c>
      <c r="M397" s="304"/>
      <c r="N397" s="262"/>
      <c r="O397" s="262"/>
      <c r="P397" s="262"/>
      <c r="Q397" s="262"/>
      <c r="R397" s="262"/>
      <c r="S397" s="262"/>
    </row>
    <row r="398" spans="1:19" x14ac:dyDescent="0.25">
      <c r="A398" s="210">
        <v>7210</v>
      </c>
      <c r="B398" s="211" t="s">
        <v>148</v>
      </c>
      <c r="C398" s="301">
        <v>0</v>
      </c>
      <c r="D398" s="224">
        <v>0</v>
      </c>
      <c r="E398" s="430">
        <v>0</v>
      </c>
      <c r="F398" s="309">
        <v>0</v>
      </c>
      <c r="G398" s="276">
        <v>0</v>
      </c>
      <c r="H398" s="276">
        <v>0</v>
      </c>
      <c r="I398" s="309">
        <v>0</v>
      </c>
      <c r="J398" s="309">
        <v>0</v>
      </c>
      <c r="K398" s="223">
        <f t="shared" si="26"/>
        <v>0</v>
      </c>
      <c r="L398" s="224">
        <f t="shared" si="27"/>
        <v>0</v>
      </c>
      <c r="M398" s="304"/>
      <c r="N398" s="262"/>
      <c r="O398" s="262"/>
      <c r="P398" s="262"/>
      <c r="Q398" s="262"/>
      <c r="R398" s="262"/>
      <c r="S398" s="262"/>
    </row>
    <row r="399" spans="1:19" x14ac:dyDescent="0.25">
      <c r="A399" s="210">
        <v>7211</v>
      </c>
      <c r="B399" s="211" t="s">
        <v>149</v>
      </c>
      <c r="C399" s="301">
        <v>0</v>
      </c>
      <c r="D399" s="224">
        <v>0</v>
      </c>
      <c r="E399" s="430">
        <v>0</v>
      </c>
      <c r="F399" s="309">
        <v>0</v>
      </c>
      <c r="G399" s="276">
        <v>0</v>
      </c>
      <c r="H399" s="276">
        <v>0</v>
      </c>
      <c r="I399" s="309">
        <v>0</v>
      </c>
      <c r="J399" s="309">
        <v>0</v>
      </c>
      <c r="K399" s="223">
        <f t="shared" si="26"/>
        <v>0</v>
      </c>
      <c r="L399" s="224">
        <f t="shared" si="27"/>
        <v>0</v>
      </c>
      <c r="M399" s="304"/>
      <c r="N399" s="262"/>
      <c r="O399" s="262"/>
      <c r="P399" s="262"/>
      <c r="Q399" s="262"/>
      <c r="R399" s="262"/>
      <c r="S399" s="262"/>
    </row>
    <row r="400" spans="1:19" x14ac:dyDescent="0.25">
      <c r="A400" s="210">
        <v>7212</v>
      </c>
      <c r="B400" s="211" t="s">
        <v>150</v>
      </c>
      <c r="C400" s="301">
        <v>0</v>
      </c>
      <c r="D400" s="224">
        <v>0</v>
      </c>
      <c r="E400" s="430">
        <v>0</v>
      </c>
      <c r="F400" s="309">
        <v>0</v>
      </c>
      <c r="G400" s="276">
        <v>0</v>
      </c>
      <c r="H400" s="276">
        <v>0</v>
      </c>
      <c r="I400" s="309">
        <v>0</v>
      </c>
      <c r="J400" s="309">
        <v>0</v>
      </c>
      <c r="K400" s="223">
        <f t="shared" si="26"/>
        <v>0</v>
      </c>
      <c r="L400" s="224">
        <f t="shared" si="27"/>
        <v>0</v>
      </c>
      <c r="M400" s="304"/>
      <c r="N400" s="262"/>
      <c r="O400" s="262"/>
      <c r="P400" s="262"/>
      <c r="Q400" s="262"/>
      <c r="R400" s="262"/>
      <c r="S400" s="262"/>
    </row>
    <row r="401" spans="1:19" x14ac:dyDescent="0.25">
      <c r="A401" s="210">
        <v>7213</v>
      </c>
      <c r="B401" s="211" t="s">
        <v>151</v>
      </c>
      <c r="C401" s="301">
        <v>0</v>
      </c>
      <c r="D401" s="224">
        <v>0</v>
      </c>
      <c r="E401" s="430">
        <v>0</v>
      </c>
      <c r="F401" s="309">
        <v>0</v>
      </c>
      <c r="G401" s="276">
        <v>0</v>
      </c>
      <c r="H401" s="276">
        <v>0</v>
      </c>
      <c r="I401" s="309">
        <v>0</v>
      </c>
      <c r="J401" s="309">
        <v>0</v>
      </c>
      <c r="K401" s="223">
        <f t="shared" si="26"/>
        <v>0</v>
      </c>
      <c r="L401" s="224">
        <f t="shared" si="27"/>
        <v>0</v>
      </c>
      <c r="M401" s="304"/>
      <c r="N401" s="262"/>
      <c r="O401" s="262"/>
      <c r="P401" s="262"/>
      <c r="Q401" s="262"/>
      <c r="R401" s="262"/>
      <c r="S401" s="262"/>
    </row>
    <row r="402" spans="1:19" x14ac:dyDescent="0.25">
      <c r="A402" s="210">
        <v>7214</v>
      </c>
      <c r="B402" s="211" t="s">
        <v>59</v>
      </c>
      <c r="C402" s="301">
        <v>0</v>
      </c>
      <c r="D402" s="224">
        <v>0</v>
      </c>
      <c r="E402" s="430">
        <v>0</v>
      </c>
      <c r="F402" s="309">
        <v>0</v>
      </c>
      <c r="G402" s="276">
        <v>0</v>
      </c>
      <c r="H402" s="276">
        <v>0</v>
      </c>
      <c r="I402" s="309">
        <v>0</v>
      </c>
      <c r="J402" s="309">
        <v>0</v>
      </c>
      <c r="K402" s="223">
        <f t="shared" si="26"/>
        <v>0</v>
      </c>
      <c r="L402" s="224">
        <f t="shared" si="27"/>
        <v>0</v>
      </c>
      <c r="M402" s="304"/>
      <c r="N402" s="262"/>
      <c r="O402" s="262"/>
      <c r="P402" s="262"/>
      <c r="Q402" s="262"/>
      <c r="R402" s="262"/>
      <c r="S402" s="262"/>
    </row>
    <row r="403" spans="1:19" x14ac:dyDescent="0.25">
      <c r="A403" s="210">
        <v>7215</v>
      </c>
      <c r="B403" s="211" t="s">
        <v>60</v>
      </c>
      <c r="C403" s="301">
        <v>0</v>
      </c>
      <c r="D403" s="224">
        <v>0</v>
      </c>
      <c r="E403" s="430">
        <v>0</v>
      </c>
      <c r="F403" s="309">
        <v>0</v>
      </c>
      <c r="G403" s="276">
        <v>0</v>
      </c>
      <c r="H403" s="276">
        <v>0</v>
      </c>
      <c r="I403" s="309">
        <v>0</v>
      </c>
      <c r="J403" s="309">
        <v>0</v>
      </c>
      <c r="K403" s="223">
        <f t="shared" si="26"/>
        <v>0</v>
      </c>
      <c r="L403" s="224">
        <f t="shared" si="27"/>
        <v>0</v>
      </c>
      <c r="M403" s="304"/>
      <c r="N403" s="262"/>
      <c r="O403" s="262"/>
      <c r="P403" s="262"/>
      <c r="Q403" s="262"/>
      <c r="R403" s="262"/>
      <c r="S403" s="262"/>
    </row>
    <row r="404" spans="1:19" x14ac:dyDescent="0.25">
      <c r="A404" s="210">
        <v>7216</v>
      </c>
      <c r="B404" s="211" t="s">
        <v>153</v>
      </c>
      <c r="C404" s="301">
        <v>0</v>
      </c>
      <c r="D404" s="224">
        <v>0</v>
      </c>
      <c r="E404" s="430">
        <v>0</v>
      </c>
      <c r="F404" s="309">
        <v>0</v>
      </c>
      <c r="G404" s="276">
        <v>0</v>
      </c>
      <c r="H404" s="276">
        <v>0</v>
      </c>
      <c r="I404" s="309">
        <v>0</v>
      </c>
      <c r="J404" s="309">
        <v>0</v>
      </c>
      <c r="K404" s="223">
        <f t="shared" si="26"/>
        <v>0</v>
      </c>
      <c r="L404" s="224">
        <f t="shared" si="27"/>
        <v>0</v>
      </c>
      <c r="M404" s="304"/>
      <c r="N404" s="262"/>
      <c r="O404" s="262"/>
      <c r="P404" s="262"/>
      <c r="Q404" s="262"/>
      <c r="R404" s="262"/>
      <c r="S404" s="262"/>
    </row>
    <row r="405" spans="1:19" x14ac:dyDescent="0.25">
      <c r="A405" s="210">
        <v>7217</v>
      </c>
      <c r="B405" s="211" t="s">
        <v>154</v>
      </c>
      <c r="C405" s="301">
        <v>1</v>
      </c>
      <c r="D405" s="224">
        <v>1</v>
      </c>
      <c r="E405" s="430">
        <v>0</v>
      </c>
      <c r="F405" s="309">
        <v>0</v>
      </c>
      <c r="G405" s="276">
        <v>0</v>
      </c>
      <c r="H405" s="276">
        <v>0</v>
      </c>
      <c r="I405" s="309">
        <v>0</v>
      </c>
      <c r="J405" s="309">
        <v>0</v>
      </c>
      <c r="K405" s="223">
        <f t="shared" si="26"/>
        <v>1</v>
      </c>
      <c r="L405" s="224">
        <f t="shared" si="27"/>
        <v>1</v>
      </c>
      <c r="M405" s="304"/>
      <c r="N405" s="262"/>
      <c r="O405" s="262"/>
      <c r="P405" s="262"/>
      <c r="Q405" s="262"/>
      <c r="R405" s="262"/>
      <c r="S405" s="262"/>
    </row>
    <row r="406" spans="1:19" x14ac:dyDescent="0.25">
      <c r="A406" s="210">
        <v>7299</v>
      </c>
      <c r="B406" s="211" t="s">
        <v>155</v>
      </c>
      <c r="C406" s="301">
        <v>0</v>
      </c>
      <c r="D406" s="224">
        <v>0</v>
      </c>
      <c r="E406" s="430">
        <v>0</v>
      </c>
      <c r="F406" s="309">
        <v>0</v>
      </c>
      <c r="G406" s="276">
        <v>0</v>
      </c>
      <c r="H406" s="276">
        <v>0</v>
      </c>
      <c r="I406" s="309">
        <v>0</v>
      </c>
      <c r="J406" s="309">
        <v>0</v>
      </c>
      <c r="K406" s="223">
        <f t="shared" si="26"/>
        <v>0</v>
      </c>
      <c r="L406" s="224">
        <f t="shared" si="27"/>
        <v>0</v>
      </c>
      <c r="M406" s="304"/>
      <c r="N406" s="262"/>
      <c r="O406" s="262"/>
      <c r="P406" s="262"/>
      <c r="Q406" s="262"/>
      <c r="R406" s="262"/>
      <c r="S406" s="262"/>
    </row>
    <row r="407" spans="1:19" x14ac:dyDescent="0.25">
      <c r="A407" s="210">
        <v>7301</v>
      </c>
      <c r="B407" s="211" t="s">
        <v>156</v>
      </c>
      <c r="C407" s="301">
        <v>0</v>
      </c>
      <c r="D407" s="224">
        <v>0</v>
      </c>
      <c r="E407" s="430">
        <v>0</v>
      </c>
      <c r="F407" s="309">
        <v>0</v>
      </c>
      <c r="G407" s="276">
        <v>0</v>
      </c>
      <c r="H407" s="276">
        <v>0</v>
      </c>
      <c r="I407" s="309">
        <v>0</v>
      </c>
      <c r="J407" s="309">
        <v>0</v>
      </c>
      <c r="K407" s="223">
        <f t="shared" si="26"/>
        <v>0</v>
      </c>
      <c r="L407" s="224">
        <f t="shared" si="27"/>
        <v>0</v>
      </c>
      <c r="M407" s="304"/>
      <c r="N407" s="262"/>
      <c r="O407" s="262"/>
      <c r="P407" s="262"/>
      <c r="Q407" s="262"/>
      <c r="R407" s="262"/>
      <c r="S407" s="262"/>
    </row>
    <row r="408" spans="1:19" x14ac:dyDescent="0.25">
      <c r="A408" s="210">
        <v>7302</v>
      </c>
      <c r="B408" s="211" t="s">
        <v>157</v>
      </c>
      <c r="C408" s="301">
        <v>0</v>
      </c>
      <c r="D408" s="224">
        <v>0</v>
      </c>
      <c r="E408" s="430">
        <v>0</v>
      </c>
      <c r="F408" s="309">
        <v>0</v>
      </c>
      <c r="G408" s="276">
        <v>0</v>
      </c>
      <c r="H408" s="276">
        <v>0</v>
      </c>
      <c r="I408" s="309">
        <v>0</v>
      </c>
      <c r="J408" s="309">
        <v>0</v>
      </c>
      <c r="K408" s="223">
        <f t="shared" si="26"/>
        <v>0</v>
      </c>
      <c r="L408" s="224">
        <f t="shared" si="27"/>
        <v>0</v>
      </c>
      <c r="M408" s="304"/>
      <c r="N408" s="262"/>
      <c r="O408" s="262"/>
      <c r="P408" s="262"/>
      <c r="Q408" s="262"/>
      <c r="R408" s="262"/>
      <c r="S408" s="262"/>
    </row>
    <row r="409" spans="1:19" x14ac:dyDescent="0.25">
      <c r="A409" s="210">
        <v>7303</v>
      </c>
      <c r="B409" s="211" t="s">
        <v>158</v>
      </c>
      <c r="C409" s="301">
        <v>0</v>
      </c>
      <c r="D409" s="224">
        <v>0</v>
      </c>
      <c r="E409" s="430">
        <v>0</v>
      </c>
      <c r="F409" s="309">
        <v>0</v>
      </c>
      <c r="G409" s="276">
        <v>0</v>
      </c>
      <c r="H409" s="276">
        <v>0</v>
      </c>
      <c r="I409" s="309">
        <v>0</v>
      </c>
      <c r="J409" s="309">
        <v>0</v>
      </c>
      <c r="K409" s="223">
        <f t="shared" si="26"/>
        <v>0</v>
      </c>
      <c r="L409" s="224">
        <f t="shared" si="27"/>
        <v>0</v>
      </c>
      <c r="M409" s="304"/>
      <c r="N409" s="262"/>
      <c r="O409" s="262"/>
      <c r="P409" s="262"/>
      <c r="Q409" s="262"/>
      <c r="R409" s="262"/>
      <c r="S409" s="262"/>
    </row>
    <row r="410" spans="1:19" x14ac:dyDescent="0.25">
      <c r="A410" s="210">
        <v>7304</v>
      </c>
      <c r="B410" s="211" t="s">
        <v>159</v>
      </c>
      <c r="C410" s="301">
        <v>0</v>
      </c>
      <c r="D410" s="224">
        <v>0</v>
      </c>
      <c r="E410" s="430">
        <v>0</v>
      </c>
      <c r="F410" s="309">
        <v>0</v>
      </c>
      <c r="G410" s="276">
        <v>0</v>
      </c>
      <c r="H410" s="276">
        <v>0</v>
      </c>
      <c r="I410" s="309">
        <v>0</v>
      </c>
      <c r="J410" s="309">
        <v>0</v>
      </c>
      <c r="K410" s="223">
        <f t="shared" si="26"/>
        <v>0</v>
      </c>
      <c r="L410" s="224">
        <f t="shared" si="27"/>
        <v>0</v>
      </c>
      <c r="M410" s="304"/>
      <c r="N410" s="262"/>
      <c r="O410" s="262"/>
      <c r="P410" s="262"/>
      <c r="Q410" s="262"/>
      <c r="R410" s="262"/>
      <c r="S410" s="262"/>
    </row>
    <row r="411" spans="1:19" x14ac:dyDescent="0.25">
      <c r="A411" s="210">
        <v>7305</v>
      </c>
      <c r="B411" s="211" t="s">
        <v>160</v>
      </c>
      <c r="C411" s="301">
        <v>0</v>
      </c>
      <c r="D411" s="224">
        <v>0</v>
      </c>
      <c r="E411" s="430">
        <v>0</v>
      </c>
      <c r="F411" s="309">
        <v>0</v>
      </c>
      <c r="G411" s="276">
        <v>0</v>
      </c>
      <c r="H411" s="276">
        <v>0</v>
      </c>
      <c r="I411" s="309">
        <v>0</v>
      </c>
      <c r="J411" s="309">
        <v>0</v>
      </c>
      <c r="K411" s="223">
        <f t="shared" ref="K411:K442" si="28">C411+E411-G411-I411</f>
        <v>0</v>
      </c>
      <c r="L411" s="224">
        <f t="shared" ref="L411:L442" si="29">D411+F411-H411-J411</f>
        <v>0</v>
      </c>
      <c r="M411" s="304"/>
      <c r="N411" s="262"/>
      <c r="O411" s="262"/>
      <c r="P411" s="262"/>
      <c r="Q411" s="262"/>
      <c r="R411" s="262"/>
      <c r="S411" s="262"/>
    </row>
    <row r="412" spans="1:19" x14ac:dyDescent="0.25">
      <c r="A412" s="210">
        <v>7306</v>
      </c>
      <c r="B412" s="211" t="s">
        <v>161</v>
      </c>
      <c r="C412" s="301">
        <v>0</v>
      </c>
      <c r="D412" s="224">
        <v>0</v>
      </c>
      <c r="E412" s="430">
        <v>0</v>
      </c>
      <c r="F412" s="309">
        <v>0</v>
      </c>
      <c r="G412" s="276">
        <v>0</v>
      </c>
      <c r="H412" s="276">
        <v>0</v>
      </c>
      <c r="I412" s="309">
        <v>0</v>
      </c>
      <c r="J412" s="309">
        <v>0</v>
      </c>
      <c r="K412" s="223">
        <f t="shared" si="28"/>
        <v>0</v>
      </c>
      <c r="L412" s="224">
        <f t="shared" si="29"/>
        <v>0</v>
      </c>
      <c r="M412" s="304"/>
      <c r="N412" s="262"/>
      <c r="O412" s="262"/>
      <c r="P412" s="262"/>
      <c r="Q412" s="262"/>
      <c r="R412" s="262"/>
      <c r="S412" s="262"/>
    </row>
    <row r="413" spans="1:19" x14ac:dyDescent="0.25">
      <c r="A413" s="210">
        <v>7307</v>
      </c>
      <c r="B413" s="211" t="s">
        <v>162</v>
      </c>
      <c r="C413" s="301">
        <v>0</v>
      </c>
      <c r="D413" s="224">
        <v>0</v>
      </c>
      <c r="E413" s="430">
        <v>0</v>
      </c>
      <c r="F413" s="309">
        <v>0</v>
      </c>
      <c r="G413" s="276">
        <v>0</v>
      </c>
      <c r="H413" s="276">
        <v>0</v>
      </c>
      <c r="I413" s="309">
        <v>0</v>
      </c>
      <c r="J413" s="309">
        <v>0</v>
      </c>
      <c r="K413" s="223">
        <f t="shared" si="28"/>
        <v>0</v>
      </c>
      <c r="L413" s="224">
        <f t="shared" si="29"/>
        <v>0</v>
      </c>
      <c r="M413" s="304"/>
      <c r="N413" s="262"/>
      <c r="O413" s="262"/>
      <c r="P413" s="262"/>
      <c r="Q413" s="262"/>
      <c r="R413" s="262"/>
      <c r="S413" s="262"/>
    </row>
    <row r="414" spans="1:19" x14ac:dyDescent="0.25">
      <c r="A414" s="210">
        <v>7308</v>
      </c>
      <c r="B414" s="211" t="s">
        <v>225</v>
      </c>
      <c r="C414" s="301">
        <v>0</v>
      </c>
      <c r="D414" s="224">
        <v>0</v>
      </c>
      <c r="E414" s="430">
        <v>0</v>
      </c>
      <c r="F414" s="309">
        <v>0</v>
      </c>
      <c r="G414" s="276">
        <v>0</v>
      </c>
      <c r="H414" s="276">
        <v>0</v>
      </c>
      <c r="I414" s="309">
        <v>0</v>
      </c>
      <c r="J414" s="309">
        <v>0</v>
      </c>
      <c r="K414" s="223">
        <f t="shared" si="28"/>
        <v>0</v>
      </c>
      <c r="L414" s="224">
        <f t="shared" si="29"/>
        <v>0</v>
      </c>
      <c r="M414" s="304"/>
      <c r="N414" s="262"/>
      <c r="O414" s="262"/>
      <c r="P414" s="262"/>
      <c r="Q414" s="262"/>
      <c r="R414" s="262"/>
      <c r="S414" s="262"/>
    </row>
    <row r="415" spans="1:19" x14ac:dyDescent="0.25">
      <c r="A415" s="210">
        <v>7309</v>
      </c>
      <c r="B415" s="211" t="s">
        <v>164</v>
      </c>
      <c r="C415" s="301">
        <v>0</v>
      </c>
      <c r="D415" s="224">
        <v>0</v>
      </c>
      <c r="E415" s="430">
        <v>0</v>
      </c>
      <c r="F415" s="309">
        <v>0</v>
      </c>
      <c r="G415" s="276">
        <v>0</v>
      </c>
      <c r="H415" s="276">
        <v>0</v>
      </c>
      <c r="I415" s="309">
        <v>0</v>
      </c>
      <c r="J415" s="309">
        <v>0</v>
      </c>
      <c r="K415" s="223">
        <f t="shared" si="28"/>
        <v>0</v>
      </c>
      <c r="L415" s="224">
        <f t="shared" si="29"/>
        <v>0</v>
      </c>
      <c r="M415" s="304"/>
      <c r="N415" s="262"/>
      <c r="O415" s="262"/>
      <c r="P415" s="262"/>
      <c r="Q415" s="262"/>
      <c r="R415" s="262"/>
      <c r="S415" s="262"/>
    </row>
    <row r="416" spans="1:19" x14ac:dyDescent="0.25">
      <c r="A416" s="210">
        <v>7310</v>
      </c>
      <c r="B416" s="211" t="s">
        <v>86</v>
      </c>
      <c r="C416" s="301">
        <v>0</v>
      </c>
      <c r="D416" s="224">
        <v>0</v>
      </c>
      <c r="E416" s="430">
        <v>0</v>
      </c>
      <c r="F416" s="309">
        <v>0</v>
      </c>
      <c r="G416" s="276">
        <v>0</v>
      </c>
      <c r="H416" s="276">
        <v>0</v>
      </c>
      <c r="I416" s="309">
        <v>0</v>
      </c>
      <c r="J416" s="309">
        <v>0</v>
      </c>
      <c r="K416" s="223">
        <f t="shared" si="28"/>
        <v>0</v>
      </c>
      <c r="L416" s="224">
        <f t="shared" si="29"/>
        <v>0</v>
      </c>
      <c r="M416" s="304"/>
      <c r="N416" s="262"/>
      <c r="O416" s="262"/>
      <c r="P416" s="262"/>
      <c r="Q416" s="262"/>
      <c r="R416" s="262"/>
      <c r="S416" s="262"/>
    </row>
    <row r="417" spans="1:19" x14ac:dyDescent="0.25">
      <c r="A417" s="210">
        <v>7311</v>
      </c>
      <c r="B417" s="211" t="s">
        <v>165</v>
      </c>
      <c r="C417" s="301">
        <v>0</v>
      </c>
      <c r="D417" s="224">
        <v>0</v>
      </c>
      <c r="E417" s="430">
        <v>0</v>
      </c>
      <c r="F417" s="309">
        <v>0</v>
      </c>
      <c r="G417" s="276">
        <v>0</v>
      </c>
      <c r="H417" s="276">
        <v>0</v>
      </c>
      <c r="I417" s="309">
        <v>0</v>
      </c>
      <c r="J417" s="309">
        <v>0</v>
      </c>
      <c r="K417" s="223">
        <f t="shared" si="28"/>
        <v>0</v>
      </c>
      <c r="L417" s="224">
        <f t="shared" si="29"/>
        <v>0</v>
      </c>
      <c r="M417" s="304"/>
      <c r="N417" s="262"/>
      <c r="O417" s="262"/>
      <c r="P417" s="262"/>
      <c r="Q417" s="262"/>
      <c r="R417" s="262"/>
      <c r="S417" s="262"/>
    </row>
    <row r="418" spans="1:19" x14ac:dyDescent="0.25">
      <c r="A418" s="210">
        <v>7399</v>
      </c>
      <c r="B418" s="211" t="s">
        <v>166</v>
      </c>
      <c r="C418" s="301">
        <v>0</v>
      </c>
      <c r="D418" s="224">
        <v>0</v>
      </c>
      <c r="E418" s="430">
        <v>0</v>
      </c>
      <c r="F418" s="309">
        <v>0</v>
      </c>
      <c r="G418" s="276">
        <v>0</v>
      </c>
      <c r="H418" s="276">
        <v>0</v>
      </c>
      <c r="I418" s="309">
        <v>0</v>
      </c>
      <c r="J418" s="309">
        <v>0</v>
      </c>
      <c r="K418" s="223">
        <f t="shared" si="28"/>
        <v>0</v>
      </c>
      <c r="L418" s="224">
        <f t="shared" si="29"/>
        <v>0</v>
      </c>
      <c r="M418" s="304"/>
      <c r="N418" s="262"/>
      <c r="O418" s="262"/>
      <c r="P418" s="262"/>
      <c r="Q418" s="262"/>
      <c r="R418" s="262"/>
      <c r="S418" s="262"/>
    </row>
    <row r="419" spans="1:19" x14ac:dyDescent="0.25">
      <c r="A419" s="210">
        <v>7401</v>
      </c>
      <c r="B419" s="211" t="s">
        <v>167</v>
      </c>
      <c r="C419" s="301">
        <v>0</v>
      </c>
      <c r="D419" s="224">
        <v>4</v>
      </c>
      <c r="E419" s="430">
        <v>0</v>
      </c>
      <c r="F419" s="309">
        <v>0</v>
      </c>
      <c r="G419" s="276">
        <v>0</v>
      </c>
      <c r="H419" s="276">
        <v>0</v>
      </c>
      <c r="I419" s="309">
        <v>0</v>
      </c>
      <c r="J419" s="309">
        <v>0</v>
      </c>
      <c r="K419" s="223">
        <f t="shared" si="28"/>
        <v>0</v>
      </c>
      <c r="L419" s="224">
        <f t="shared" si="29"/>
        <v>4</v>
      </c>
      <c r="M419" s="304"/>
      <c r="N419" s="262"/>
      <c r="O419" s="262"/>
      <c r="P419" s="262"/>
      <c r="Q419" s="262"/>
      <c r="R419" s="262"/>
      <c r="S419" s="262"/>
    </row>
    <row r="420" spans="1:19" x14ac:dyDescent="0.25">
      <c r="A420" s="210">
        <v>7402</v>
      </c>
      <c r="B420" s="211" t="s">
        <v>168</v>
      </c>
      <c r="C420" s="301">
        <v>0</v>
      </c>
      <c r="D420" s="224">
        <v>0</v>
      </c>
      <c r="E420" s="430">
        <v>0</v>
      </c>
      <c r="F420" s="309">
        <v>0</v>
      </c>
      <c r="G420" s="276">
        <v>0</v>
      </c>
      <c r="H420" s="276">
        <v>0</v>
      </c>
      <c r="I420" s="309">
        <v>0</v>
      </c>
      <c r="J420" s="309">
        <v>0</v>
      </c>
      <c r="K420" s="223">
        <f t="shared" si="28"/>
        <v>0</v>
      </c>
      <c r="L420" s="224">
        <f t="shared" si="29"/>
        <v>0</v>
      </c>
      <c r="M420" s="304"/>
      <c r="N420" s="262"/>
      <c r="O420" s="262"/>
      <c r="P420" s="262"/>
      <c r="Q420" s="262"/>
      <c r="R420" s="262"/>
      <c r="S420" s="262"/>
    </row>
    <row r="421" spans="1:19" x14ac:dyDescent="0.25">
      <c r="A421" s="210">
        <v>7403</v>
      </c>
      <c r="B421" s="211" t="s">
        <v>169</v>
      </c>
      <c r="C421" s="301">
        <v>0</v>
      </c>
      <c r="D421" s="224">
        <v>0</v>
      </c>
      <c r="E421" s="430">
        <v>0</v>
      </c>
      <c r="F421" s="309">
        <v>0</v>
      </c>
      <c r="G421" s="276">
        <v>0</v>
      </c>
      <c r="H421" s="276">
        <v>0</v>
      </c>
      <c r="I421" s="309">
        <v>0</v>
      </c>
      <c r="J421" s="309">
        <v>0</v>
      </c>
      <c r="K421" s="223">
        <f t="shared" si="28"/>
        <v>0</v>
      </c>
      <c r="L421" s="224">
        <f t="shared" si="29"/>
        <v>0</v>
      </c>
      <c r="M421" s="304"/>
      <c r="N421" s="262"/>
      <c r="O421" s="262"/>
      <c r="P421" s="262"/>
      <c r="Q421" s="262"/>
      <c r="R421" s="262"/>
      <c r="S421" s="262"/>
    </row>
    <row r="422" spans="1:19" x14ac:dyDescent="0.25">
      <c r="A422" s="210">
        <v>7404</v>
      </c>
      <c r="B422" s="211" t="s">
        <v>175</v>
      </c>
      <c r="C422" s="301">
        <v>0</v>
      </c>
      <c r="D422" s="224">
        <v>1</v>
      </c>
      <c r="E422" s="430">
        <v>0</v>
      </c>
      <c r="F422" s="309">
        <v>0</v>
      </c>
      <c r="G422" s="276">
        <v>0</v>
      </c>
      <c r="H422" s="276">
        <v>0</v>
      </c>
      <c r="I422" s="309">
        <v>0</v>
      </c>
      <c r="J422" s="309">
        <v>0</v>
      </c>
      <c r="K422" s="223">
        <f t="shared" si="28"/>
        <v>0</v>
      </c>
      <c r="L422" s="224">
        <f t="shared" si="29"/>
        <v>1</v>
      </c>
      <c r="M422" s="304"/>
      <c r="N422" s="262"/>
      <c r="O422" s="262"/>
      <c r="P422" s="262"/>
      <c r="Q422" s="262"/>
      <c r="R422" s="262"/>
      <c r="S422" s="262"/>
    </row>
    <row r="423" spans="1:19" x14ac:dyDescent="0.25">
      <c r="A423" s="210">
        <v>7499</v>
      </c>
      <c r="B423" s="211" t="s">
        <v>176</v>
      </c>
      <c r="C423" s="301">
        <v>0</v>
      </c>
      <c r="D423" s="224">
        <v>0</v>
      </c>
      <c r="E423" s="430">
        <v>0</v>
      </c>
      <c r="F423" s="309">
        <v>0</v>
      </c>
      <c r="G423" s="276">
        <v>0</v>
      </c>
      <c r="H423" s="276">
        <v>0</v>
      </c>
      <c r="I423" s="309">
        <v>0</v>
      </c>
      <c r="J423" s="309">
        <v>0</v>
      </c>
      <c r="K423" s="223">
        <f t="shared" si="28"/>
        <v>0</v>
      </c>
      <c r="L423" s="224">
        <f t="shared" si="29"/>
        <v>0</v>
      </c>
      <c r="M423" s="304"/>
      <c r="N423" s="262"/>
      <c r="O423" s="262"/>
      <c r="P423" s="262"/>
      <c r="Q423" s="262"/>
      <c r="R423" s="262"/>
      <c r="S423" s="262"/>
    </row>
    <row r="424" spans="1:19" x14ac:dyDescent="0.25">
      <c r="A424" s="210">
        <v>7501</v>
      </c>
      <c r="B424" s="211" t="s">
        <v>112</v>
      </c>
      <c r="C424" s="301">
        <v>0</v>
      </c>
      <c r="D424" s="224">
        <v>0</v>
      </c>
      <c r="E424" s="430">
        <v>0</v>
      </c>
      <c r="F424" s="309">
        <v>0</v>
      </c>
      <c r="G424" s="276">
        <v>0</v>
      </c>
      <c r="H424" s="276">
        <v>0</v>
      </c>
      <c r="I424" s="309">
        <v>0</v>
      </c>
      <c r="J424" s="309">
        <v>0</v>
      </c>
      <c r="K424" s="223">
        <f t="shared" si="28"/>
        <v>0</v>
      </c>
      <c r="L424" s="224">
        <f t="shared" si="29"/>
        <v>0</v>
      </c>
      <c r="M424" s="304"/>
      <c r="N424" s="262"/>
      <c r="O424" s="262"/>
      <c r="P424" s="262"/>
      <c r="Q424" s="262"/>
      <c r="R424" s="262"/>
      <c r="S424" s="262"/>
    </row>
    <row r="425" spans="1:19" x14ac:dyDescent="0.25">
      <c r="A425" s="210">
        <v>7502</v>
      </c>
      <c r="B425" s="211" t="s">
        <v>177</v>
      </c>
      <c r="C425" s="301">
        <v>1</v>
      </c>
      <c r="D425" s="224">
        <v>0</v>
      </c>
      <c r="E425" s="430">
        <v>0</v>
      </c>
      <c r="F425" s="309">
        <v>0</v>
      </c>
      <c r="G425" s="276">
        <v>0</v>
      </c>
      <c r="H425" s="276">
        <v>0</v>
      </c>
      <c r="I425" s="309">
        <v>0</v>
      </c>
      <c r="J425" s="309">
        <v>0</v>
      </c>
      <c r="K425" s="223">
        <f t="shared" si="28"/>
        <v>1</v>
      </c>
      <c r="L425" s="224">
        <f t="shared" si="29"/>
        <v>0</v>
      </c>
      <c r="M425" s="304"/>
      <c r="N425" s="262"/>
      <c r="O425" s="262"/>
      <c r="P425" s="262"/>
      <c r="Q425" s="262"/>
      <c r="R425" s="262"/>
      <c r="S425" s="262"/>
    </row>
    <row r="426" spans="1:19" x14ac:dyDescent="0.25">
      <c r="A426" s="210">
        <v>7503</v>
      </c>
      <c r="B426" s="211" t="s">
        <v>104</v>
      </c>
      <c r="C426" s="301">
        <v>0</v>
      </c>
      <c r="D426" s="224">
        <v>0</v>
      </c>
      <c r="E426" s="430">
        <v>0</v>
      </c>
      <c r="F426" s="309">
        <v>0</v>
      </c>
      <c r="G426" s="276">
        <v>0</v>
      </c>
      <c r="H426" s="276">
        <v>0</v>
      </c>
      <c r="I426" s="309">
        <v>0</v>
      </c>
      <c r="J426" s="309">
        <v>0</v>
      </c>
      <c r="K426" s="223">
        <f t="shared" si="28"/>
        <v>0</v>
      </c>
      <c r="L426" s="224">
        <f t="shared" si="29"/>
        <v>0</v>
      </c>
      <c r="M426" s="304"/>
      <c r="N426" s="262"/>
      <c r="O426" s="262"/>
      <c r="P426" s="262"/>
      <c r="Q426" s="262"/>
      <c r="R426" s="262"/>
      <c r="S426" s="262"/>
    </row>
    <row r="427" spans="1:19" x14ac:dyDescent="0.25">
      <c r="A427" s="210">
        <v>7504</v>
      </c>
      <c r="B427" s="211" t="s">
        <v>179</v>
      </c>
      <c r="C427" s="301">
        <v>0</v>
      </c>
      <c r="D427" s="224">
        <v>0</v>
      </c>
      <c r="E427" s="430">
        <v>0</v>
      </c>
      <c r="F427" s="309">
        <v>0</v>
      </c>
      <c r="G427" s="276">
        <v>0</v>
      </c>
      <c r="H427" s="276">
        <v>0</v>
      </c>
      <c r="I427" s="309">
        <v>0</v>
      </c>
      <c r="J427" s="309">
        <v>0</v>
      </c>
      <c r="K427" s="223">
        <f t="shared" si="28"/>
        <v>0</v>
      </c>
      <c r="L427" s="224">
        <f t="shared" si="29"/>
        <v>0</v>
      </c>
      <c r="M427" s="304"/>
      <c r="N427" s="262"/>
      <c r="O427" s="262"/>
      <c r="P427" s="262"/>
      <c r="Q427" s="262"/>
      <c r="R427" s="262"/>
      <c r="S427" s="262"/>
    </row>
    <row r="428" spans="1:19" x14ac:dyDescent="0.25">
      <c r="A428" s="210">
        <v>7505</v>
      </c>
      <c r="B428" s="211" t="s">
        <v>180</v>
      </c>
      <c r="C428" s="301">
        <v>0</v>
      </c>
      <c r="D428" s="224">
        <v>0</v>
      </c>
      <c r="E428" s="430">
        <v>0</v>
      </c>
      <c r="F428" s="309">
        <v>0</v>
      </c>
      <c r="G428" s="276">
        <v>0</v>
      </c>
      <c r="H428" s="276">
        <v>0</v>
      </c>
      <c r="I428" s="309">
        <v>0</v>
      </c>
      <c r="J428" s="309">
        <v>0</v>
      </c>
      <c r="K428" s="223">
        <f t="shared" si="28"/>
        <v>0</v>
      </c>
      <c r="L428" s="224">
        <f t="shared" si="29"/>
        <v>0</v>
      </c>
      <c r="M428" s="304"/>
      <c r="N428" s="262"/>
      <c r="O428" s="262"/>
      <c r="P428" s="262"/>
      <c r="Q428" s="262"/>
      <c r="R428" s="262"/>
      <c r="S428" s="262"/>
    </row>
    <row r="429" spans="1:19" x14ac:dyDescent="0.25">
      <c r="A429" s="210">
        <v>7506</v>
      </c>
      <c r="B429" s="211" t="s">
        <v>102</v>
      </c>
      <c r="C429" s="301">
        <v>0</v>
      </c>
      <c r="D429" s="224">
        <v>0</v>
      </c>
      <c r="E429" s="430">
        <v>0</v>
      </c>
      <c r="F429" s="309">
        <v>0</v>
      </c>
      <c r="G429" s="276">
        <v>0</v>
      </c>
      <c r="H429" s="276">
        <v>0</v>
      </c>
      <c r="I429" s="309">
        <v>0</v>
      </c>
      <c r="J429" s="309">
        <v>0</v>
      </c>
      <c r="K429" s="223">
        <f t="shared" si="28"/>
        <v>0</v>
      </c>
      <c r="L429" s="224">
        <f t="shared" si="29"/>
        <v>0</v>
      </c>
      <c r="M429" s="304"/>
      <c r="N429" s="262"/>
      <c r="O429" s="262"/>
      <c r="P429" s="262"/>
      <c r="Q429" s="262"/>
      <c r="R429" s="262"/>
      <c r="S429" s="262"/>
    </row>
    <row r="430" spans="1:19" x14ac:dyDescent="0.25">
      <c r="A430" s="210">
        <v>7507</v>
      </c>
      <c r="B430" s="211" t="s">
        <v>121</v>
      </c>
      <c r="C430" s="301">
        <v>0</v>
      </c>
      <c r="D430" s="224">
        <v>0</v>
      </c>
      <c r="E430" s="430">
        <v>0</v>
      </c>
      <c r="F430" s="309">
        <v>0</v>
      </c>
      <c r="G430" s="276">
        <v>0</v>
      </c>
      <c r="H430" s="276">
        <v>0</v>
      </c>
      <c r="I430" s="309">
        <v>0</v>
      </c>
      <c r="J430" s="309">
        <v>0</v>
      </c>
      <c r="K430" s="223">
        <f t="shared" si="28"/>
        <v>0</v>
      </c>
      <c r="L430" s="224">
        <f t="shared" si="29"/>
        <v>0</v>
      </c>
      <c r="M430" s="304"/>
      <c r="N430" s="262"/>
      <c r="O430" s="262"/>
      <c r="P430" s="262"/>
      <c r="Q430" s="262"/>
      <c r="R430" s="262"/>
      <c r="S430" s="262"/>
    </row>
    <row r="431" spans="1:19" x14ac:dyDescent="0.25">
      <c r="A431" s="210">
        <v>7508</v>
      </c>
      <c r="B431" s="211" t="s">
        <v>87</v>
      </c>
      <c r="C431" s="301">
        <v>0</v>
      </c>
      <c r="D431" s="224">
        <v>0</v>
      </c>
      <c r="E431" s="430">
        <v>0</v>
      </c>
      <c r="F431" s="309">
        <v>0</v>
      </c>
      <c r="G431" s="276">
        <v>0</v>
      </c>
      <c r="H431" s="276">
        <v>0</v>
      </c>
      <c r="I431" s="309">
        <v>0</v>
      </c>
      <c r="J431" s="309">
        <v>0</v>
      </c>
      <c r="K431" s="223">
        <f t="shared" si="28"/>
        <v>0</v>
      </c>
      <c r="L431" s="224">
        <f t="shared" si="29"/>
        <v>0</v>
      </c>
      <c r="M431" s="304"/>
      <c r="N431" s="262"/>
      <c r="O431" s="262"/>
      <c r="P431" s="262"/>
      <c r="Q431" s="262"/>
      <c r="R431" s="262"/>
      <c r="S431" s="262"/>
    </row>
    <row r="432" spans="1:19" x14ac:dyDescent="0.25">
      <c r="A432" s="210">
        <v>7509</v>
      </c>
      <c r="B432" s="211" t="s">
        <v>235</v>
      </c>
      <c r="C432" s="301">
        <v>1</v>
      </c>
      <c r="D432" s="224">
        <v>1</v>
      </c>
      <c r="E432" s="430">
        <v>0</v>
      </c>
      <c r="F432" s="309">
        <v>0</v>
      </c>
      <c r="G432" s="276">
        <v>0</v>
      </c>
      <c r="H432" s="276">
        <v>0</v>
      </c>
      <c r="I432" s="309">
        <v>0</v>
      </c>
      <c r="J432" s="309">
        <v>0</v>
      </c>
      <c r="K432" s="223">
        <f t="shared" si="28"/>
        <v>1</v>
      </c>
      <c r="L432" s="224">
        <f t="shared" si="29"/>
        <v>1</v>
      </c>
      <c r="M432" s="304"/>
      <c r="N432" s="262"/>
      <c r="O432" s="262"/>
      <c r="P432" s="262"/>
      <c r="Q432" s="262"/>
      <c r="R432" s="262"/>
      <c r="S432" s="262"/>
    </row>
    <row r="433" spans="1:19" x14ac:dyDescent="0.25">
      <c r="A433" s="210">
        <v>7510</v>
      </c>
      <c r="B433" s="211" t="s">
        <v>98</v>
      </c>
      <c r="C433" s="301">
        <v>0</v>
      </c>
      <c r="D433" s="224">
        <v>0</v>
      </c>
      <c r="E433" s="430">
        <v>0</v>
      </c>
      <c r="F433" s="309">
        <v>0</v>
      </c>
      <c r="G433" s="276">
        <v>0</v>
      </c>
      <c r="H433" s="276">
        <v>0</v>
      </c>
      <c r="I433" s="309">
        <v>0</v>
      </c>
      <c r="J433" s="309">
        <v>0</v>
      </c>
      <c r="K433" s="223">
        <f t="shared" si="28"/>
        <v>0</v>
      </c>
      <c r="L433" s="224">
        <f t="shared" si="29"/>
        <v>0</v>
      </c>
      <c r="M433" s="304"/>
      <c r="N433" s="262"/>
      <c r="O433" s="262"/>
      <c r="P433" s="262"/>
      <c r="Q433" s="262"/>
      <c r="R433" s="262"/>
      <c r="S433" s="262"/>
    </row>
    <row r="434" spans="1:19" x14ac:dyDescent="0.25">
      <c r="A434" s="210">
        <v>7511</v>
      </c>
      <c r="B434" s="211" t="s">
        <v>103</v>
      </c>
      <c r="C434" s="301">
        <v>0</v>
      </c>
      <c r="D434" s="224">
        <v>0</v>
      </c>
      <c r="E434" s="430">
        <v>0</v>
      </c>
      <c r="F434" s="309">
        <v>0</v>
      </c>
      <c r="G434" s="276">
        <v>0</v>
      </c>
      <c r="H434" s="276">
        <v>0</v>
      </c>
      <c r="I434" s="309">
        <v>0</v>
      </c>
      <c r="J434" s="309">
        <v>0</v>
      </c>
      <c r="K434" s="223">
        <f t="shared" si="28"/>
        <v>0</v>
      </c>
      <c r="L434" s="224">
        <f t="shared" si="29"/>
        <v>0</v>
      </c>
      <c r="M434" s="304"/>
      <c r="N434" s="262"/>
      <c r="O434" s="262"/>
      <c r="P434" s="262"/>
      <c r="Q434" s="262"/>
      <c r="R434" s="262"/>
      <c r="S434" s="262"/>
    </row>
    <row r="435" spans="1:19" x14ac:dyDescent="0.25">
      <c r="A435" s="210">
        <v>7512</v>
      </c>
      <c r="B435" s="211" t="s">
        <v>183</v>
      </c>
      <c r="C435" s="301">
        <v>0</v>
      </c>
      <c r="D435" s="224">
        <v>0</v>
      </c>
      <c r="E435" s="430">
        <v>0</v>
      </c>
      <c r="F435" s="309">
        <v>0</v>
      </c>
      <c r="G435" s="276">
        <v>0</v>
      </c>
      <c r="H435" s="276">
        <v>0</v>
      </c>
      <c r="I435" s="309">
        <v>0</v>
      </c>
      <c r="J435" s="309">
        <v>0</v>
      </c>
      <c r="K435" s="223">
        <f t="shared" si="28"/>
        <v>0</v>
      </c>
      <c r="L435" s="224">
        <f t="shared" si="29"/>
        <v>0</v>
      </c>
      <c r="M435" s="304"/>
      <c r="N435" s="262"/>
      <c r="O435" s="262"/>
      <c r="P435" s="262"/>
      <c r="Q435" s="262"/>
      <c r="R435" s="262"/>
      <c r="S435" s="262"/>
    </row>
    <row r="436" spans="1:19" x14ac:dyDescent="0.25">
      <c r="A436" s="210">
        <v>7513</v>
      </c>
      <c r="B436" s="211" t="s">
        <v>184</v>
      </c>
      <c r="C436" s="307">
        <v>0</v>
      </c>
      <c r="D436" s="224">
        <v>0</v>
      </c>
      <c r="E436" s="430">
        <v>0</v>
      </c>
      <c r="F436" s="309">
        <v>0</v>
      </c>
      <c r="G436" s="276">
        <v>0</v>
      </c>
      <c r="H436" s="276">
        <v>0</v>
      </c>
      <c r="I436" s="309">
        <v>0</v>
      </c>
      <c r="J436" s="309">
        <v>0</v>
      </c>
      <c r="K436" s="223">
        <f t="shared" si="28"/>
        <v>0</v>
      </c>
      <c r="L436" s="224">
        <f t="shared" si="29"/>
        <v>0</v>
      </c>
      <c r="M436" s="304"/>
      <c r="N436" s="262"/>
      <c r="O436" s="262"/>
      <c r="P436" s="262"/>
      <c r="Q436" s="262"/>
      <c r="R436" s="262"/>
      <c r="S436" s="262"/>
    </row>
    <row r="437" spans="1:19" x14ac:dyDescent="0.25">
      <c r="A437" s="210">
        <v>7514</v>
      </c>
      <c r="B437" s="211" t="s">
        <v>108</v>
      </c>
      <c r="C437" s="301">
        <v>0</v>
      </c>
      <c r="D437" s="224">
        <v>0</v>
      </c>
      <c r="E437" s="430">
        <v>0</v>
      </c>
      <c r="F437" s="309">
        <v>0</v>
      </c>
      <c r="G437" s="276">
        <v>0</v>
      </c>
      <c r="H437" s="276">
        <v>0</v>
      </c>
      <c r="I437" s="309">
        <v>0</v>
      </c>
      <c r="J437" s="309">
        <v>0</v>
      </c>
      <c r="K437" s="223">
        <f t="shared" si="28"/>
        <v>0</v>
      </c>
      <c r="L437" s="224">
        <f t="shared" si="29"/>
        <v>0</v>
      </c>
      <c r="M437" s="304"/>
      <c r="N437" s="262"/>
      <c r="O437" s="262"/>
      <c r="P437" s="262"/>
      <c r="Q437" s="262"/>
      <c r="R437" s="262"/>
      <c r="S437" s="262"/>
    </row>
    <row r="438" spans="1:19" x14ac:dyDescent="0.25">
      <c r="A438" s="210">
        <v>7515</v>
      </c>
      <c r="B438" s="211" t="s">
        <v>185</v>
      </c>
      <c r="C438" s="301">
        <v>0</v>
      </c>
      <c r="D438" s="224">
        <v>0</v>
      </c>
      <c r="E438" s="430">
        <v>0</v>
      </c>
      <c r="F438" s="309">
        <v>0</v>
      </c>
      <c r="G438" s="276">
        <v>0</v>
      </c>
      <c r="H438" s="276">
        <v>0</v>
      </c>
      <c r="I438" s="309">
        <v>0</v>
      </c>
      <c r="J438" s="309">
        <v>0</v>
      </c>
      <c r="K438" s="223">
        <f t="shared" si="28"/>
        <v>0</v>
      </c>
      <c r="L438" s="224">
        <f t="shared" si="29"/>
        <v>0</v>
      </c>
      <c r="M438" s="304"/>
      <c r="N438" s="262"/>
      <c r="O438" s="262"/>
      <c r="P438" s="262"/>
      <c r="Q438" s="262"/>
      <c r="R438" s="262"/>
      <c r="S438" s="262"/>
    </row>
    <row r="439" spans="1:19" x14ac:dyDescent="0.25">
      <c r="A439" s="210">
        <v>7516</v>
      </c>
      <c r="B439" s="211" t="s">
        <v>109</v>
      </c>
      <c r="C439" s="301">
        <v>0</v>
      </c>
      <c r="D439" s="224">
        <v>0</v>
      </c>
      <c r="E439" s="430">
        <v>0</v>
      </c>
      <c r="F439" s="309">
        <v>0</v>
      </c>
      <c r="G439" s="276">
        <v>0</v>
      </c>
      <c r="H439" s="276">
        <v>0</v>
      </c>
      <c r="I439" s="309">
        <v>0</v>
      </c>
      <c r="J439" s="309">
        <v>0</v>
      </c>
      <c r="K439" s="223">
        <f t="shared" si="28"/>
        <v>0</v>
      </c>
      <c r="L439" s="224">
        <f t="shared" si="29"/>
        <v>0</v>
      </c>
      <c r="M439" s="304"/>
      <c r="N439" s="262"/>
      <c r="O439" s="262"/>
      <c r="P439" s="262"/>
      <c r="Q439" s="262"/>
      <c r="R439" s="262"/>
      <c r="S439" s="262"/>
    </row>
    <row r="440" spans="1:19" x14ac:dyDescent="0.25">
      <c r="A440" s="210">
        <v>7517</v>
      </c>
      <c r="B440" s="211" t="s">
        <v>186</v>
      </c>
      <c r="C440" s="301">
        <v>0</v>
      </c>
      <c r="D440" s="224">
        <v>0</v>
      </c>
      <c r="E440" s="430">
        <v>0</v>
      </c>
      <c r="F440" s="309">
        <v>0</v>
      </c>
      <c r="G440" s="276">
        <v>0</v>
      </c>
      <c r="H440" s="276">
        <v>0</v>
      </c>
      <c r="I440" s="309">
        <v>0</v>
      </c>
      <c r="J440" s="309">
        <v>0</v>
      </c>
      <c r="K440" s="223">
        <f t="shared" si="28"/>
        <v>0</v>
      </c>
      <c r="L440" s="224">
        <f t="shared" si="29"/>
        <v>0</v>
      </c>
      <c r="M440" s="304"/>
      <c r="N440" s="262"/>
      <c r="O440" s="262"/>
      <c r="P440" s="262"/>
      <c r="Q440" s="262"/>
      <c r="R440" s="262"/>
      <c r="S440" s="262"/>
    </row>
    <row r="441" spans="1:19" x14ac:dyDescent="0.25">
      <c r="A441" s="210">
        <v>7518</v>
      </c>
      <c r="B441" s="211" t="s">
        <v>187</v>
      </c>
      <c r="C441" s="301">
        <v>0</v>
      </c>
      <c r="D441" s="224">
        <v>0</v>
      </c>
      <c r="E441" s="430">
        <v>0</v>
      </c>
      <c r="F441" s="309">
        <v>0</v>
      </c>
      <c r="G441" s="276">
        <v>0</v>
      </c>
      <c r="H441" s="276">
        <v>0</v>
      </c>
      <c r="I441" s="309">
        <v>0</v>
      </c>
      <c r="J441" s="309">
        <v>0</v>
      </c>
      <c r="K441" s="223">
        <f t="shared" si="28"/>
        <v>0</v>
      </c>
      <c r="L441" s="224">
        <f t="shared" si="29"/>
        <v>0</v>
      </c>
      <c r="M441" s="304"/>
      <c r="N441" s="262"/>
      <c r="O441" s="262"/>
      <c r="P441" s="262"/>
      <c r="Q441" s="262"/>
      <c r="R441" s="262"/>
      <c r="S441" s="262"/>
    </row>
    <row r="442" spans="1:19" x14ac:dyDescent="0.25">
      <c r="A442" s="210">
        <v>7519</v>
      </c>
      <c r="B442" s="211" t="s">
        <v>188</v>
      </c>
      <c r="C442" s="301">
        <v>0</v>
      </c>
      <c r="D442" s="224">
        <v>0</v>
      </c>
      <c r="E442" s="430">
        <v>0</v>
      </c>
      <c r="F442" s="309">
        <v>0</v>
      </c>
      <c r="G442" s="276">
        <v>0</v>
      </c>
      <c r="H442" s="276">
        <v>0</v>
      </c>
      <c r="I442" s="309">
        <v>0</v>
      </c>
      <c r="J442" s="309">
        <v>0</v>
      </c>
      <c r="K442" s="223">
        <f t="shared" si="28"/>
        <v>0</v>
      </c>
      <c r="L442" s="224">
        <f t="shared" si="29"/>
        <v>0</v>
      </c>
      <c r="M442" s="304"/>
      <c r="N442" s="262"/>
      <c r="O442" s="262"/>
      <c r="P442" s="262"/>
      <c r="Q442" s="262"/>
      <c r="R442" s="262"/>
      <c r="S442" s="262"/>
    </row>
    <row r="443" spans="1:19" x14ac:dyDescent="0.25">
      <c r="A443" s="210">
        <v>7520</v>
      </c>
      <c r="B443" s="211" t="s">
        <v>227</v>
      </c>
      <c r="C443" s="301">
        <v>0</v>
      </c>
      <c r="D443" s="224">
        <v>0</v>
      </c>
      <c r="E443" s="430">
        <v>0</v>
      </c>
      <c r="F443" s="309">
        <v>0</v>
      </c>
      <c r="G443" s="276">
        <v>0</v>
      </c>
      <c r="H443" s="276">
        <v>0</v>
      </c>
      <c r="I443" s="309">
        <v>0</v>
      </c>
      <c r="J443" s="309">
        <v>0</v>
      </c>
      <c r="K443" s="223">
        <f t="shared" ref="K443:K474" si="30">C443+E443-G443-I443</f>
        <v>0</v>
      </c>
      <c r="L443" s="224">
        <f t="shared" ref="L443:L474" si="31">D443+F443-H443-J443</f>
        <v>0</v>
      </c>
      <c r="M443" s="304"/>
      <c r="N443" s="262"/>
      <c r="O443" s="262"/>
      <c r="P443" s="262"/>
      <c r="Q443" s="262"/>
      <c r="R443" s="262"/>
      <c r="S443" s="262"/>
    </row>
    <row r="444" spans="1:19" x14ac:dyDescent="0.25">
      <c r="A444" s="210">
        <v>7521</v>
      </c>
      <c r="B444" s="211" t="s">
        <v>189</v>
      </c>
      <c r="C444" s="301">
        <v>0</v>
      </c>
      <c r="D444" s="224">
        <v>0</v>
      </c>
      <c r="E444" s="430">
        <v>0</v>
      </c>
      <c r="F444" s="309">
        <v>0</v>
      </c>
      <c r="G444" s="276">
        <v>0</v>
      </c>
      <c r="H444" s="276">
        <v>0</v>
      </c>
      <c r="I444" s="309">
        <v>0</v>
      </c>
      <c r="J444" s="309">
        <v>0</v>
      </c>
      <c r="K444" s="223">
        <f t="shared" si="30"/>
        <v>0</v>
      </c>
      <c r="L444" s="224">
        <f t="shared" si="31"/>
        <v>0</v>
      </c>
      <c r="M444" s="304"/>
      <c r="N444" s="262"/>
      <c r="O444" s="262"/>
      <c r="P444" s="262"/>
      <c r="Q444" s="262"/>
      <c r="R444" s="262"/>
      <c r="S444" s="262"/>
    </row>
    <row r="445" spans="1:19" x14ac:dyDescent="0.25">
      <c r="A445" s="210">
        <v>7522</v>
      </c>
      <c r="B445" s="211" t="s">
        <v>237</v>
      </c>
      <c r="C445" s="301">
        <v>0</v>
      </c>
      <c r="D445" s="224">
        <v>0</v>
      </c>
      <c r="E445" s="430">
        <v>0</v>
      </c>
      <c r="F445" s="309">
        <v>0</v>
      </c>
      <c r="G445" s="276">
        <v>0</v>
      </c>
      <c r="H445" s="276">
        <v>0</v>
      </c>
      <c r="I445" s="309">
        <v>0</v>
      </c>
      <c r="J445" s="309">
        <v>0</v>
      </c>
      <c r="K445" s="223">
        <f t="shared" si="30"/>
        <v>0</v>
      </c>
      <c r="L445" s="224">
        <f t="shared" si="31"/>
        <v>0</v>
      </c>
      <c r="M445" s="304"/>
      <c r="N445" s="262"/>
      <c r="O445" s="262"/>
      <c r="P445" s="262"/>
      <c r="Q445" s="262"/>
      <c r="R445" s="262"/>
      <c r="S445" s="262"/>
    </row>
    <row r="446" spans="1:19" x14ac:dyDescent="0.25">
      <c r="A446" s="210">
        <v>7523</v>
      </c>
      <c r="B446" s="211" t="s">
        <v>191</v>
      </c>
      <c r="C446" s="301">
        <v>0</v>
      </c>
      <c r="D446" s="224">
        <v>0</v>
      </c>
      <c r="E446" s="430">
        <v>0</v>
      </c>
      <c r="F446" s="309">
        <v>0</v>
      </c>
      <c r="G446" s="276">
        <v>0</v>
      </c>
      <c r="H446" s="276">
        <v>0</v>
      </c>
      <c r="I446" s="309">
        <v>0</v>
      </c>
      <c r="J446" s="309">
        <v>0</v>
      </c>
      <c r="K446" s="223">
        <f t="shared" si="30"/>
        <v>0</v>
      </c>
      <c r="L446" s="224">
        <f t="shared" si="31"/>
        <v>0</v>
      </c>
      <c r="M446" s="304"/>
      <c r="N446" s="262"/>
      <c r="O446" s="262"/>
      <c r="P446" s="262"/>
      <c r="Q446" s="262"/>
      <c r="R446" s="262"/>
      <c r="S446" s="262"/>
    </row>
    <row r="447" spans="1:19" x14ac:dyDescent="0.25">
      <c r="A447" s="210">
        <v>7524</v>
      </c>
      <c r="B447" s="211" t="s">
        <v>192</v>
      </c>
      <c r="C447" s="301">
        <v>0</v>
      </c>
      <c r="D447" s="224">
        <v>0</v>
      </c>
      <c r="E447" s="430">
        <v>0</v>
      </c>
      <c r="F447" s="309">
        <v>0</v>
      </c>
      <c r="G447" s="276">
        <v>0</v>
      </c>
      <c r="H447" s="276">
        <v>0</v>
      </c>
      <c r="I447" s="309">
        <v>0</v>
      </c>
      <c r="J447" s="309">
        <v>0</v>
      </c>
      <c r="K447" s="223">
        <f t="shared" si="30"/>
        <v>0</v>
      </c>
      <c r="L447" s="224">
        <f t="shared" si="31"/>
        <v>0</v>
      </c>
      <c r="M447" s="304"/>
      <c r="N447" s="262"/>
      <c r="O447" s="262"/>
      <c r="P447" s="262"/>
      <c r="Q447" s="262"/>
      <c r="R447" s="262"/>
      <c r="S447" s="262"/>
    </row>
    <row r="448" spans="1:19" x14ac:dyDescent="0.25">
      <c r="A448" s="210">
        <v>7525</v>
      </c>
      <c r="B448" s="211" t="s">
        <v>193</v>
      </c>
      <c r="C448" s="301">
        <v>0</v>
      </c>
      <c r="D448" s="224">
        <v>0</v>
      </c>
      <c r="E448" s="430">
        <v>0</v>
      </c>
      <c r="F448" s="309">
        <v>0</v>
      </c>
      <c r="G448" s="276">
        <v>0</v>
      </c>
      <c r="H448" s="276">
        <v>0</v>
      </c>
      <c r="I448" s="309">
        <v>0</v>
      </c>
      <c r="J448" s="309">
        <v>0</v>
      </c>
      <c r="K448" s="223">
        <f t="shared" si="30"/>
        <v>0</v>
      </c>
      <c r="L448" s="224">
        <f t="shared" si="31"/>
        <v>0</v>
      </c>
      <c r="M448" s="304"/>
      <c r="N448" s="262"/>
      <c r="O448" s="262"/>
      <c r="P448" s="262"/>
      <c r="Q448" s="262"/>
      <c r="R448" s="262"/>
      <c r="S448" s="262"/>
    </row>
    <row r="449" spans="1:19" x14ac:dyDescent="0.25">
      <c r="A449" s="210">
        <v>7526</v>
      </c>
      <c r="B449" s="211" t="s">
        <v>228</v>
      </c>
      <c r="C449" s="301">
        <v>0</v>
      </c>
      <c r="D449" s="224">
        <v>0</v>
      </c>
      <c r="E449" s="430">
        <v>0</v>
      </c>
      <c r="F449" s="309">
        <v>0</v>
      </c>
      <c r="G449" s="276">
        <v>0</v>
      </c>
      <c r="H449" s="276">
        <v>0</v>
      </c>
      <c r="I449" s="309">
        <v>0</v>
      </c>
      <c r="J449" s="309">
        <v>0</v>
      </c>
      <c r="K449" s="223">
        <f t="shared" si="30"/>
        <v>0</v>
      </c>
      <c r="L449" s="224">
        <f t="shared" si="31"/>
        <v>0</v>
      </c>
      <c r="M449" s="304"/>
      <c r="N449" s="262"/>
      <c r="O449" s="262"/>
      <c r="P449" s="262"/>
      <c r="Q449" s="262"/>
      <c r="R449" s="262"/>
      <c r="S449" s="262"/>
    </row>
    <row r="450" spans="1:19" x14ac:dyDescent="0.25">
      <c r="A450" s="210">
        <v>7527</v>
      </c>
      <c r="B450" s="211" t="s">
        <v>229</v>
      </c>
      <c r="C450" s="301">
        <v>0</v>
      </c>
      <c r="D450" s="224">
        <v>0</v>
      </c>
      <c r="E450" s="430">
        <v>0</v>
      </c>
      <c r="F450" s="309">
        <v>0</v>
      </c>
      <c r="G450" s="276">
        <v>0</v>
      </c>
      <c r="H450" s="276">
        <v>0</v>
      </c>
      <c r="I450" s="309">
        <v>0</v>
      </c>
      <c r="J450" s="309">
        <v>0</v>
      </c>
      <c r="K450" s="223">
        <f t="shared" si="30"/>
        <v>0</v>
      </c>
      <c r="L450" s="224">
        <f t="shared" si="31"/>
        <v>0</v>
      </c>
      <c r="M450" s="304"/>
      <c r="N450" s="262"/>
      <c r="O450" s="262"/>
      <c r="P450" s="262"/>
      <c r="Q450" s="262"/>
      <c r="R450" s="262"/>
      <c r="S450" s="262"/>
    </row>
    <row r="451" spans="1:19" x14ac:dyDescent="0.25">
      <c r="A451" s="210">
        <v>7528</v>
      </c>
      <c r="B451" s="211" t="s">
        <v>197</v>
      </c>
      <c r="C451" s="301">
        <v>0</v>
      </c>
      <c r="D451" s="224">
        <v>0</v>
      </c>
      <c r="E451" s="430">
        <v>0</v>
      </c>
      <c r="F451" s="309">
        <v>0</v>
      </c>
      <c r="G451" s="276">
        <v>0</v>
      </c>
      <c r="H451" s="276">
        <v>0</v>
      </c>
      <c r="I451" s="309">
        <v>0</v>
      </c>
      <c r="J451" s="309">
        <v>0</v>
      </c>
      <c r="K451" s="223">
        <f t="shared" si="30"/>
        <v>0</v>
      </c>
      <c r="L451" s="224">
        <f t="shared" si="31"/>
        <v>0</v>
      </c>
      <c r="M451" s="304"/>
      <c r="N451" s="262"/>
      <c r="O451" s="262"/>
      <c r="P451" s="262"/>
      <c r="Q451" s="262"/>
      <c r="R451" s="262"/>
      <c r="S451" s="262"/>
    </row>
    <row r="452" spans="1:19" x14ac:dyDescent="0.25">
      <c r="A452" s="210">
        <v>7529</v>
      </c>
      <c r="B452" s="211" t="s">
        <v>201</v>
      </c>
      <c r="C452" s="301">
        <v>0</v>
      </c>
      <c r="D452" s="224">
        <v>0</v>
      </c>
      <c r="E452" s="430">
        <v>0</v>
      </c>
      <c r="F452" s="309">
        <v>0</v>
      </c>
      <c r="G452" s="276">
        <v>0</v>
      </c>
      <c r="H452" s="276">
        <v>0</v>
      </c>
      <c r="I452" s="309">
        <v>0</v>
      </c>
      <c r="J452" s="309">
        <v>0</v>
      </c>
      <c r="K452" s="223">
        <f t="shared" si="30"/>
        <v>0</v>
      </c>
      <c r="L452" s="224">
        <f t="shared" si="31"/>
        <v>0</v>
      </c>
      <c r="M452" s="304"/>
      <c r="N452" s="262"/>
      <c r="O452" s="262"/>
      <c r="P452" s="262"/>
      <c r="Q452" s="262"/>
      <c r="R452" s="262"/>
      <c r="S452" s="262"/>
    </row>
    <row r="453" spans="1:19" ht="30" x14ac:dyDescent="0.25">
      <c r="A453" s="210">
        <v>7599</v>
      </c>
      <c r="B453" s="211" t="s">
        <v>202</v>
      </c>
      <c r="C453" s="301">
        <v>0</v>
      </c>
      <c r="D453" s="224">
        <v>0</v>
      </c>
      <c r="E453" s="430">
        <v>0</v>
      </c>
      <c r="F453" s="309">
        <v>0</v>
      </c>
      <c r="G453" s="276">
        <v>0</v>
      </c>
      <c r="H453" s="276">
        <v>0</v>
      </c>
      <c r="I453" s="309">
        <v>0</v>
      </c>
      <c r="J453" s="309">
        <v>0</v>
      </c>
      <c r="K453" s="223">
        <f t="shared" si="30"/>
        <v>0</v>
      </c>
      <c r="L453" s="224">
        <f t="shared" si="31"/>
        <v>0</v>
      </c>
      <c r="M453" s="304"/>
      <c r="N453" s="262"/>
      <c r="O453" s="262"/>
      <c r="P453" s="262"/>
      <c r="Q453" s="262"/>
      <c r="R453" s="262"/>
      <c r="S453" s="262"/>
    </row>
    <row r="454" spans="1:19" x14ac:dyDescent="0.25">
      <c r="A454" s="210">
        <v>7601</v>
      </c>
      <c r="B454" s="211" t="s">
        <v>230</v>
      </c>
      <c r="C454" s="301">
        <v>0</v>
      </c>
      <c r="D454" s="224">
        <v>0</v>
      </c>
      <c r="E454" s="430">
        <v>0</v>
      </c>
      <c r="F454" s="309">
        <v>0</v>
      </c>
      <c r="G454" s="276">
        <v>0</v>
      </c>
      <c r="H454" s="276">
        <v>0</v>
      </c>
      <c r="I454" s="309">
        <v>0</v>
      </c>
      <c r="J454" s="309">
        <v>0</v>
      </c>
      <c r="K454" s="223">
        <f t="shared" si="30"/>
        <v>0</v>
      </c>
      <c r="L454" s="224">
        <f t="shared" si="31"/>
        <v>0</v>
      </c>
      <c r="M454" s="304"/>
      <c r="N454" s="262"/>
      <c r="O454" s="262"/>
      <c r="P454" s="262"/>
      <c r="Q454" s="262"/>
      <c r="R454" s="262"/>
      <c r="S454" s="262"/>
    </row>
    <row r="455" spans="1:19" x14ac:dyDescent="0.25">
      <c r="A455" s="210">
        <v>7602</v>
      </c>
      <c r="B455" s="211" t="s">
        <v>205</v>
      </c>
      <c r="C455" s="301">
        <v>0</v>
      </c>
      <c r="D455" s="224">
        <v>0</v>
      </c>
      <c r="E455" s="430">
        <v>0</v>
      </c>
      <c r="F455" s="309">
        <v>0</v>
      </c>
      <c r="G455" s="276">
        <v>0</v>
      </c>
      <c r="H455" s="276">
        <v>0</v>
      </c>
      <c r="I455" s="309">
        <v>0</v>
      </c>
      <c r="J455" s="309">
        <v>0</v>
      </c>
      <c r="K455" s="223">
        <f t="shared" si="30"/>
        <v>0</v>
      </c>
      <c r="L455" s="224">
        <f t="shared" si="31"/>
        <v>0</v>
      </c>
      <c r="M455" s="304"/>
      <c r="N455" s="262"/>
      <c r="O455" s="262"/>
      <c r="P455" s="262"/>
      <c r="Q455" s="262"/>
      <c r="R455" s="262"/>
      <c r="S455" s="262"/>
    </row>
    <row r="456" spans="1:19" x14ac:dyDescent="0.25">
      <c r="A456" s="210">
        <v>7603</v>
      </c>
      <c r="B456" s="211" t="s">
        <v>231</v>
      </c>
      <c r="C456" s="301">
        <v>0</v>
      </c>
      <c r="D456" s="224">
        <v>0</v>
      </c>
      <c r="E456" s="430">
        <v>0</v>
      </c>
      <c r="F456" s="309">
        <v>0</v>
      </c>
      <c r="G456" s="276">
        <v>0</v>
      </c>
      <c r="H456" s="276">
        <v>0</v>
      </c>
      <c r="I456" s="309">
        <v>0</v>
      </c>
      <c r="J456" s="309">
        <v>0</v>
      </c>
      <c r="K456" s="223">
        <f t="shared" si="30"/>
        <v>0</v>
      </c>
      <c r="L456" s="224">
        <f t="shared" si="31"/>
        <v>0</v>
      </c>
      <c r="M456" s="304"/>
      <c r="N456" s="262"/>
      <c r="O456" s="262"/>
      <c r="P456" s="262"/>
      <c r="Q456" s="262"/>
      <c r="R456" s="262"/>
      <c r="S456" s="262"/>
    </row>
    <row r="457" spans="1:19" x14ac:dyDescent="0.25">
      <c r="A457" s="210">
        <v>7604</v>
      </c>
      <c r="B457" s="211" t="s">
        <v>204</v>
      </c>
      <c r="C457" s="301">
        <v>0</v>
      </c>
      <c r="D457" s="224">
        <v>0</v>
      </c>
      <c r="E457" s="430">
        <v>0</v>
      </c>
      <c r="F457" s="309">
        <v>0</v>
      </c>
      <c r="G457" s="276">
        <v>0</v>
      </c>
      <c r="H457" s="276">
        <v>0</v>
      </c>
      <c r="I457" s="309">
        <v>0</v>
      </c>
      <c r="J457" s="309">
        <v>0</v>
      </c>
      <c r="K457" s="223">
        <f t="shared" si="30"/>
        <v>0</v>
      </c>
      <c r="L457" s="224">
        <f t="shared" si="31"/>
        <v>0</v>
      </c>
      <c r="M457" s="304"/>
      <c r="N457" s="262"/>
      <c r="O457" s="262"/>
      <c r="P457" s="262"/>
      <c r="Q457" s="262"/>
      <c r="R457" s="262"/>
      <c r="S457" s="262"/>
    </row>
    <row r="458" spans="1:19" x14ac:dyDescent="0.25">
      <c r="A458" s="210">
        <v>7605</v>
      </c>
      <c r="B458" s="211" t="s">
        <v>98</v>
      </c>
      <c r="C458" s="301">
        <v>0</v>
      </c>
      <c r="D458" s="224">
        <v>0</v>
      </c>
      <c r="E458" s="430">
        <v>0</v>
      </c>
      <c r="F458" s="309">
        <v>0</v>
      </c>
      <c r="G458" s="276">
        <v>0</v>
      </c>
      <c r="H458" s="276">
        <v>0</v>
      </c>
      <c r="I458" s="309">
        <v>0</v>
      </c>
      <c r="J458" s="309">
        <v>0</v>
      </c>
      <c r="K458" s="223">
        <f t="shared" si="30"/>
        <v>0</v>
      </c>
      <c r="L458" s="224">
        <f t="shared" si="31"/>
        <v>0</v>
      </c>
      <c r="M458" s="304"/>
      <c r="N458" s="262"/>
      <c r="O458" s="262"/>
      <c r="P458" s="262"/>
      <c r="Q458" s="262"/>
      <c r="R458" s="262"/>
      <c r="S458" s="262"/>
    </row>
    <row r="459" spans="1:19" x14ac:dyDescent="0.25">
      <c r="A459" s="210">
        <v>7606</v>
      </c>
      <c r="B459" s="211" t="s">
        <v>238</v>
      </c>
      <c r="C459" s="301">
        <v>0</v>
      </c>
      <c r="D459" s="224">
        <v>0</v>
      </c>
      <c r="E459" s="430">
        <v>0</v>
      </c>
      <c r="F459" s="309">
        <v>0</v>
      </c>
      <c r="G459" s="276">
        <v>0</v>
      </c>
      <c r="H459" s="276">
        <v>0</v>
      </c>
      <c r="I459" s="309">
        <v>0</v>
      </c>
      <c r="J459" s="309">
        <v>0</v>
      </c>
      <c r="K459" s="223">
        <f t="shared" si="30"/>
        <v>0</v>
      </c>
      <c r="L459" s="224">
        <f t="shared" si="31"/>
        <v>0</v>
      </c>
      <c r="M459" s="304"/>
      <c r="N459" s="262"/>
      <c r="O459" s="262"/>
      <c r="P459" s="262"/>
      <c r="Q459" s="262"/>
      <c r="R459" s="262"/>
      <c r="S459" s="262"/>
    </row>
    <row r="460" spans="1:19" x14ac:dyDescent="0.25">
      <c r="A460" s="210">
        <v>7607</v>
      </c>
      <c r="B460" s="211" t="s">
        <v>100</v>
      </c>
      <c r="C460" s="301">
        <v>0</v>
      </c>
      <c r="D460" s="224">
        <v>0</v>
      </c>
      <c r="E460" s="430">
        <v>0</v>
      </c>
      <c r="F460" s="309">
        <v>0</v>
      </c>
      <c r="G460" s="276">
        <v>0</v>
      </c>
      <c r="H460" s="276">
        <v>0</v>
      </c>
      <c r="I460" s="309">
        <v>0</v>
      </c>
      <c r="J460" s="309">
        <v>0</v>
      </c>
      <c r="K460" s="223">
        <f t="shared" si="30"/>
        <v>0</v>
      </c>
      <c r="L460" s="224">
        <f t="shared" si="31"/>
        <v>0</v>
      </c>
      <c r="M460" s="304"/>
      <c r="N460" s="262"/>
      <c r="O460" s="262"/>
      <c r="P460" s="262"/>
      <c r="Q460" s="262"/>
      <c r="R460" s="262"/>
      <c r="S460" s="262"/>
    </row>
    <row r="461" spans="1:19" x14ac:dyDescent="0.25">
      <c r="A461" s="210">
        <v>7608</v>
      </c>
      <c r="B461" s="211" t="s">
        <v>197</v>
      </c>
      <c r="C461" s="301">
        <v>0</v>
      </c>
      <c r="D461" s="224">
        <v>0</v>
      </c>
      <c r="E461" s="430">
        <v>0</v>
      </c>
      <c r="F461" s="309">
        <v>0</v>
      </c>
      <c r="G461" s="276">
        <v>0</v>
      </c>
      <c r="H461" s="276">
        <v>0</v>
      </c>
      <c r="I461" s="309">
        <v>0</v>
      </c>
      <c r="J461" s="309">
        <v>0</v>
      </c>
      <c r="K461" s="223">
        <f t="shared" si="30"/>
        <v>0</v>
      </c>
      <c r="L461" s="224">
        <f t="shared" si="31"/>
        <v>0</v>
      </c>
      <c r="M461" s="304"/>
      <c r="N461" s="262"/>
      <c r="O461" s="262"/>
      <c r="P461" s="262"/>
      <c r="Q461" s="262"/>
      <c r="R461" s="262"/>
      <c r="S461" s="262"/>
    </row>
    <row r="462" spans="1:19" x14ac:dyDescent="0.25">
      <c r="A462" s="210">
        <v>7609</v>
      </c>
      <c r="B462" s="211" t="s">
        <v>193</v>
      </c>
      <c r="C462" s="301">
        <v>0</v>
      </c>
      <c r="D462" s="224">
        <v>0</v>
      </c>
      <c r="E462" s="430">
        <v>0</v>
      </c>
      <c r="F462" s="309">
        <v>0</v>
      </c>
      <c r="G462" s="276">
        <v>0</v>
      </c>
      <c r="H462" s="276">
        <v>0</v>
      </c>
      <c r="I462" s="309">
        <v>0</v>
      </c>
      <c r="J462" s="309">
        <v>0</v>
      </c>
      <c r="K462" s="223">
        <f t="shared" si="30"/>
        <v>0</v>
      </c>
      <c r="L462" s="224">
        <f t="shared" si="31"/>
        <v>0</v>
      </c>
      <c r="M462" s="304"/>
      <c r="N462" s="262"/>
      <c r="O462" s="262"/>
      <c r="P462" s="262"/>
      <c r="Q462" s="262"/>
      <c r="R462" s="262"/>
      <c r="S462" s="262"/>
    </row>
    <row r="463" spans="1:19" x14ac:dyDescent="0.25">
      <c r="A463" s="210">
        <v>7610</v>
      </c>
      <c r="B463" s="211" t="s">
        <v>87</v>
      </c>
      <c r="C463" s="301">
        <v>0</v>
      </c>
      <c r="D463" s="224">
        <v>0</v>
      </c>
      <c r="E463" s="430">
        <v>0</v>
      </c>
      <c r="F463" s="309">
        <v>0</v>
      </c>
      <c r="G463" s="276">
        <v>0</v>
      </c>
      <c r="H463" s="276">
        <v>0</v>
      </c>
      <c r="I463" s="309">
        <v>0</v>
      </c>
      <c r="J463" s="309">
        <v>0</v>
      </c>
      <c r="K463" s="223">
        <f t="shared" si="30"/>
        <v>0</v>
      </c>
      <c r="L463" s="224">
        <f t="shared" si="31"/>
        <v>0</v>
      </c>
      <c r="M463" s="304"/>
      <c r="N463" s="262"/>
      <c r="O463" s="262"/>
      <c r="P463" s="262"/>
      <c r="Q463" s="262"/>
      <c r="R463" s="262"/>
      <c r="S463" s="262"/>
    </row>
    <row r="464" spans="1:19" x14ac:dyDescent="0.25">
      <c r="A464" s="210">
        <v>7611</v>
      </c>
      <c r="B464" s="211" t="s">
        <v>102</v>
      </c>
      <c r="C464" s="301">
        <v>0</v>
      </c>
      <c r="D464" s="224">
        <v>0</v>
      </c>
      <c r="E464" s="430">
        <v>0</v>
      </c>
      <c r="F464" s="309">
        <v>0</v>
      </c>
      <c r="G464" s="276">
        <v>0</v>
      </c>
      <c r="H464" s="276">
        <v>0</v>
      </c>
      <c r="I464" s="309">
        <v>0</v>
      </c>
      <c r="J464" s="309">
        <v>0</v>
      </c>
      <c r="K464" s="223">
        <f t="shared" si="30"/>
        <v>0</v>
      </c>
      <c r="L464" s="224">
        <f t="shared" si="31"/>
        <v>0</v>
      </c>
      <c r="M464" s="304"/>
      <c r="N464" s="262"/>
      <c r="O464" s="262"/>
      <c r="P464" s="262"/>
      <c r="Q464" s="262"/>
      <c r="R464" s="262"/>
      <c r="S464" s="262"/>
    </row>
    <row r="465" spans="1:19" x14ac:dyDescent="0.25">
      <c r="A465" s="210">
        <v>7612</v>
      </c>
      <c r="B465" s="211" t="s">
        <v>121</v>
      </c>
      <c r="C465" s="301">
        <v>0</v>
      </c>
      <c r="D465" s="224">
        <v>0</v>
      </c>
      <c r="E465" s="430">
        <v>0</v>
      </c>
      <c r="F465" s="309">
        <v>0</v>
      </c>
      <c r="G465" s="276">
        <v>0</v>
      </c>
      <c r="H465" s="276">
        <v>0</v>
      </c>
      <c r="I465" s="309">
        <v>0</v>
      </c>
      <c r="J465" s="309">
        <v>0</v>
      </c>
      <c r="K465" s="223">
        <f t="shared" si="30"/>
        <v>0</v>
      </c>
      <c r="L465" s="224">
        <f t="shared" si="31"/>
        <v>0</v>
      </c>
      <c r="M465" s="304"/>
      <c r="N465" s="262"/>
      <c r="O465" s="262"/>
      <c r="P465" s="262"/>
      <c r="Q465" s="262"/>
      <c r="R465" s="262"/>
      <c r="S465" s="262"/>
    </row>
    <row r="466" spans="1:19" x14ac:dyDescent="0.25">
      <c r="A466" s="210">
        <v>7613</v>
      </c>
      <c r="B466" s="211" t="s">
        <v>103</v>
      </c>
      <c r="C466" s="301">
        <v>0</v>
      </c>
      <c r="D466" s="224">
        <v>0</v>
      </c>
      <c r="E466" s="430">
        <v>0</v>
      </c>
      <c r="F466" s="309">
        <v>0</v>
      </c>
      <c r="G466" s="276">
        <v>0</v>
      </c>
      <c r="H466" s="276">
        <v>0</v>
      </c>
      <c r="I466" s="309">
        <v>0</v>
      </c>
      <c r="J466" s="309">
        <v>0</v>
      </c>
      <c r="K466" s="223">
        <f t="shared" si="30"/>
        <v>0</v>
      </c>
      <c r="L466" s="224">
        <f t="shared" si="31"/>
        <v>0</v>
      </c>
      <c r="M466" s="304"/>
      <c r="N466" s="262"/>
      <c r="O466" s="262"/>
      <c r="P466" s="262"/>
      <c r="Q466" s="262"/>
      <c r="R466" s="262"/>
      <c r="S466" s="262"/>
    </row>
    <row r="467" spans="1:19" x14ac:dyDescent="0.25">
      <c r="A467" s="210">
        <v>7614</v>
      </c>
      <c r="B467" s="211" t="s">
        <v>108</v>
      </c>
      <c r="C467" s="301">
        <v>0</v>
      </c>
      <c r="D467" s="224">
        <v>0</v>
      </c>
      <c r="E467" s="430">
        <v>0</v>
      </c>
      <c r="F467" s="309">
        <v>0</v>
      </c>
      <c r="G467" s="276">
        <v>0</v>
      </c>
      <c r="H467" s="276">
        <v>0</v>
      </c>
      <c r="I467" s="309">
        <v>0</v>
      </c>
      <c r="J467" s="309">
        <v>0</v>
      </c>
      <c r="K467" s="223">
        <f t="shared" si="30"/>
        <v>0</v>
      </c>
      <c r="L467" s="224">
        <f t="shared" si="31"/>
        <v>0</v>
      </c>
      <c r="M467" s="304"/>
      <c r="N467" s="262"/>
      <c r="O467" s="262"/>
      <c r="P467" s="262"/>
      <c r="Q467" s="262"/>
      <c r="R467" s="262"/>
      <c r="S467" s="262"/>
    </row>
    <row r="468" spans="1:19" x14ac:dyDescent="0.25">
      <c r="A468" s="210">
        <v>7615</v>
      </c>
      <c r="B468" s="211" t="s">
        <v>185</v>
      </c>
      <c r="C468" s="301">
        <v>0</v>
      </c>
      <c r="D468" s="224">
        <v>0</v>
      </c>
      <c r="E468" s="430">
        <v>0</v>
      </c>
      <c r="F468" s="309">
        <v>0</v>
      </c>
      <c r="G468" s="276">
        <v>0</v>
      </c>
      <c r="H468" s="276">
        <v>0</v>
      </c>
      <c r="I468" s="309">
        <v>0</v>
      </c>
      <c r="J468" s="309">
        <v>0</v>
      </c>
      <c r="K468" s="223">
        <f t="shared" si="30"/>
        <v>0</v>
      </c>
      <c r="L468" s="224">
        <f t="shared" si="31"/>
        <v>0</v>
      </c>
      <c r="M468" s="304"/>
      <c r="N468" s="262"/>
      <c r="O468" s="262"/>
      <c r="P468" s="262"/>
      <c r="Q468" s="262"/>
      <c r="R468" s="262"/>
      <c r="S468" s="262"/>
    </row>
    <row r="469" spans="1:19" x14ac:dyDescent="0.25">
      <c r="A469" s="210">
        <v>7616</v>
      </c>
      <c r="B469" s="211" t="s">
        <v>109</v>
      </c>
      <c r="C469" s="301">
        <v>0</v>
      </c>
      <c r="D469" s="224">
        <v>0</v>
      </c>
      <c r="E469" s="430">
        <v>0</v>
      </c>
      <c r="F469" s="309">
        <v>0</v>
      </c>
      <c r="G469" s="276">
        <v>0</v>
      </c>
      <c r="H469" s="276">
        <v>0</v>
      </c>
      <c r="I469" s="309">
        <v>0</v>
      </c>
      <c r="J469" s="309">
        <v>0</v>
      </c>
      <c r="K469" s="223">
        <f t="shared" si="30"/>
        <v>0</v>
      </c>
      <c r="L469" s="224">
        <f t="shared" si="31"/>
        <v>0</v>
      </c>
      <c r="M469" s="304"/>
      <c r="N469" s="262"/>
      <c r="O469" s="262"/>
      <c r="P469" s="262"/>
      <c r="Q469" s="262"/>
      <c r="R469" s="262"/>
      <c r="S469" s="262"/>
    </row>
    <row r="470" spans="1:19" x14ac:dyDescent="0.25">
      <c r="A470" s="210">
        <v>7617</v>
      </c>
      <c r="B470" s="211" t="s">
        <v>186</v>
      </c>
      <c r="C470" s="301">
        <v>0</v>
      </c>
      <c r="D470" s="224">
        <v>0</v>
      </c>
      <c r="E470" s="430">
        <v>0</v>
      </c>
      <c r="F470" s="309">
        <v>0</v>
      </c>
      <c r="G470" s="276">
        <v>0</v>
      </c>
      <c r="H470" s="276">
        <v>0</v>
      </c>
      <c r="I470" s="309">
        <v>0</v>
      </c>
      <c r="J470" s="309">
        <v>0</v>
      </c>
      <c r="K470" s="223">
        <f t="shared" si="30"/>
        <v>0</v>
      </c>
      <c r="L470" s="224">
        <f t="shared" si="31"/>
        <v>0</v>
      </c>
      <c r="M470" s="304"/>
      <c r="N470" s="262"/>
      <c r="O470" s="262"/>
      <c r="P470" s="262"/>
      <c r="Q470" s="262"/>
      <c r="R470" s="262"/>
      <c r="S470" s="262"/>
    </row>
    <row r="471" spans="1:19" x14ac:dyDescent="0.25">
      <c r="A471" s="210">
        <v>7618</v>
      </c>
      <c r="B471" s="211" t="s">
        <v>187</v>
      </c>
      <c r="C471" s="301">
        <v>0</v>
      </c>
      <c r="D471" s="224">
        <v>0</v>
      </c>
      <c r="E471" s="430">
        <v>0</v>
      </c>
      <c r="F471" s="309">
        <v>0</v>
      </c>
      <c r="G471" s="276">
        <v>0</v>
      </c>
      <c r="H471" s="276">
        <v>0</v>
      </c>
      <c r="I471" s="309">
        <v>0</v>
      </c>
      <c r="J471" s="309">
        <v>0</v>
      </c>
      <c r="K471" s="223">
        <f t="shared" si="30"/>
        <v>0</v>
      </c>
      <c r="L471" s="224">
        <f t="shared" si="31"/>
        <v>0</v>
      </c>
      <c r="M471" s="304"/>
      <c r="N471" s="262"/>
      <c r="O471" s="262"/>
      <c r="P471" s="262"/>
      <c r="Q471" s="262"/>
      <c r="R471" s="262"/>
      <c r="S471" s="262"/>
    </row>
    <row r="472" spans="1:19" x14ac:dyDescent="0.25">
      <c r="A472" s="210">
        <v>7619</v>
      </c>
      <c r="B472" s="211" t="s">
        <v>188</v>
      </c>
      <c r="C472" s="301">
        <v>0</v>
      </c>
      <c r="D472" s="224">
        <v>0</v>
      </c>
      <c r="E472" s="430">
        <v>0</v>
      </c>
      <c r="F472" s="309">
        <v>0</v>
      </c>
      <c r="G472" s="276">
        <v>0</v>
      </c>
      <c r="H472" s="276">
        <v>0</v>
      </c>
      <c r="I472" s="309">
        <v>0</v>
      </c>
      <c r="J472" s="309">
        <v>0</v>
      </c>
      <c r="K472" s="223">
        <f t="shared" si="30"/>
        <v>0</v>
      </c>
      <c r="L472" s="224">
        <f t="shared" si="31"/>
        <v>0</v>
      </c>
      <c r="M472" s="304"/>
      <c r="N472" s="262"/>
      <c r="O472" s="262"/>
      <c r="P472" s="262"/>
      <c r="Q472" s="262"/>
      <c r="R472" s="262"/>
      <c r="S472" s="262"/>
    </row>
    <row r="473" spans="1:19" x14ac:dyDescent="0.25">
      <c r="A473" s="210">
        <v>7620</v>
      </c>
      <c r="B473" s="211" t="s">
        <v>191</v>
      </c>
      <c r="C473" s="301">
        <v>0</v>
      </c>
      <c r="D473" s="224">
        <v>0</v>
      </c>
      <c r="E473" s="430">
        <v>0</v>
      </c>
      <c r="F473" s="309">
        <v>0</v>
      </c>
      <c r="G473" s="276">
        <v>0</v>
      </c>
      <c r="H473" s="276">
        <v>0</v>
      </c>
      <c r="I473" s="309">
        <v>0</v>
      </c>
      <c r="J473" s="309">
        <v>0</v>
      </c>
      <c r="K473" s="223">
        <f t="shared" si="30"/>
        <v>0</v>
      </c>
      <c r="L473" s="224">
        <f t="shared" si="31"/>
        <v>0</v>
      </c>
      <c r="M473" s="304"/>
      <c r="N473" s="262"/>
      <c r="O473" s="262"/>
      <c r="P473" s="262"/>
      <c r="Q473" s="262"/>
      <c r="R473" s="262"/>
      <c r="S473" s="262"/>
    </row>
    <row r="474" spans="1:19" x14ac:dyDescent="0.25">
      <c r="A474" s="210">
        <v>7621</v>
      </c>
      <c r="B474" s="211" t="s">
        <v>110</v>
      </c>
      <c r="C474" s="301">
        <v>0</v>
      </c>
      <c r="D474" s="224">
        <v>0</v>
      </c>
      <c r="E474" s="430">
        <v>0</v>
      </c>
      <c r="F474" s="309">
        <v>0</v>
      </c>
      <c r="G474" s="276">
        <v>0</v>
      </c>
      <c r="H474" s="276">
        <v>0</v>
      </c>
      <c r="I474" s="309">
        <v>0</v>
      </c>
      <c r="J474" s="309">
        <v>0</v>
      </c>
      <c r="K474" s="223">
        <f t="shared" si="30"/>
        <v>0</v>
      </c>
      <c r="L474" s="224">
        <f t="shared" si="31"/>
        <v>0</v>
      </c>
      <c r="M474" s="304"/>
      <c r="N474" s="262"/>
      <c r="O474" s="262"/>
      <c r="P474" s="262"/>
      <c r="Q474" s="262"/>
      <c r="R474" s="262"/>
      <c r="S474" s="262"/>
    </row>
    <row r="475" spans="1:19" x14ac:dyDescent="0.25">
      <c r="A475" s="210">
        <v>7622</v>
      </c>
      <c r="B475" s="211" t="s">
        <v>129</v>
      </c>
      <c r="C475" s="301">
        <v>1</v>
      </c>
      <c r="D475" s="224">
        <v>0</v>
      </c>
      <c r="E475" s="430">
        <v>0</v>
      </c>
      <c r="F475" s="309">
        <v>0</v>
      </c>
      <c r="G475" s="276">
        <v>0</v>
      </c>
      <c r="H475" s="276">
        <v>0</v>
      </c>
      <c r="I475" s="309">
        <v>0</v>
      </c>
      <c r="J475" s="309">
        <v>0</v>
      </c>
      <c r="K475" s="223">
        <f t="shared" ref="K475:K493" si="32">C475+E475-G475-I475</f>
        <v>1</v>
      </c>
      <c r="L475" s="224">
        <f t="shared" ref="L475:L493" si="33">D475+F475-H475-J475</f>
        <v>0</v>
      </c>
      <c r="M475" s="304"/>
      <c r="N475" s="262"/>
      <c r="O475" s="262"/>
      <c r="P475" s="262"/>
      <c r="Q475" s="262"/>
      <c r="R475" s="262"/>
      <c r="S475" s="262"/>
    </row>
    <row r="476" spans="1:19" x14ac:dyDescent="0.25">
      <c r="A476" s="210">
        <v>7623</v>
      </c>
      <c r="B476" s="211" t="s">
        <v>77</v>
      </c>
      <c r="C476" s="301">
        <v>0</v>
      </c>
      <c r="D476" s="224">
        <v>0</v>
      </c>
      <c r="E476" s="430">
        <v>0</v>
      </c>
      <c r="F476" s="309">
        <v>0</v>
      </c>
      <c r="G476" s="276">
        <v>0</v>
      </c>
      <c r="H476" s="276">
        <v>0</v>
      </c>
      <c r="I476" s="309">
        <v>0</v>
      </c>
      <c r="J476" s="309">
        <v>0</v>
      </c>
      <c r="K476" s="223">
        <f t="shared" si="32"/>
        <v>0</v>
      </c>
      <c r="L476" s="224">
        <f t="shared" si="33"/>
        <v>0</v>
      </c>
      <c r="M476" s="304"/>
      <c r="N476" s="262"/>
      <c r="O476" s="262"/>
      <c r="P476" s="262"/>
      <c r="Q476" s="262"/>
      <c r="R476" s="262"/>
      <c r="S476" s="262"/>
    </row>
    <row r="477" spans="1:19" x14ac:dyDescent="0.25">
      <c r="A477" s="210">
        <v>7624</v>
      </c>
      <c r="B477" s="211" t="s">
        <v>234</v>
      </c>
      <c r="C477" s="301">
        <v>0</v>
      </c>
      <c r="D477" s="224">
        <v>0</v>
      </c>
      <c r="E477" s="430">
        <v>0</v>
      </c>
      <c r="F477" s="309">
        <v>0</v>
      </c>
      <c r="G477" s="276">
        <v>0</v>
      </c>
      <c r="H477" s="276">
        <v>0</v>
      </c>
      <c r="I477" s="309">
        <v>0</v>
      </c>
      <c r="J477" s="309">
        <v>0</v>
      </c>
      <c r="K477" s="223">
        <f t="shared" si="32"/>
        <v>0</v>
      </c>
      <c r="L477" s="224">
        <f t="shared" si="33"/>
        <v>0</v>
      </c>
      <c r="M477" s="304"/>
      <c r="N477" s="262"/>
      <c r="O477" s="262"/>
      <c r="P477" s="262"/>
      <c r="Q477" s="262"/>
      <c r="R477" s="262"/>
      <c r="S477" s="262"/>
    </row>
    <row r="478" spans="1:19" x14ac:dyDescent="0.25">
      <c r="A478" s="210">
        <v>7625</v>
      </c>
      <c r="B478" s="211" t="s">
        <v>107</v>
      </c>
      <c r="C478" s="301">
        <v>0</v>
      </c>
      <c r="D478" s="224">
        <v>0</v>
      </c>
      <c r="E478" s="430">
        <v>0</v>
      </c>
      <c r="F478" s="309">
        <v>0</v>
      </c>
      <c r="G478" s="276">
        <v>0</v>
      </c>
      <c r="H478" s="276">
        <v>0</v>
      </c>
      <c r="I478" s="309">
        <v>0</v>
      </c>
      <c r="J478" s="309">
        <v>0</v>
      </c>
      <c r="K478" s="223">
        <f t="shared" si="32"/>
        <v>0</v>
      </c>
      <c r="L478" s="224">
        <f t="shared" si="33"/>
        <v>0</v>
      </c>
      <c r="M478" s="304"/>
      <c r="N478" s="262"/>
      <c r="O478" s="262"/>
      <c r="P478" s="262"/>
      <c r="Q478" s="262"/>
      <c r="R478" s="262"/>
      <c r="S478" s="262"/>
    </row>
    <row r="479" spans="1:19" x14ac:dyDescent="0.25">
      <c r="A479" s="210">
        <v>7626</v>
      </c>
      <c r="B479" s="211" t="s">
        <v>112</v>
      </c>
      <c r="C479" s="301">
        <v>0</v>
      </c>
      <c r="D479" s="224">
        <v>0</v>
      </c>
      <c r="E479" s="430">
        <v>0</v>
      </c>
      <c r="F479" s="309">
        <v>0</v>
      </c>
      <c r="G479" s="276">
        <v>0</v>
      </c>
      <c r="H479" s="276">
        <v>0</v>
      </c>
      <c r="I479" s="309">
        <v>0</v>
      </c>
      <c r="J479" s="309">
        <v>0</v>
      </c>
      <c r="K479" s="223">
        <f t="shared" si="32"/>
        <v>0</v>
      </c>
      <c r="L479" s="224">
        <f t="shared" si="33"/>
        <v>0</v>
      </c>
      <c r="M479" s="304"/>
      <c r="N479" s="262"/>
      <c r="O479" s="262"/>
      <c r="P479" s="262"/>
      <c r="Q479" s="262"/>
      <c r="R479" s="262"/>
      <c r="S479" s="262"/>
    </row>
    <row r="480" spans="1:19" x14ac:dyDescent="0.25">
      <c r="A480" s="210">
        <v>7627</v>
      </c>
      <c r="B480" s="211" t="s">
        <v>104</v>
      </c>
      <c r="C480" s="301">
        <v>0</v>
      </c>
      <c r="D480" s="224">
        <v>0</v>
      </c>
      <c r="E480" s="430">
        <v>0</v>
      </c>
      <c r="F480" s="309">
        <v>0</v>
      </c>
      <c r="G480" s="276">
        <v>0</v>
      </c>
      <c r="H480" s="276">
        <v>0</v>
      </c>
      <c r="I480" s="309">
        <v>0</v>
      </c>
      <c r="J480" s="309">
        <v>0</v>
      </c>
      <c r="K480" s="223">
        <f t="shared" si="32"/>
        <v>0</v>
      </c>
      <c r="L480" s="224">
        <f t="shared" si="33"/>
        <v>0</v>
      </c>
      <c r="M480" s="304"/>
      <c r="N480" s="262"/>
      <c r="O480" s="262"/>
      <c r="P480" s="262"/>
      <c r="Q480" s="262"/>
      <c r="R480" s="262"/>
      <c r="S480" s="262"/>
    </row>
    <row r="481" spans="1:19" x14ac:dyDescent="0.25">
      <c r="A481" s="210">
        <v>7628</v>
      </c>
      <c r="B481" s="211" t="s">
        <v>239</v>
      </c>
      <c r="C481" s="301">
        <v>0</v>
      </c>
      <c r="D481" s="224">
        <v>0</v>
      </c>
      <c r="E481" s="430">
        <v>0</v>
      </c>
      <c r="F481" s="309">
        <v>0</v>
      </c>
      <c r="G481" s="276">
        <v>0</v>
      </c>
      <c r="H481" s="276">
        <v>0</v>
      </c>
      <c r="I481" s="309">
        <v>0</v>
      </c>
      <c r="J481" s="309">
        <v>0</v>
      </c>
      <c r="K481" s="223">
        <f t="shared" si="32"/>
        <v>0</v>
      </c>
      <c r="L481" s="224">
        <f t="shared" si="33"/>
        <v>0</v>
      </c>
      <c r="M481" s="304"/>
      <c r="N481" s="262"/>
      <c r="O481" s="262"/>
      <c r="P481" s="262"/>
      <c r="Q481" s="262"/>
      <c r="R481" s="262"/>
      <c r="S481" s="262"/>
    </row>
    <row r="482" spans="1:19" x14ac:dyDescent="0.25">
      <c r="A482" s="210">
        <v>7629</v>
      </c>
      <c r="B482" s="211" t="s">
        <v>121</v>
      </c>
      <c r="C482" s="301">
        <v>0</v>
      </c>
      <c r="D482" s="224">
        <v>0</v>
      </c>
      <c r="E482" s="430">
        <v>0</v>
      </c>
      <c r="F482" s="309">
        <v>0</v>
      </c>
      <c r="G482" s="276">
        <v>0</v>
      </c>
      <c r="H482" s="276">
        <v>0</v>
      </c>
      <c r="I482" s="309">
        <v>0</v>
      </c>
      <c r="J482" s="309">
        <v>0</v>
      </c>
      <c r="K482" s="223">
        <f t="shared" si="32"/>
        <v>0</v>
      </c>
      <c r="L482" s="224">
        <f t="shared" si="33"/>
        <v>0</v>
      </c>
      <c r="M482" s="304"/>
      <c r="N482" s="262"/>
      <c r="O482" s="262"/>
      <c r="P482" s="262"/>
      <c r="Q482" s="262"/>
      <c r="R482" s="262"/>
      <c r="S482" s="262"/>
    </row>
    <row r="483" spans="1:19" x14ac:dyDescent="0.25">
      <c r="A483" s="210">
        <v>7630</v>
      </c>
      <c r="B483" s="211" t="s">
        <v>136</v>
      </c>
      <c r="C483" s="301">
        <v>1</v>
      </c>
      <c r="D483" s="224">
        <v>0</v>
      </c>
      <c r="E483" s="430">
        <v>0</v>
      </c>
      <c r="F483" s="309">
        <v>0</v>
      </c>
      <c r="G483" s="276">
        <v>0</v>
      </c>
      <c r="H483" s="276">
        <v>0</v>
      </c>
      <c r="I483" s="309">
        <v>0</v>
      </c>
      <c r="J483" s="309">
        <v>0</v>
      </c>
      <c r="K483" s="223">
        <f t="shared" si="32"/>
        <v>1</v>
      </c>
      <c r="L483" s="224">
        <f t="shared" si="33"/>
        <v>0</v>
      </c>
      <c r="M483" s="304"/>
      <c r="N483" s="262"/>
      <c r="O483" s="262"/>
      <c r="P483" s="262"/>
      <c r="Q483" s="262"/>
      <c r="R483" s="262"/>
      <c r="S483" s="262"/>
    </row>
    <row r="484" spans="1:19" x14ac:dyDescent="0.25">
      <c r="A484" s="210">
        <v>7631</v>
      </c>
      <c r="B484" s="211" t="s">
        <v>117</v>
      </c>
      <c r="C484" s="301">
        <v>0</v>
      </c>
      <c r="D484" s="224">
        <v>0</v>
      </c>
      <c r="E484" s="430">
        <v>0</v>
      </c>
      <c r="F484" s="309">
        <v>0</v>
      </c>
      <c r="G484" s="276">
        <v>0</v>
      </c>
      <c r="H484" s="276">
        <v>0</v>
      </c>
      <c r="I484" s="309">
        <v>0</v>
      </c>
      <c r="J484" s="309">
        <v>0</v>
      </c>
      <c r="K484" s="223">
        <f t="shared" si="32"/>
        <v>0</v>
      </c>
      <c r="L484" s="224">
        <f t="shared" si="33"/>
        <v>0</v>
      </c>
      <c r="M484" s="304"/>
      <c r="N484" s="262"/>
      <c r="O484" s="262"/>
      <c r="P484" s="262"/>
      <c r="Q484" s="262"/>
      <c r="R484" s="262"/>
      <c r="S484" s="262"/>
    </row>
    <row r="485" spans="1:19" x14ac:dyDescent="0.25">
      <c r="A485" s="210">
        <v>7632</v>
      </c>
      <c r="B485" s="211" t="s">
        <v>116</v>
      </c>
      <c r="C485" s="301">
        <v>0</v>
      </c>
      <c r="D485" s="224">
        <v>0</v>
      </c>
      <c r="E485" s="430">
        <v>0</v>
      </c>
      <c r="F485" s="309">
        <v>0</v>
      </c>
      <c r="G485" s="276">
        <v>0</v>
      </c>
      <c r="H485" s="276">
        <v>0</v>
      </c>
      <c r="I485" s="309">
        <v>0</v>
      </c>
      <c r="J485" s="309">
        <v>0</v>
      </c>
      <c r="K485" s="223">
        <f t="shared" si="32"/>
        <v>0</v>
      </c>
      <c r="L485" s="224">
        <f t="shared" si="33"/>
        <v>0</v>
      </c>
      <c r="M485" s="304"/>
      <c r="N485" s="262"/>
      <c r="O485" s="262"/>
      <c r="P485" s="262"/>
      <c r="Q485" s="262"/>
      <c r="R485" s="262"/>
      <c r="S485" s="262"/>
    </row>
    <row r="486" spans="1:19" x14ac:dyDescent="0.25">
      <c r="A486" s="210">
        <v>7633</v>
      </c>
      <c r="B486" s="211" t="s">
        <v>114</v>
      </c>
      <c r="C486" s="301">
        <v>0</v>
      </c>
      <c r="D486" s="224">
        <v>0</v>
      </c>
      <c r="E486" s="430">
        <v>0</v>
      </c>
      <c r="F486" s="309">
        <v>0</v>
      </c>
      <c r="G486" s="276">
        <v>0</v>
      </c>
      <c r="H486" s="276">
        <v>0</v>
      </c>
      <c r="I486" s="309">
        <v>0</v>
      </c>
      <c r="J486" s="309">
        <v>0</v>
      </c>
      <c r="K486" s="223">
        <f t="shared" si="32"/>
        <v>0</v>
      </c>
      <c r="L486" s="224">
        <f t="shared" si="33"/>
        <v>0</v>
      </c>
      <c r="M486" s="304"/>
      <c r="N486" s="262"/>
      <c r="O486" s="262"/>
      <c r="P486" s="262"/>
      <c r="Q486" s="262"/>
      <c r="R486" s="262"/>
      <c r="S486" s="262"/>
    </row>
    <row r="487" spans="1:19" x14ac:dyDescent="0.25">
      <c r="A487" s="210">
        <v>7634</v>
      </c>
      <c r="B487" s="211" t="s">
        <v>55</v>
      </c>
      <c r="C487" s="301">
        <v>0</v>
      </c>
      <c r="D487" s="224">
        <v>0</v>
      </c>
      <c r="E487" s="430">
        <v>0</v>
      </c>
      <c r="F487" s="309">
        <v>0</v>
      </c>
      <c r="G487" s="276">
        <v>0</v>
      </c>
      <c r="H487" s="276">
        <v>0</v>
      </c>
      <c r="I487" s="309">
        <v>0</v>
      </c>
      <c r="J487" s="309">
        <v>0</v>
      </c>
      <c r="K487" s="223">
        <f t="shared" si="32"/>
        <v>0</v>
      </c>
      <c r="L487" s="224">
        <f t="shared" si="33"/>
        <v>0</v>
      </c>
      <c r="M487" s="304"/>
      <c r="N487" s="262"/>
      <c r="O487" s="262"/>
      <c r="P487" s="262"/>
      <c r="Q487" s="262"/>
      <c r="R487" s="262"/>
      <c r="S487" s="262"/>
    </row>
    <row r="488" spans="1:19" x14ac:dyDescent="0.25">
      <c r="A488" s="210">
        <v>7635</v>
      </c>
      <c r="B488" s="211" t="s">
        <v>119</v>
      </c>
      <c r="C488" s="301">
        <v>0</v>
      </c>
      <c r="D488" s="224">
        <v>0</v>
      </c>
      <c r="E488" s="430">
        <v>0</v>
      </c>
      <c r="F488" s="309">
        <v>0</v>
      </c>
      <c r="G488" s="276">
        <v>0</v>
      </c>
      <c r="H488" s="276">
        <v>0</v>
      </c>
      <c r="I488" s="309">
        <v>0</v>
      </c>
      <c r="J488" s="309">
        <v>0</v>
      </c>
      <c r="K488" s="223">
        <f t="shared" si="32"/>
        <v>0</v>
      </c>
      <c r="L488" s="224">
        <f t="shared" si="33"/>
        <v>0</v>
      </c>
      <c r="M488" s="304"/>
      <c r="N488" s="262"/>
      <c r="O488" s="262"/>
      <c r="P488" s="262"/>
      <c r="Q488" s="262"/>
      <c r="R488" s="262"/>
      <c r="S488" s="262"/>
    </row>
    <row r="489" spans="1:19" x14ac:dyDescent="0.25">
      <c r="A489" s="210">
        <v>7636</v>
      </c>
      <c r="B489" s="211" t="s">
        <v>145</v>
      </c>
      <c r="C489" s="301">
        <v>0</v>
      </c>
      <c r="D489" s="224">
        <v>0</v>
      </c>
      <c r="E489" s="430">
        <v>0</v>
      </c>
      <c r="F489" s="309">
        <v>0</v>
      </c>
      <c r="G489" s="276">
        <v>0</v>
      </c>
      <c r="H489" s="276">
        <v>0</v>
      </c>
      <c r="I489" s="309">
        <v>0</v>
      </c>
      <c r="J489" s="309">
        <v>0</v>
      </c>
      <c r="K489" s="223">
        <f t="shared" si="32"/>
        <v>0</v>
      </c>
      <c r="L489" s="224">
        <f t="shared" si="33"/>
        <v>0</v>
      </c>
      <c r="M489" s="304"/>
      <c r="N489" s="262"/>
      <c r="O489" s="262"/>
      <c r="P489" s="262"/>
      <c r="Q489" s="262"/>
      <c r="R489" s="262"/>
      <c r="S489" s="262"/>
    </row>
    <row r="490" spans="1:19" x14ac:dyDescent="0.25">
      <c r="A490" s="210">
        <v>7637</v>
      </c>
      <c r="B490" s="211" t="s">
        <v>65</v>
      </c>
      <c r="C490" s="301">
        <v>0</v>
      </c>
      <c r="D490" s="224">
        <v>0</v>
      </c>
      <c r="E490" s="430">
        <v>0</v>
      </c>
      <c r="F490" s="309">
        <v>0</v>
      </c>
      <c r="G490" s="276">
        <v>0</v>
      </c>
      <c r="H490" s="276">
        <v>0</v>
      </c>
      <c r="I490" s="309">
        <v>0</v>
      </c>
      <c r="J490" s="309">
        <v>0</v>
      </c>
      <c r="K490" s="223">
        <f t="shared" si="32"/>
        <v>0</v>
      </c>
      <c r="L490" s="224">
        <f t="shared" si="33"/>
        <v>0</v>
      </c>
      <c r="M490" s="304"/>
      <c r="N490" s="262"/>
      <c r="O490" s="262"/>
      <c r="P490" s="262"/>
      <c r="Q490" s="262"/>
      <c r="R490" s="262"/>
      <c r="S490" s="262"/>
    </row>
    <row r="491" spans="1:19" x14ac:dyDescent="0.25">
      <c r="A491" s="210">
        <v>7638</v>
      </c>
      <c r="B491" s="211" t="s">
        <v>120</v>
      </c>
      <c r="C491" s="301">
        <v>0</v>
      </c>
      <c r="D491" s="224">
        <v>0</v>
      </c>
      <c r="E491" s="430">
        <v>0</v>
      </c>
      <c r="F491" s="309">
        <v>0</v>
      </c>
      <c r="G491" s="276">
        <v>0</v>
      </c>
      <c r="H491" s="276">
        <v>0</v>
      </c>
      <c r="I491" s="309">
        <v>0</v>
      </c>
      <c r="J491" s="309">
        <v>0</v>
      </c>
      <c r="K491" s="223">
        <f t="shared" si="32"/>
        <v>0</v>
      </c>
      <c r="L491" s="224">
        <f t="shared" si="33"/>
        <v>0</v>
      </c>
      <c r="M491" s="304"/>
      <c r="N491" s="262"/>
      <c r="O491" s="262"/>
      <c r="P491" s="262"/>
      <c r="Q491" s="262"/>
      <c r="R491" s="262"/>
      <c r="S491" s="262"/>
    </row>
    <row r="492" spans="1:19" x14ac:dyDescent="0.25">
      <c r="A492" s="210">
        <v>7639</v>
      </c>
      <c r="B492" s="211" t="s">
        <v>216</v>
      </c>
      <c r="C492" s="301">
        <v>2</v>
      </c>
      <c r="D492" s="224">
        <v>0</v>
      </c>
      <c r="E492" s="430">
        <v>0</v>
      </c>
      <c r="F492" s="309">
        <v>0</v>
      </c>
      <c r="G492" s="276">
        <v>0</v>
      </c>
      <c r="H492" s="276">
        <v>0</v>
      </c>
      <c r="I492" s="309">
        <v>0</v>
      </c>
      <c r="J492" s="309">
        <v>0</v>
      </c>
      <c r="K492" s="223">
        <f t="shared" si="32"/>
        <v>2</v>
      </c>
      <c r="L492" s="224">
        <f t="shared" si="33"/>
        <v>0</v>
      </c>
      <c r="M492" s="304"/>
      <c r="N492" s="262"/>
      <c r="O492" s="262"/>
      <c r="P492" s="262"/>
      <c r="Q492" s="262"/>
      <c r="R492" s="262"/>
      <c r="S492" s="262"/>
    </row>
    <row r="493" spans="1:19" ht="30.75" thickBot="1" x14ac:dyDescent="0.3">
      <c r="A493" s="204">
        <v>7699</v>
      </c>
      <c r="B493" s="205" t="s">
        <v>217</v>
      </c>
      <c r="C493" s="300">
        <v>0</v>
      </c>
      <c r="D493" s="306">
        <v>0</v>
      </c>
      <c r="E493" s="269">
        <v>0</v>
      </c>
      <c r="F493" s="241">
        <v>0</v>
      </c>
      <c r="G493" s="275">
        <v>0</v>
      </c>
      <c r="H493" s="275">
        <v>0</v>
      </c>
      <c r="I493" s="209">
        <v>0</v>
      </c>
      <c r="J493" s="209">
        <v>0</v>
      </c>
      <c r="K493" s="221">
        <f t="shared" si="32"/>
        <v>0</v>
      </c>
      <c r="L493" s="306">
        <f t="shared" si="33"/>
        <v>0</v>
      </c>
      <c r="M493" s="304"/>
      <c r="N493" s="262"/>
      <c r="O493" s="262"/>
      <c r="P493" s="262"/>
      <c r="Q493" s="262"/>
      <c r="R493" s="262"/>
      <c r="S493" s="262"/>
    </row>
    <row r="494" spans="1:19" ht="22.5" customHeight="1" thickBot="1" x14ac:dyDescent="0.3">
      <c r="A494" s="456" t="s">
        <v>3</v>
      </c>
      <c r="B494" s="465"/>
      <c r="C494" s="292">
        <f t="shared" ref="C494:L494" si="34">SUM(C9:C493)</f>
        <v>7043</v>
      </c>
      <c r="D494" s="347">
        <f t="shared" si="34"/>
        <v>2846</v>
      </c>
      <c r="E494" s="348">
        <f t="shared" si="34"/>
        <v>56</v>
      </c>
      <c r="F494" s="292">
        <f t="shared" si="34"/>
        <v>17</v>
      </c>
      <c r="G494" s="292">
        <f t="shared" si="34"/>
        <v>0</v>
      </c>
      <c r="H494" s="292">
        <f t="shared" si="34"/>
        <v>0</v>
      </c>
      <c r="I494" s="292">
        <f t="shared" si="34"/>
        <v>0</v>
      </c>
      <c r="J494" s="292">
        <f t="shared" si="34"/>
        <v>0</v>
      </c>
      <c r="K494" s="292">
        <f t="shared" si="34"/>
        <v>7099</v>
      </c>
      <c r="L494" s="347">
        <f t="shared" si="34"/>
        <v>2863</v>
      </c>
      <c r="M494" s="350"/>
      <c r="N494" s="349"/>
      <c r="O494" s="349"/>
    </row>
    <row r="495" spans="1:19" x14ac:dyDescent="0.25">
      <c r="A495" s="320"/>
      <c r="B495" s="320"/>
      <c r="C495" s="349"/>
      <c r="D495" s="349"/>
      <c r="E495" s="349"/>
      <c r="F495" s="349"/>
      <c r="G495" s="349"/>
      <c r="H495" s="349"/>
      <c r="I495" s="349"/>
      <c r="J495" s="349"/>
      <c r="K495" s="349"/>
      <c r="L495" s="349"/>
    </row>
    <row r="498" spans="7:8" x14ac:dyDescent="0.25">
      <c r="G498" s="262"/>
      <c r="H498" s="262"/>
    </row>
  </sheetData>
  <mergeCells count="13">
    <mergeCell ref="A7:B7"/>
    <mergeCell ref="A494:B494"/>
    <mergeCell ref="A5:A6"/>
    <mergeCell ref="B5:B6"/>
    <mergeCell ref="A1:L1"/>
    <mergeCell ref="A2:L2"/>
    <mergeCell ref="A3:L3"/>
    <mergeCell ref="A4:L4"/>
    <mergeCell ref="C5:D5"/>
    <mergeCell ref="E5:F5"/>
    <mergeCell ref="G5:H5"/>
    <mergeCell ref="I5:J5"/>
    <mergeCell ref="K5:L5"/>
  </mergeCells>
  <printOptions horizontalCentered="1"/>
  <pageMargins left="0.235416666666667" right="0" top="0.43263888888888902" bottom="0.39305555555555599" header="0.31388888888888899" footer="0.31388888888888899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6"/>
  <sheetViews>
    <sheetView view="pageBreakPreview" topLeftCell="A381" zoomScaleNormal="100" workbookViewId="0">
      <selection activeCell="P395" sqref="P395"/>
    </sheetView>
  </sheetViews>
  <sheetFormatPr defaultColWidth="9.140625" defaultRowHeight="5.65" customHeight="1" x14ac:dyDescent="0.25"/>
  <cols>
    <col min="1" max="1" width="8.140625" customWidth="1"/>
    <col min="2" max="2" width="45.7109375" customWidth="1"/>
    <col min="3" max="12" width="7.140625" customWidth="1"/>
  </cols>
  <sheetData>
    <row r="1" spans="1:15" ht="19.5" x14ac:dyDescent="0.3">
      <c r="A1" s="462" t="s">
        <v>240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</row>
    <row r="2" spans="1:15" ht="19.5" x14ac:dyDescent="0.3">
      <c r="A2" s="462" t="s">
        <v>241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5" ht="18.75" customHeight="1" x14ac:dyDescent="0.3">
      <c r="A3" s="474" t="str">
        <f>'ipk3.2'!A3</f>
        <v>PADA TANGGAL : 1 AGUSTUS 2025 s/d  31 AGUSTUS 2025</v>
      </c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  <c r="M3" s="283"/>
      <c r="N3" s="283"/>
    </row>
    <row r="4" spans="1:15" ht="15" x14ac:dyDescent="0.25">
      <c r="A4" s="464"/>
      <c r="B4" s="464"/>
      <c r="C4" s="464"/>
      <c r="D4" s="464"/>
      <c r="E4" s="464"/>
      <c r="F4" s="464"/>
      <c r="G4" s="464"/>
      <c r="H4" s="464"/>
      <c r="I4" s="464"/>
      <c r="J4" s="464"/>
      <c r="K4" s="464"/>
      <c r="L4" s="464"/>
    </row>
    <row r="5" spans="1:15" ht="37.5" customHeight="1" x14ac:dyDescent="0.25">
      <c r="A5" s="453" t="s">
        <v>31</v>
      </c>
      <c r="B5" s="453" t="s">
        <v>242</v>
      </c>
      <c r="C5" s="456" t="s">
        <v>33</v>
      </c>
      <c r="D5" s="457"/>
      <c r="E5" s="456" t="s">
        <v>34</v>
      </c>
      <c r="F5" s="457"/>
      <c r="G5" s="456" t="s">
        <v>35</v>
      </c>
      <c r="H5" s="457"/>
      <c r="I5" s="456" t="s">
        <v>243</v>
      </c>
      <c r="J5" s="457"/>
      <c r="K5" s="456" t="s">
        <v>37</v>
      </c>
      <c r="L5" s="457"/>
    </row>
    <row r="6" spans="1:15" ht="15" x14ac:dyDescent="0.25">
      <c r="A6" s="455"/>
      <c r="B6" s="455"/>
      <c r="C6" s="198" t="s">
        <v>9</v>
      </c>
      <c r="D6" s="198" t="s">
        <v>20</v>
      </c>
      <c r="E6" s="198" t="s">
        <v>9</v>
      </c>
      <c r="F6" s="198" t="s">
        <v>20</v>
      </c>
      <c r="G6" s="198" t="s">
        <v>9</v>
      </c>
      <c r="H6" s="198" t="s">
        <v>20</v>
      </c>
      <c r="I6" s="198" t="s">
        <v>9</v>
      </c>
      <c r="J6" s="198" t="s">
        <v>20</v>
      </c>
      <c r="K6" s="198" t="s">
        <v>9</v>
      </c>
      <c r="L6" s="198" t="s">
        <v>20</v>
      </c>
    </row>
    <row r="7" spans="1:15" ht="15" x14ac:dyDescent="0.25">
      <c r="A7" s="476">
        <v>1</v>
      </c>
      <c r="B7" s="477"/>
      <c r="C7" s="199">
        <v>2</v>
      </c>
      <c r="D7" s="199">
        <v>3</v>
      </c>
      <c r="E7" s="199">
        <v>4</v>
      </c>
      <c r="F7" s="199">
        <v>5</v>
      </c>
      <c r="G7" s="199">
        <v>6</v>
      </c>
      <c r="H7" s="199">
        <v>7</v>
      </c>
      <c r="I7" s="199">
        <v>8</v>
      </c>
      <c r="J7" s="199">
        <v>9</v>
      </c>
      <c r="K7" s="199">
        <v>10</v>
      </c>
      <c r="L7" s="219">
        <v>11</v>
      </c>
    </row>
    <row r="8" spans="1:15" ht="30.75" thickBot="1" x14ac:dyDescent="0.3">
      <c r="A8" s="295">
        <v>0</v>
      </c>
      <c r="B8" s="255" t="s">
        <v>244</v>
      </c>
      <c r="C8" s="296"/>
      <c r="D8" s="296"/>
      <c r="E8" s="296"/>
      <c r="F8" s="296"/>
      <c r="G8" s="296"/>
      <c r="H8" s="296"/>
      <c r="I8" s="296"/>
      <c r="J8" s="296"/>
      <c r="K8" s="296"/>
      <c r="L8" s="296"/>
    </row>
    <row r="9" spans="1:15" ht="15.75" thickBot="1" x14ac:dyDescent="0.3">
      <c r="A9" s="204">
        <v>110</v>
      </c>
      <c r="B9" s="205" t="s">
        <v>245</v>
      </c>
      <c r="C9" s="297">
        <v>0</v>
      </c>
      <c r="D9" s="298">
        <v>0</v>
      </c>
      <c r="E9" s="253">
        <v>0</v>
      </c>
      <c r="F9" s="209">
        <v>0</v>
      </c>
      <c r="G9" s="209">
        <v>0</v>
      </c>
      <c r="H9" s="209">
        <v>0</v>
      </c>
      <c r="I9" s="253">
        <v>0</v>
      </c>
      <c r="J9" s="209">
        <v>0</v>
      </c>
      <c r="K9" s="209">
        <f>C9+E9-G9-I9</f>
        <v>0</v>
      </c>
      <c r="L9" s="209">
        <f>D9+F9-H9-J9</f>
        <v>0</v>
      </c>
      <c r="M9" s="262"/>
      <c r="N9" s="263"/>
      <c r="O9" s="263"/>
    </row>
    <row r="10" spans="1:15" ht="30.75" thickBot="1" x14ac:dyDescent="0.3">
      <c r="A10" s="254">
        <v>1</v>
      </c>
      <c r="B10" s="255" t="s">
        <v>246</v>
      </c>
      <c r="C10" s="299"/>
      <c r="D10" s="299"/>
      <c r="E10" s="226"/>
      <c r="F10" s="226"/>
      <c r="G10" s="226"/>
      <c r="H10" s="226"/>
      <c r="I10" s="226"/>
      <c r="J10" s="226"/>
      <c r="K10" s="226"/>
      <c r="L10" s="227"/>
      <c r="N10" s="263"/>
      <c r="O10" s="263"/>
    </row>
    <row r="11" spans="1:15" ht="16.5" customHeight="1" x14ac:dyDescent="0.25">
      <c r="A11" s="204">
        <v>1110</v>
      </c>
      <c r="B11" s="205" t="s">
        <v>247</v>
      </c>
      <c r="C11" s="300">
        <v>0</v>
      </c>
      <c r="D11" s="298">
        <v>0</v>
      </c>
      <c r="E11" s="209">
        <v>0</v>
      </c>
      <c r="F11" s="209">
        <v>0</v>
      </c>
      <c r="G11" s="209">
        <v>0</v>
      </c>
      <c r="H11" s="209">
        <v>0</v>
      </c>
      <c r="I11" s="209">
        <v>0</v>
      </c>
      <c r="J11" s="209">
        <v>0</v>
      </c>
      <c r="K11" s="221">
        <f>C11+E11-G11-I11</f>
        <v>0</v>
      </c>
      <c r="L11" s="225">
        <f>D11+F11-H11-J11</f>
        <v>0</v>
      </c>
      <c r="M11" s="304"/>
      <c r="N11" s="262"/>
      <c r="O11" s="263"/>
    </row>
    <row r="12" spans="1:15" ht="16.5" customHeight="1" x14ac:dyDescent="0.25">
      <c r="A12" s="210">
        <v>1120</v>
      </c>
      <c r="B12" s="211" t="s">
        <v>248</v>
      </c>
      <c r="C12" s="301">
        <v>4</v>
      </c>
      <c r="D12" s="259">
        <v>2</v>
      </c>
      <c r="E12" s="120">
        <v>0</v>
      </c>
      <c r="F12" s="120">
        <v>0</v>
      </c>
      <c r="G12" s="120">
        <v>0</v>
      </c>
      <c r="H12" s="120">
        <v>0</v>
      </c>
      <c r="I12" s="120">
        <v>0</v>
      </c>
      <c r="J12" s="120">
        <v>0</v>
      </c>
      <c r="K12" s="223">
        <f t="shared" ref="K12:K20" si="0">C12+E12-G12-I12</f>
        <v>4</v>
      </c>
      <c r="L12" s="224">
        <f t="shared" ref="L12:L20" si="1">D12+F12-H12-J12</f>
        <v>2</v>
      </c>
      <c r="M12" s="304"/>
      <c r="N12" s="262"/>
      <c r="O12" s="263"/>
    </row>
    <row r="13" spans="1:15" ht="16.5" customHeight="1" x14ac:dyDescent="0.25">
      <c r="A13" s="210">
        <v>1130</v>
      </c>
      <c r="B13" s="211" t="s">
        <v>249</v>
      </c>
      <c r="C13" s="301">
        <v>0</v>
      </c>
      <c r="D13" s="259">
        <v>0</v>
      </c>
      <c r="E13" s="120">
        <v>0</v>
      </c>
      <c r="F13" s="120">
        <v>0</v>
      </c>
      <c r="G13" s="120">
        <v>0</v>
      </c>
      <c r="H13" s="120">
        <v>0</v>
      </c>
      <c r="I13" s="120">
        <v>0</v>
      </c>
      <c r="J13" s="120">
        <v>0</v>
      </c>
      <c r="K13" s="223">
        <f t="shared" si="0"/>
        <v>0</v>
      </c>
      <c r="L13" s="224">
        <f t="shared" si="1"/>
        <v>0</v>
      </c>
      <c r="M13" s="304"/>
      <c r="N13" s="262"/>
      <c r="O13" s="263"/>
    </row>
    <row r="14" spans="1:15" ht="16.5" customHeight="1" x14ac:dyDescent="0.25">
      <c r="A14" s="210">
        <v>1141</v>
      </c>
      <c r="B14" s="211" t="s">
        <v>250</v>
      </c>
      <c r="C14" s="301">
        <v>0</v>
      </c>
      <c r="D14" s="259">
        <v>0</v>
      </c>
      <c r="E14" s="120">
        <v>0</v>
      </c>
      <c r="F14" s="120">
        <v>0</v>
      </c>
      <c r="G14" s="120">
        <v>0</v>
      </c>
      <c r="H14" s="120">
        <v>0</v>
      </c>
      <c r="I14" s="120">
        <v>0</v>
      </c>
      <c r="J14" s="120">
        <v>0</v>
      </c>
      <c r="K14" s="223">
        <f t="shared" si="0"/>
        <v>0</v>
      </c>
      <c r="L14" s="224">
        <f t="shared" si="1"/>
        <v>0</v>
      </c>
      <c r="M14" s="304"/>
      <c r="N14" s="262"/>
      <c r="O14" s="263"/>
    </row>
    <row r="15" spans="1:15" ht="45" customHeight="1" x14ac:dyDescent="0.25">
      <c r="A15" s="210">
        <v>1142</v>
      </c>
      <c r="B15" s="211" t="s">
        <v>251</v>
      </c>
      <c r="C15" s="301">
        <v>1</v>
      </c>
      <c r="D15" s="259">
        <v>0</v>
      </c>
      <c r="E15" s="120">
        <v>0</v>
      </c>
      <c r="F15" s="120">
        <v>0</v>
      </c>
      <c r="G15" s="120">
        <v>0</v>
      </c>
      <c r="H15" s="120">
        <v>0</v>
      </c>
      <c r="I15" s="120">
        <v>0</v>
      </c>
      <c r="J15" s="120">
        <v>0</v>
      </c>
      <c r="K15" s="223">
        <f t="shared" si="0"/>
        <v>1</v>
      </c>
      <c r="L15" s="224">
        <f t="shared" si="1"/>
        <v>0</v>
      </c>
      <c r="M15" s="304"/>
      <c r="N15" s="262"/>
      <c r="O15" s="263"/>
    </row>
    <row r="16" spans="1:15" ht="30" x14ac:dyDescent="0.25">
      <c r="A16" s="210">
        <v>1143</v>
      </c>
      <c r="B16" s="211" t="s">
        <v>252</v>
      </c>
      <c r="C16" s="301">
        <v>0</v>
      </c>
      <c r="D16" s="259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223">
        <f t="shared" si="0"/>
        <v>0</v>
      </c>
      <c r="L16" s="224">
        <f t="shared" si="1"/>
        <v>0</v>
      </c>
      <c r="M16" s="304"/>
      <c r="N16" s="262"/>
      <c r="O16" s="263"/>
    </row>
    <row r="17" spans="1:15" ht="15" x14ac:dyDescent="0.25">
      <c r="A17" s="210">
        <v>1210</v>
      </c>
      <c r="B17" s="211" t="s">
        <v>253</v>
      </c>
      <c r="C17" s="301">
        <v>0</v>
      </c>
      <c r="D17" s="259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223">
        <f t="shared" si="0"/>
        <v>0</v>
      </c>
      <c r="L17" s="224">
        <f t="shared" si="1"/>
        <v>0</v>
      </c>
      <c r="M17" s="304"/>
      <c r="N17" s="262"/>
      <c r="O17" s="263"/>
    </row>
    <row r="18" spans="1:15" ht="32.25" customHeight="1" x14ac:dyDescent="0.25">
      <c r="A18" s="210">
        <v>1221</v>
      </c>
      <c r="B18" s="211" t="s">
        <v>254</v>
      </c>
      <c r="C18" s="301">
        <v>1</v>
      </c>
      <c r="D18" s="259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223">
        <f t="shared" si="0"/>
        <v>1</v>
      </c>
      <c r="L18" s="224">
        <f t="shared" si="1"/>
        <v>0</v>
      </c>
      <c r="M18" s="304"/>
      <c r="N18" s="262"/>
      <c r="O18" s="263"/>
    </row>
    <row r="19" spans="1:15" ht="30" x14ac:dyDescent="0.25">
      <c r="A19" s="210">
        <v>1223</v>
      </c>
      <c r="B19" s="211" t="s">
        <v>255</v>
      </c>
      <c r="C19" s="301">
        <v>0</v>
      </c>
      <c r="D19" s="259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223">
        <f t="shared" si="0"/>
        <v>0</v>
      </c>
      <c r="L19" s="224">
        <f t="shared" si="1"/>
        <v>0</v>
      </c>
      <c r="M19" s="304"/>
      <c r="N19" s="262"/>
      <c r="O19" s="263"/>
    </row>
    <row r="20" spans="1:15" ht="45" x14ac:dyDescent="0.25">
      <c r="A20" s="210">
        <v>1224</v>
      </c>
      <c r="B20" s="211" t="s">
        <v>256</v>
      </c>
      <c r="C20" s="301">
        <v>0</v>
      </c>
      <c r="D20" s="259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223">
        <f t="shared" si="0"/>
        <v>0</v>
      </c>
      <c r="L20" s="224">
        <f t="shared" si="1"/>
        <v>0</v>
      </c>
      <c r="M20" s="304"/>
      <c r="N20" s="262"/>
      <c r="O20" s="263"/>
    </row>
    <row r="21" spans="1:15" ht="30" customHeight="1" x14ac:dyDescent="0.25">
      <c r="A21" s="210">
        <v>1225</v>
      </c>
      <c r="B21" s="211" t="s">
        <v>257</v>
      </c>
      <c r="C21" s="301">
        <v>0</v>
      </c>
      <c r="D21" s="259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223">
        <f t="shared" ref="K21:L25" si="2">C21+E21-G21-I21</f>
        <v>0</v>
      </c>
      <c r="L21" s="224">
        <f t="shared" si="2"/>
        <v>0</v>
      </c>
      <c r="M21" s="304"/>
      <c r="N21" s="262"/>
      <c r="O21" s="263"/>
    </row>
    <row r="22" spans="1:15" ht="45" customHeight="1" x14ac:dyDescent="0.25">
      <c r="A22" s="210">
        <v>1226</v>
      </c>
      <c r="B22" s="211" t="s">
        <v>258</v>
      </c>
      <c r="C22" s="301">
        <v>0</v>
      </c>
      <c r="D22" s="259">
        <v>0</v>
      </c>
      <c r="E22" s="120">
        <v>0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223">
        <f t="shared" si="2"/>
        <v>0</v>
      </c>
      <c r="L22" s="224">
        <f t="shared" si="2"/>
        <v>0</v>
      </c>
      <c r="M22" s="304"/>
      <c r="N22" s="262"/>
      <c r="O22" s="263"/>
    </row>
    <row r="23" spans="1:15" ht="30" x14ac:dyDescent="0.25">
      <c r="A23" s="210">
        <v>1227</v>
      </c>
      <c r="B23" s="211" t="s">
        <v>259</v>
      </c>
      <c r="C23" s="301">
        <v>9</v>
      </c>
      <c r="D23" s="259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223">
        <f t="shared" si="2"/>
        <v>9</v>
      </c>
      <c r="L23" s="224">
        <f t="shared" si="2"/>
        <v>0</v>
      </c>
      <c r="M23" s="304"/>
      <c r="N23" s="262"/>
      <c r="O23" s="263"/>
    </row>
    <row r="24" spans="1:15" ht="30" customHeight="1" x14ac:dyDescent="0.25">
      <c r="A24" s="210">
        <v>1228</v>
      </c>
      <c r="B24" s="211" t="s">
        <v>260</v>
      </c>
      <c r="C24" s="301">
        <v>0</v>
      </c>
      <c r="D24" s="259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223">
        <f t="shared" si="2"/>
        <v>0</v>
      </c>
      <c r="L24" s="224">
        <f t="shared" si="2"/>
        <v>0</v>
      </c>
      <c r="M24" s="304"/>
      <c r="N24" s="262"/>
      <c r="O24" s="263"/>
    </row>
    <row r="25" spans="1:15" ht="30" customHeight="1" x14ac:dyDescent="0.25">
      <c r="A25" s="210">
        <v>1229</v>
      </c>
      <c r="B25" s="211" t="s">
        <v>261</v>
      </c>
      <c r="C25" s="301">
        <v>0</v>
      </c>
      <c r="D25" s="259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223">
        <f t="shared" si="2"/>
        <v>0</v>
      </c>
      <c r="L25" s="224">
        <f t="shared" si="2"/>
        <v>0</v>
      </c>
      <c r="M25" s="304"/>
      <c r="N25" s="262"/>
      <c r="O25" s="263"/>
    </row>
    <row r="26" spans="1:15" ht="15" customHeight="1" x14ac:dyDescent="0.25">
      <c r="A26" s="210">
        <v>1231</v>
      </c>
      <c r="B26" s="211" t="s">
        <v>262</v>
      </c>
      <c r="C26" s="301">
        <v>22</v>
      </c>
      <c r="D26" s="259">
        <v>24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223">
        <f t="shared" ref="K26:K33" si="3">C26+E26-G26-I26</f>
        <v>22</v>
      </c>
      <c r="L26" s="224">
        <f t="shared" ref="L26:L33" si="4">D26+F26-H26-J26</f>
        <v>24</v>
      </c>
      <c r="M26" s="304"/>
      <c r="N26" s="262"/>
      <c r="O26" s="263"/>
    </row>
    <row r="27" spans="1:15" ht="15" customHeight="1" x14ac:dyDescent="0.25">
      <c r="A27" s="210">
        <v>1232</v>
      </c>
      <c r="B27" s="211" t="s">
        <v>263</v>
      </c>
      <c r="C27" s="301">
        <v>0</v>
      </c>
      <c r="D27" s="259">
        <v>1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223">
        <f t="shared" si="3"/>
        <v>0</v>
      </c>
      <c r="L27" s="224">
        <f t="shared" si="4"/>
        <v>1</v>
      </c>
      <c r="M27" s="304"/>
      <c r="N27" s="262"/>
      <c r="O27" s="263"/>
    </row>
    <row r="28" spans="1:15" ht="15" customHeight="1" x14ac:dyDescent="0.25">
      <c r="A28" s="210">
        <v>1233</v>
      </c>
      <c r="B28" s="211" t="s">
        <v>264</v>
      </c>
      <c r="C28" s="301">
        <v>0</v>
      </c>
      <c r="D28" s="259">
        <v>1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223">
        <f t="shared" si="3"/>
        <v>0</v>
      </c>
      <c r="L28" s="224">
        <f t="shared" si="4"/>
        <v>1</v>
      </c>
      <c r="M28" s="304"/>
      <c r="N28" s="262"/>
      <c r="O28" s="263"/>
    </row>
    <row r="29" spans="1:15" ht="30" x14ac:dyDescent="0.25">
      <c r="A29" s="210">
        <v>1234</v>
      </c>
      <c r="B29" s="211" t="s">
        <v>265</v>
      </c>
      <c r="C29" s="301">
        <v>2</v>
      </c>
      <c r="D29" s="259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223">
        <f t="shared" si="3"/>
        <v>2</v>
      </c>
      <c r="L29" s="224">
        <f t="shared" si="4"/>
        <v>0</v>
      </c>
      <c r="M29" s="304"/>
      <c r="N29" s="262"/>
      <c r="O29" s="263"/>
    </row>
    <row r="30" spans="1:15" ht="15" customHeight="1" x14ac:dyDescent="0.25">
      <c r="A30" s="210">
        <v>1235</v>
      </c>
      <c r="B30" s="211" t="s">
        <v>266</v>
      </c>
      <c r="C30" s="301">
        <v>0</v>
      </c>
      <c r="D30" s="259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223">
        <f t="shared" si="3"/>
        <v>0</v>
      </c>
      <c r="L30" s="224">
        <f t="shared" si="4"/>
        <v>0</v>
      </c>
      <c r="M30" s="304"/>
      <c r="N30" s="262"/>
      <c r="O30" s="263"/>
    </row>
    <row r="31" spans="1:15" ht="15" x14ac:dyDescent="0.25">
      <c r="A31" s="210">
        <v>1236</v>
      </c>
      <c r="B31" s="211" t="s">
        <v>267</v>
      </c>
      <c r="C31" s="301">
        <v>0</v>
      </c>
      <c r="D31" s="259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223">
        <f t="shared" si="3"/>
        <v>0</v>
      </c>
      <c r="L31" s="224">
        <f t="shared" si="4"/>
        <v>0</v>
      </c>
      <c r="M31" s="304"/>
      <c r="N31" s="262"/>
      <c r="O31" s="263"/>
    </row>
    <row r="32" spans="1:15" ht="15" customHeight="1" x14ac:dyDescent="0.25">
      <c r="A32" s="210">
        <v>1237</v>
      </c>
      <c r="B32" s="211" t="s">
        <v>268</v>
      </c>
      <c r="C32" s="301">
        <v>0</v>
      </c>
      <c r="D32" s="259">
        <v>0</v>
      </c>
      <c r="E32" s="120">
        <v>0</v>
      </c>
      <c r="F32" s="120">
        <v>0</v>
      </c>
      <c r="G32" s="120">
        <v>0</v>
      </c>
      <c r="H32" s="120">
        <v>0</v>
      </c>
      <c r="I32" s="120">
        <v>0</v>
      </c>
      <c r="J32" s="120">
        <v>0</v>
      </c>
      <c r="K32" s="223">
        <f t="shared" si="3"/>
        <v>0</v>
      </c>
      <c r="L32" s="224">
        <f t="shared" si="4"/>
        <v>0</v>
      </c>
      <c r="M32" s="304"/>
      <c r="N32" s="262"/>
      <c r="O32" s="263"/>
    </row>
    <row r="33" spans="1:15" ht="30" customHeight="1" x14ac:dyDescent="0.25">
      <c r="A33" s="210">
        <v>1311</v>
      </c>
      <c r="B33" s="211" t="s">
        <v>269</v>
      </c>
      <c r="C33" s="301">
        <v>15</v>
      </c>
      <c r="D33" s="259">
        <v>17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223">
        <f t="shared" si="3"/>
        <v>15</v>
      </c>
      <c r="L33" s="224">
        <f t="shared" si="4"/>
        <v>17</v>
      </c>
      <c r="M33" s="304"/>
      <c r="N33" s="262"/>
      <c r="O33" s="263"/>
    </row>
    <row r="34" spans="1:15" ht="30" x14ac:dyDescent="0.25">
      <c r="A34" s="210">
        <v>1314</v>
      </c>
      <c r="B34" s="211" t="s">
        <v>270</v>
      </c>
      <c r="C34" s="301">
        <v>0</v>
      </c>
      <c r="D34" s="259">
        <v>0</v>
      </c>
      <c r="E34" s="120"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223">
        <f t="shared" ref="K34:L39" si="5">C34+E34-G34-I34</f>
        <v>0</v>
      </c>
      <c r="L34" s="224">
        <f t="shared" si="5"/>
        <v>0</v>
      </c>
      <c r="M34" s="304"/>
      <c r="N34" s="262"/>
      <c r="O34" s="263"/>
    </row>
    <row r="35" spans="1:15" ht="15" customHeight="1" x14ac:dyDescent="0.25">
      <c r="A35" s="210">
        <v>1315</v>
      </c>
      <c r="B35" s="211" t="s">
        <v>271</v>
      </c>
      <c r="C35" s="301">
        <v>0</v>
      </c>
      <c r="D35" s="259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223">
        <f t="shared" si="5"/>
        <v>0</v>
      </c>
      <c r="L35" s="224">
        <f t="shared" si="5"/>
        <v>0</v>
      </c>
      <c r="M35" s="304"/>
      <c r="N35" s="262"/>
      <c r="O35" s="263"/>
    </row>
    <row r="36" spans="1:15" ht="30" x14ac:dyDescent="0.25">
      <c r="A36" s="210">
        <v>1316</v>
      </c>
      <c r="B36" s="211" t="s">
        <v>272</v>
      </c>
      <c r="C36" s="301">
        <v>2</v>
      </c>
      <c r="D36" s="259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223">
        <f t="shared" si="5"/>
        <v>2</v>
      </c>
      <c r="L36" s="224">
        <f t="shared" si="5"/>
        <v>0</v>
      </c>
      <c r="M36" s="304"/>
      <c r="N36" s="262"/>
      <c r="O36" s="263"/>
    </row>
    <row r="37" spans="1:15" ht="15" x14ac:dyDescent="0.25">
      <c r="A37" s="210">
        <v>1317</v>
      </c>
      <c r="B37" s="211" t="s">
        <v>273</v>
      </c>
      <c r="C37" s="301">
        <v>0</v>
      </c>
      <c r="D37" s="259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223">
        <f t="shared" si="5"/>
        <v>0</v>
      </c>
      <c r="L37" s="224">
        <f t="shared" si="5"/>
        <v>0</v>
      </c>
      <c r="M37" s="304"/>
      <c r="N37" s="262"/>
      <c r="O37" s="263"/>
    </row>
    <row r="38" spans="1:15" ht="30" x14ac:dyDescent="0.25">
      <c r="A38" s="210">
        <v>1318</v>
      </c>
      <c r="B38" s="211" t="s">
        <v>274</v>
      </c>
      <c r="C38" s="301">
        <v>0</v>
      </c>
      <c r="D38" s="259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223">
        <f t="shared" si="5"/>
        <v>0</v>
      </c>
      <c r="L38" s="224">
        <f t="shared" si="5"/>
        <v>0</v>
      </c>
      <c r="M38" s="304"/>
      <c r="N38" s="262"/>
      <c r="O38" s="263"/>
    </row>
    <row r="39" spans="1:15" ht="45.75" thickBot="1" x14ac:dyDescent="0.3">
      <c r="A39" s="302">
        <v>1319</v>
      </c>
      <c r="B39" s="303" t="s">
        <v>275</v>
      </c>
      <c r="C39" s="300">
        <v>1</v>
      </c>
      <c r="D39" s="257">
        <v>1</v>
      </c>
      <c r="E39" s="209">
        <v>0</v>
      </c>
      <c r="F39" s="209">
        <v>0</v>
      </c>
      <c r="G39" s="120">
        <v>0</v>
      </c>
      <c r="H39" s="120">
        <v>0</v>
      </c>
      <c r="I39" s="209">
        <v>0</v>
      </c>
      <c r="J39" s="209">
        <v>0</v>
      </c>
      <c r="K39" s="305">
        <f t="shared" si="5"/>
        <v>1</v>
      </c>
      <c r="L39" s="306">
        <f t="shared" si="5"/>
        <v>1</v>
      </c>
      <c r="M39" s="304"/>
      <c r="N39" s="262"/>
      <c r="O39" s="263"/>
    </row>
    <row r="40" spans="1:15" ht="15.75" thickBot="1" x14ac:dyDescent="0.3">
      <c r="A40" s="260">
        <v>2</v>
      </c>
      <c r="B40" s="255" t="s">
        <v>276</v>
      </c>
      <c r="C40" s="218"/>
      <c r="D40" s="299"/>
      <c r="E40" s="218"/>
      <c r="F40" s="218"/>
      <c r="G40" s="218"/>
      <c r="H40" s="218"/>
      <c r="I40" s="218"/>
      <c r="J40" s="218"/>
      <c r="K40" s="226"/>
      <c r="L40" s="227"/>
      <c r="M40" s="304"/>
      <c r="N40" s="262"/>
      <c r="O40" s="263"/>
    </row>
    <row r="41" spans="1:15" ht="15" x14ac:dyDescent="0.25">
      <c r="A41" s="204">
        <v>2111</v>
      </c>
      <c r="B41" s="205" t="s">
        <v>277</v>
      </c>
      <c r="C41" s="300">
        <v>0</v>
      </c>
      <c r="D41" s="257">
        <v>0</v>
      </c>
      <c r="E41" s="209">
        <v>0</v>
      </c>
      <c r="F41" s="209">
        <v>0</v>
      </c>
      <c r="G41" s="209">
        <v>0</v>
      </c>
      <c r="H41" s="209">
        <v>0</v>
      </c>
      <c r="I41" s="209">
        <v>0</v>
      </c>
      <c r="J41" s="209">
        <v>0</v>
      </c>
      <c r="K41" s="221">
        <f>C41+E41-G41-I41</f>
        <v>0</v>
      </c>
      <c r="L41" s="225">
        <f>D41+F41-H41-J41</f>
        <v>0</v>
      </c>
      <c r="M41" s="304"/>
      <c r="N41" s="262"/>
      <c r="O41" s="263"/>
    </row>
    <row r="42" spans="1:15" ht="15" x14ac:dyDescent="0.25">
      <c r="A42" s="210">
        <v>2112</v>
      </c>
      <c r="B42" s="211" t="s">
        <v>278</v>
      </c>
      <c r="C42" s="301">
        <v>0</v>
      </c>
      <c r="D42" s="259">
        <v>0</v>
      </c>
      <c r="E42" s="120">
        <v>0</v>
      </c>
      <c r="F42" s="120">
        <v>0</v>
      </c>
      <c r="G42" s="120">
        <v>0</v>
      </c>
      <c r="H42" s="120">
        <v>0</v>
      </c>
      <c r="I42" s="120">
        <v>0</v>
      </c>
      <c r="J42" s="120">
        <v>0</v>
      </c>
      <c r="K42" s="223">
        <f t="shared" ref="K42:K53" si="6">C42+E42-G42-I42</f>
        <v>0</v>
      </c>
      <c r="L42" s="224">
        <f t="shared" ref="L42:L52" si="7">D42+F42-H42-J42</f>
        <v>0</v>
      </c>
      <c r="M42" s="304"/>
      <c r="N42" s="262"/>
      <c r="O42" s="263"/>
    </row>
    <row r="43" spans="1:15" ht="15" x14ac:dyDescent="0.25">
      <c r="A43" s="210">
        <v>2113</v>
      </c>
      <c r="B43" s="211" t="s">
        <v>279</v>
      </c>
      <c r="C43" s="301">
        <v>0</v>
      </c>
      <c r="D43" s="259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223">
        <f t="shared" si="6"/>
        <v>0</v>
      </c>
      <c r="L43" s="224">
        <f t="shared" si="7"/>
        <v>0</v>
      </c>
      <c r="M43" s="304"/>
      <c r="N43" s="262"/>
      <c r="O43" s="263"/>
    </row>
    <row r="44" spans="1:15" ht="15" customHeight="1" x14ac:dyDescent="0.25">
      <c r="A44" s="210">
        <v>2114</v>
      </c>
      <c r="B44" s="211" t="s">
        <v>280</v>
      </c>
      <c r="C44" s="301">
        <v>0</v>
      </c>
      <c r="D44" s="259">
        <v>0</v>
      </c>
      <c r="E44" s="120">
        <v>0</v>
      </c>
      <c r="F44" s="120">
        <v>0</v>
      </c>
      <c r="G44" s="120">
        <v>0</v>
      </c>
      <c r="H44" s="120">
        <v>0</v>
      </c>
      <c r="I44" s="120">
        <v>0</v>
      </c>
      <c r="J44" s="120">
        <v>0</v>
      </c>
      <c r="K44" s="223">
        <f t="shared" si="6"/>
        <v>0</v>
      </c>
      <c r="L44" s="224">
        <f t="shared" si="7"/>
        <v>0</v>
      </c>
      <c r="M44" s="304"/>
      <c r="N44" s="262"/>
      <c r="O44" s="263"/>
    </row>
    <row r="45" spans="1:15" ht="15" customHeight="1" x14ac:dyDescent="0.25">
      <c r="A45" s="210">
        <v>2121</v>
      </c>
      <c r="B45" s="211" t="s">
        <v>281</v>
      </c>
      <c r="C45" s="301">
        <v>0</v>
      </c>
      <c r="D45" s="259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223">
        <f t="shared" si="6"/>
        <v>0</v>
      </c>
      <c r="L45" s="224">
        <f t="shared" si="7"/>
        <v>0</v>
      </c>
      <c r="M45" s="304"/>
      <c r="N45" s="262"/>
      <c r="O45" s="263"/>
    </row>
    <row r="46" spans="1:15" ht="15" customHeight="1" x14ac:dyDescent="0.25">
      <c r="A46" s="210">
        <v>2122</v>
      </c>
      <c r="B46" s="211" t="s">
        <v>282</v>
      </c>
      <c r="C46" s="301">
        <v>0</v>
      </c>
      <c r="D46" s="259">
        <v>4</v>
      </c>
      <c r="E46" s="120"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223">
        <f t="shared" si="6"/>
        <v>0</v>
      </c>
      <c r="L46" s="224">
        <f t="shared" si="7"/>
        <v>4</v>
      </c>
      <c r="M46" s="304"/>
      <c r="N46" s="262"/>
      <c r="O46" s="263"/>
    </row>
    <row r="47" spans="1:15" ht="15" customHeight="1" x14ac:dyDescent="0.25">
      <c r="A47" s="210">
        <v>2131</v>
      </c>
      <c r="B47" s="211" t="s">
        <v>283</v>
      </c>
      <c r="C47" s="301">
        <v>0</v>
      </c>
      <c r="D47" s="259">
        <v>1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  <c r="J47" s="120">
        <v>0</v>
      </c>
      <c r="K47" s="223">
        <f t="shared" si="6"/>
        <v>0</v>
      </c>
      <c r="L47" s="224">
        <f t="shared" si="7"/>
        <v>1</v>
      </c>
      <c r="M47" s="304"/>
      <c r="N47" s="262"/>
      <c r="O47" s="263"/>
    </row>
    <row r="48" spans="1:15" ht="15" x14ac:dyDescent="0.25">
      <c r="A48" s="210">
        <v>2132</v>
      </c>
      <c r="B48" s="211" t="s">
        <v>284</v>
      </c>
      <c r="C48" s="301">
        <v>165</v>
      </c>
      <c r="D48" s="259">
        <v>67</v>
      </c>
      <c r="E48" s="120">
        <v>0</v>
      </c>
      <c r="F48" s="120">
        <v>0</v>
      </c>
      <c r="G48" s="120">
        <v>0</v>
      </c>
      <c r="H48" s="120">
        <v>0</v>
      </c>
      <c r="I48" s="120">
        <v>0</v>
      </c>
      <c r="J48" s="120">
        <v>0</v>
      </c>
      <c r="K48" s="223">
        <f t="shared" si="6"/>
        <v>165</v>
      </c>
      <c r="L48" s="224">
        <f t="shared" si="7"/>
        <v>67</v>
      </c>
      <c r="M48" s="304"/>
      <c r="N48" s="262"/>
      <c r="O48" s="263"/>
    </row>
    <row r="49" spans="1:15" ht="15" customHeight="1" x14ac:dyDescent="0.25">
      <c r="A49" s="210">
        <v>2139</v>
      </c>
      <c r="B49" s="211" t="s">
        <v>285</v>
      </c>
      <c r="C49" s="301">
        <v>0</v>
      </c>
      <c r="D49" s="259">
        <v>0</v>
      </c>
      <c r="E49" s="120"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223">
        <f t="shared" si="6"/>
        <v>0</v>
      </c>
      <c r="L49" s="224">
        <f t="shared" si="7"/>
        <v>0</v>
      </c>
      <c r="M49" s="304"/>
      <c r="N49" s="262"/>
      <c r="O49" s="263"/>
    </row>
    <row r="50" spans="1:15" ht="15" customHeight="1" x14ac:dyDescent="0.25">
      <c r="A50" s="210">
        <v>2141</v>
      </c>
      <c r="B50" s="211" t="s">
        <v>286</v>
      </c>
      <c r="C50" s="301">
        <v>2</v>
      </c>
      <c r="D50" s="259">
        <v>2</v>
      </c>
      <c r="E50" s="120"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223">
        <f t="shared" si="6"/>
        <v>2</v>
      </c>
      <c r="L50" s="224">
        <f t="shared" si="7"/>
        <v>2</v>
      </c>
      <c r="M50" s="304"/>
      <c r="N50" s="262"/>
      <c r="O50" s="263"/>
    </row>
    <row r="51" spans="1:15" ht="15" customHeight="1" x14ac:dyDescent="0.25">
      <c r="A51" s="210">
        <v>2142</v>
      </c>
      <c r="B51" s="211" t="s">
        <v>287</v>
      </c>
      <c r="C51" s="301">
        <v>1</v>
      </c>
      <c r="D51" s="259">
        <v>6</v>
      </c>
      <c r="E51" s="120">
        <v>0</v>
      </c>
      <c r="F51" s="120">
        <v>0</v>
      </c>
      <c r="G51" s="120">
        <v>0</v>
      </c>
      <c r="H51" s="120">
        <v>0</v>
      </c>
      <c r="I51" s="120">
        <v>0</v>
      </c>
      <c r="J51" s="120">
        <v>0</v>
      </c>
      <c r="K51" s="223">
        <f t="shared" si="6"/>
        <v>1</v>
      </c>
      <c r="L51" s="224">
        <f t="shared" si="7"/>
        <v>6</v>
      </c>
      <c r="M51" s="304"/>
      <c r="N51" s="262"/>
      <c r="O51" s="263"/>
    </row>
    <row r="52" spans="1:15" ht="15" customHeight="1" x14ac:dyDescent="0.25">
      <c r="A52" s="210">
        <v>2143</v>
      </c>
      <c r="B52" s="211" t="s">
        <v>288</v>
      </c>
      <c r="C52" s="301">
        <v>0</v>
      </c>
      <c r="D52" s="259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223">
        <f t="shared" si="6"/>
        <v>0</v>
      </c>
      <c r="L52" s="224">
        <f t="shared" si="7"/>
        <v>0</v>
      </c>
      <c r="M52" s="304"/>
      <c r="N52" s="262"/>
      <c r="O52" s="263"/>
    </row>
    <row r="53" spans="1:15" ht="15" customHeight="1" x14ac:dyDescent="0.25">
      <c r="A53" s="210">
        <v>2144</v>
      </c>
      <c r="B53" s="211" t="s">
        <v>289</v>
      </c>
      <c r="C53" s="301">
        <v>0</v>
      </c>
      <c r="D53" s="259">
        <v>0</v>
      </c>
      <c r="E53" s="120">
        <v>0</v>
      </c>
      <c r="F53" s="120">
        <v>0</v>
      </c>
      <c r="G53" s="120">
        <v>0</v>
      </c>
      <c r="H53" s="120">
        <v>0</v>
      </c>
      <c r="I53" s="120">
        <v>0</v>
      </c>
      <c r="J53" s="120">
        <v>0</v>
      </c>
      <c r="K53" s="223">
        <f t="shared" si="6"/>
        <v>0</v>
      </c>
      <c r="L53" s="224">
        <f t="shared" ref="L53:L92" si="8">D53+F53-H53-J53</f>
        <v>0</v>
      </c>
      <c r="M53" s="304"/>
      <c r="N53" s="262"/>
      <c r="O53" s="263"/>
    </row>
    <row r="54" spans="1:15" ht="15" x14ac:dyDescent="0.25">
      <c r="A54" s="210">
        <v>2145</v>
      </c>
      <c r="B54" s="211" t="s">
        <v>290</v>
      </c>
      <c r="C54" s="301">
        <v>3</v>
      </c>
      <c r="D54" s="259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223">
        <f t="shared" ref="K54:K92" si="9">C54+E54-G54-I54</f>
        <v>3</v>
      </c>
      <c r="L54" s="224">
        <f t="shared" si="8"/>
        <v>0</v>
      </c>
      <c r="M54" s="304"/>
      <c r="N54" s="262"/>
      <c r="O54" s="263"/>
    </row>
    <row r="55" spans="1:15" ht="15" x14ac:dyDescent="0.25">
      <c r="A55" s="210">
        <v>2146</v>
      </c>
      <c r="B55" s="211" t="s">
        <v>291</v>
      </c>
      <c r="C55" s="301">
        <v>3</v>
      </c>
      <c r="D55" s="259">
        <v>5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223">
        <f t="shared" si="9"/>
        <v>3</v>
      </c>
      <c r="L55" s="224">
        <f t="shared" si="8"/>
        <v>5</v>
      </c>
      <c r="M55" s="304"/>
      <c r="N55" s="262"/>
      <c r="O55" s="263"/>
    </row>
    <row r="56" spans="1:15" ht="30" x14ac:dyDescent="0.25">
      <c r="A56" s="210">
        <v>2147</v>
      </c>
      <c r="B56" s="211" t="s">
        <v>292</v>
      </c>
      <c r="C56" s="301">
        <v>0</v>
      </c>
      <c r="D56" s="259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223">
        <f t="shared" si="9"/>
        <v>0</v>
      </c>
      <c r="L56" s="224">
        <f t="shared" si="8"/>
        <v>0</v>
      </c>
      <c r="M56" s="304"/>
      <c r="N56" s="262"/>
      <c r="O56" s="263"/>
    </row>
    <row r="57" spans="1:15" ht="15" x14ac:dyDescent="0.25">
      <c r="A57" s="210">
        <v>2148</v>
      </c>
      <c r="B57" s="211" t="s">
        <v>293</v>
      </c>
      <c r="C57" s="301">
        <v>2</v>
      </c>
      <c r="D57" s="259">
        <v>6</v>
      </c>
      <c r="E57" s="120"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223">
        <f t="shared" si="9"/>
        <v>2</v>
      </c>
      <c r="L57" s="224">
        <f t="shared" si="8"/>
        <v>6</v>
      </c>
      <c r="M57" s="304"/>
      <c r="N57" s="262"/>
      <c r="O57" s="263"/>
    </row>
    <row r="58" spans="1:15" ht="30" customHeight="1" x14ac:dyDescent="0.25">
      <c r="A58" s="210">
        <v>2149</v>
      </c>
      <c r="B58" s="211" t="s">
        <v>294</v>
      </c>
      <c r="C58" s="301">
        <v>0</v>
      </c>
      <c r="D58" s="259">
        <v>0</v>
      </c>
      <c r="E58" s="120">
        <v>0</v>
      </c>
      <c r="F58" s="120">
        <v>0</v>
      </c>
      <c r="G58" s="120">
        <v>0</v>
      </c>
      <c r="H58" s="120">
        <v>0</v>
      </c>
      <c r="I58" s="120">
        <v>0</v>
      </c>
      <c r="J58" s="120">
        <v>0</v>
      </c>
      <c r="K58" s="223">
        <f t="shared" si="9"/>
        <v>0</v>
      </c>
      <c r="L58" s="224">
        <f t="shared" si="8"/>
        <v>0</v>
      </c>
      <c r="M58" s="304"/>
      <c r="N58" s="262"/>
      <c r="O58" s="263"/>
    </row>
    <row r="59" spans="1:15" ht="15" customHeight="1" x14ac:dyDescent="0.25">
      <c r="A59" s="210">
        <v>2211</v>
      </c>
      <c r="B59" s="211" t="s">
        <v>295</v>
      </c>
      <c r="C59" s="301">
        <v>0</v>
      </c>
      <c r="D59" s="259">
        <v>0</v>
      </c>
      <c r="E59" s="120"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223">
        <f t="shared" si="9"/>
        <v>0</v>
      </c>
      <c r="L59" s="224">
        <f t="shared" si="8"/>
        <v>0</v>
      </c>
      <c r="M59" s="304"/>
      <c r="N59" s="262"/>
      <c r="O59" s="263"/>
    </row>
    <row r="60" spans="1:15" ht="30" x14ac:dyDescent="0.25">
      <c r="A60" s="210">
        <v>2212</v>
      </c>
      <c r="B60" s="211" t="s">
        <v>296</v>
      </c>
      <c r="C60" s="301">
        <v>0</v>
      </c>
      <c r="D60" s="259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223">
        <f t="shared" si="9"/>
        <v>0</v>
      </c>
      <c r="L60" s="224">
        <f t="shared" si="8"/>
        <v>0</v>
      </c>
      <c r="M60" s="304"/>
      <c r="N60" s="262"/>
      <c r="O60" s="263"/>
    </row>
    <row r="61" spans="1:15" ht="15" x14ac:dyDescent="0.25">
      <c r="A61" s="210">
        <v>2213</v>
      </c>
      <c r="B61" s="211" t="s">
        <v>297</v>
      </c>
      <c r="C61" s="301">
        <v>21</v>
      </c>
      <c r="D61" s="259">
        <v>7</v>
      </c>
      <c r="E61" s="120">
        <v>0</v>
      </c>
      <c r="F61" s="120">
        <v>0</v>
      </c>
      <c r="G61" s="120">
        <v>0</v>
      </c>
      <c r="H61" s="120">
        <v>0</v>
      </c>
      <c r="I61" s="120">
        <v>0</v>
      </c>
      <c r="J61" s="120">
        <v>0</v>
      </c>
      <c r="K61" s="223">
        <f t="shared" si="9"/>
        <v>21</v>
      </c>
      <c r="L61" s="224">
        <f t="shared" si="8"/>
        <v>7</v>
      </c>
      <c r="M61" s="304"/>
      <c r="N61" s="262"/>
      <c r="O61" s="263"/>
    </row>
    <row r="62" spans="1:15" ht="15" x14ac:dyDescent="0.25">
      <c r="A62" s="210">
        <v>2221</v>
      </c>
      <c r="B62" s="211" t="s">
        <v>298</v>
      </c>
      <c r="C62" s="301">
        <v>5</v>
      </c>
      <c r="D62" s="259">
        <v>9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223">
        <f t="shared" si="9"/>
        <v>5</v>
      </c>
      <c r="L62" s="224">
        <f t="shared" si="8"/>
        <v>9</v>
      </c>
      <c r="M62" s="304"/>
      <c r="N62" s="262"/>
      <c r="O62" s="263"/>
    </row>
    <row r="63" spans="1:15" ht="15" x14ac:dyDescent="0.25">
      <c r="A63" s="210">
        <v>2222</v>
      </c>
      <c r="B63" s="211" t="s">
        <v>299</v>
      </c>
      <c r="C63" s="301">
        <v>0</v>
      </c>
      <c r="D63" s="259">
        <v>0</v>
      </c>
      <c r="E63" s="120"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223">
        <f t="shared" si="9"/>
        <v>0</v>
      </c>
      <c r="L63" s="224">
        <f t="shared" si="8"/>
        <v>0</v>
      </c>
      <c r="M63" s="304"/>
      <c r="N63" s="262"/>
      <c r="O63" s="263"/>
    </row>
    <row r="64" spans="1:15" ht="15" x14ac:dyDescent="0.25">
      <c r="A64" s="210">
        <v>2230</v>
      </c>
      <c r="B64" s="211" t="s">
        <v>300</v>
      </c>
      <c r="C64" s="301">
        <v>40</v>
      </c>
      <c r="D64" s="259">
        <v>254</v>
      </c>
      <c r="E64" s="120"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223">
        <f t="shared" si="9"/>
        <v>40</v>
      </c>
      <c r="L64" s="224">
        <f t="shared" si="8"/>
        <v>254</v>
      </c>
      <c r="M64" s="304"/>
      <c r="N64" s="262"/>
      <c r="O64" s="263"/>
    </row>
    <row r="65" spans="1:15" ht="30" x14ac:dyDescent="0.25">
      <c r="A65" s="210">
        <v>2310</v>
      </c>
      <c r="B65" s="211" t="s">
        <v>301</v>
      </c>
      <c r="C65" s="301">
        <v>0</v>
      </c>
      <c r="D65" s="259">
        <v>2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223">
        <f t="shared" si="9"/>
        <v>0</v>
      </c>
      <c r="L65" s="224">
        <f t="shared" si="8"/>
        <v>2</v>
      </c>
      <c r="M65" s="304"/>
      <c r="N65" s="262"/>
      <c r="O65" s="263"/>
    </row>
    <row r="66" spans="1:15" ht="30" x14ac:dyDescent="0.25">
      <c r="A66" s="210">
        <v>2320</v>
      </c>
      <c r="B66" s="211" t="s">
        <v>302</v>
      </c>
      <c r="C66" s="301">
        <v>77</v>
      </c>
      <c r="D66" s="259">
        <v>203</v>
      </c>
      <c r="E66" s="120"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223">
        <f t="shared" si="9"/>
        <v>77</v>
      </c>
      <c r="L66" s="224">
        <f t="shared" si="8"/>
        <v>203</v>
      </c>
      <c r="M66" s="304"/>
      <c r="N66" s="262"/>
      <c r="O66" s="263"/>
    </row>
    <row r="67" spans="1:15" ht="15" x14ac:dyDescent="0.25">
      <c r="A67" s="210">
        <v>2330</v>
      </c>
      <c r="B67" s="211" t="s">
        <v>303</v>
      </c>
      <c r="C67" s="301">
        <v>0</v>
      </c>
      <c r="D67" s="259">
        <v>0</v>
      </c>
      <c r="E67" s="120"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223">
        <f t="shared" si="9"/>
        <v>0</v>
      </c>
      <c r="L67" s="224">
        <f t="shared" si="8"/>
        <v>0</v>
      </c>
      <c r="M67" s="304"/>
      <c r="N67" s="262"/>
      <c r="O67" s="263"/>
    </row>
    <row r="68" spans="1:15" ht="15" x14ac:dyDescent="0.25">
      <c r="A68" s="210">
        <v>2331</v>
      </c>
      <c r="B68" s="211" t="s">
        <v>304</v>
      </c>
      <c r="C68" s="301">
        <v>11</v>
      </c>
      <c r="D68" s="259">
        <v>45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223">
        <f t="shared" si="9"/>
        <v>11</v>
      </c>
      <c r="L68" s="224">
        <f t="shared" si="8"/>
        <v>45</v>
      </c>
      <c r="M68" s="304"/>
      <c r="N68" s="262"/>
      <c r="O68" s="263"/>
    </row>
    <row r="69" spans="1:15" ht="30" x14ac:dyDescent="0.25">
      <c r="A69" s="210">
        <v>2332</v>
      </c>
      <c r="B69" s="211" t="s">
        <v>305</v>
      </c>
      <c r="C69" s="301">
        <v>1</v>
      </c>
      <c r="D69" s="259">
        <v>47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223">
        <f t="shared" si="9"/>
        <v>1</v>
      </c>
      <c r="L69" s="224">
        <f t="shared" si="8"/>
        <v>47</v>
      </c>
      <c r="M69" s="304"/>
      <c r="N69" s="262"/>
      <c r="O69" s="263"/>
    </row>
    <row r="70" spans="1:15" ht="15" x14ac:dyDescent="0.25">
      <c r="A70" s="210">
        <v>2340</v>
      </c>
      <c r="B70" s="211" t="s">
        <v>306</v>
      </c>
      <c r="C70" s="301">
        <v>0</v>
      </c>
      <c r="D70" s="259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223">
        <f t="shared" si="9"/>
        <v>0</v>
      </c>
      <c r="L70" s="224">
        <f t="shared" si="8"/>
        <v>0</v>
      </c>
      <c r="M70" s="304"/>
      <c r="N70" s="262"/>
      <c r="O70" s="263"/>
    </row>
    <row r="71" spans="1:15" ht="15" x14ac:dyDescent="0.25">
      <c r="A71" s="210">
        <v>2351</v>
      </c>
      <c r="B71" s="211" t="s">
        <v>307</v>
      </c>
      <c r="C71" s="301">
        <v>0</v>
      </c>
      <c r="D71" s="259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223">
        <f t="shared" si="9"/>
        <v>0</v>
      </c>
      <c r="L71" s="224">
        <f t="shared" si="8"/>
        <v>0</v>
      </c>
      <c r="M71" s="304"/>
      <c r="N71" s="262"/>
      <c r="O71" s="263"/>
    </row>
    <row r="72" spans="1:15" ht="15" x14ac:dyDescent="0.25">
      <c r="A72" s="210">
        <v>2352</v>
      </c>
      <c r="B72" s="211" t="s">
        <v>308</v>
      </c>
      <c r="C72" s="301">
        <v>0</v>
      </c>
      <c r="D72" s="259">
        <v>0</v>
      </c>
      <c r="E72" s="120"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223">
        <f t="shared" si="9"/>
        <v>0</v>
      </c>
      <c r="L72" s="224">
        <f t="shared" si="8"/>
        <v>0</v>
      </c>
      <c r="M72" s="304"/>
      <c r="N72" s="262"/>
      <c r="O72" s="263"/>
    </row>
    <row r="73" spans="1:15" ht="15" x14ac:dyDescent="0.25">
      <c r="A73" s="210">
        <v>2411</v>
      </c>
      <c r="B73" s="211" t="s">
        <v>309</v>
      </c>
      <c r="C73" s="301">
        <v>40</v>
      </c>
      <c r="D73" s="259">
        <v>46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223">
        <f t="shared" si="9"/>
        <v>40</v>
      </c>
      <c r="L73" s="224">
        <f t="shared" si="8"/>
        <v>46</v>
      </c>
      <c r="M73" s="304"/>
      <c r="N73" s="262"/>
      <c r="O73" s="263"/>
    </row>
    <row r="74" spans="1:15" ht="15" x14ac:dyDescent="0.25">
      <c r="A74" s="210">
        <v>2412</v>
      </c>
      <c r="B74" s="211" t="s">
        <v>310</v>
      </c>
      <c r="C74" s="301">
        <v>8</v>
      </c>
      <c r="D74" s="259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223">
        <f t="shared" si="9"/>
        <v>8</v>
      </c>
      <c r="L74" s="224">
        <f t="shared" si="8"/>
        <v>0</v>
      </c>
      <c r="M74" s="304"/>
      <c r="N74" s="262"/>
      <c r="O74" s="263"/>
    </row>
    <row r="75" spans="1:15" ht="45" x14ac:dyDescent="0.25">
      <c r="A75" s="210">
        <v>2419</v>
      </c>
      <c r="B75" s="211" t="s">
        <v>311</v>
      </c>
      <c r="C75" s="301">
        <v>65</v>
      </c>
      <c r="D75" s="259">
        <v>66</v>
      </c>
      <c r="E75" s="120">
        <v>0</v>
      </c>
      <c r="F75" s="120">
        <v>0</v>
      </c>
      <c r="G75" s="120">
        <v>0</v>
      </c>
      <c r="H75" s="120">
        <v>0</v>
      </c>
      <c r="I75" s="120">
        <v>0</v>
      </c>
      <c r="J75" s="120">
        <v>0</v>
      </c>
      <c r="K75" s="223">
        <f t="shared" si="9"/>
        <v>65</v>
      </c>
      <c r="L75" s="224">
        <f t="shared" si="8"/>
        <v>66</v>
      </c>
      <c r="M75" s="304"/>
      <c r="N75" s="262"/>
      <c r="O75" s="263"/>
    </row>
    <row r="76" spans="1:15" ht="15" x14ac:dyDescent="0.25">
      <c r="A76" s="210">
        <v>2421</v>
      </c>
      <c r="B76" s="211" t="s">
        <v>312</v>
      </c>
      <c r="C76" s="301">
        <v>14</v>
      </c>
      <c r="D76" s="259">
        <v>25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223">
        <f t="shared" si="9"/>
        <v>14</v>
      </c>
      <c r="L76" s="224">
        <f t="shared" si="8"/>
        <v>25</v>
      </c>
      <c r="M76" s="304"/>
      <c r="N76" s="262"/>
      <c r="O76" s="263"/>
    </row>
    <row r="77" spans="1:15" ht="15" x14ac:dyDescent="0.25">
      <c r="A77" s="210">
        <v>2422</v>
      </c>
      <c r="B77" s="211" t="s">
        <v>313</v>
      </c>
      <c r="C77" s="301">
        <v>1</v>
      </c>
      <c r="D77" s="259">
        <v>5</v>
      </c>
      <c r="E77" s="120">
        <v>0</v>
      </c>
      <c r="F77" s="120">
        <v>0</v>
      </c>
      <c r="G77" s="120">
        <v>0</v>
      </c>
      <c r="H77" s="120">
        <v>0</v>
      </c>
      <c r="I77" s="120">
        <v>0</v>
      </c>
      <c r="J77" s="120">
        <v>0</v>
      </c>
      <c r="K77" s="223">
        <f t="shared" si="9"/>
        <v>1</v>
      </c>
      <c r="L77" s="224">
        <f t="shared" si="8"/>
        <v>5</v>
      </c>
      <c r="M77" s="304"/>
      <c r="N77" s="262"/>
      <c r="O77" s="263"/>
    </row>
    <row r="78" spans="1:15" ht="15" x14ac:dyDescent="0.25">
      <c r="A78" s="210">
        <v>2429</v>
      </c>
      <c r="B78" s="211" t="s">
        <v>314</v>
      </c>
      <c r="C78" s="301">
        <v>0</v>
      </c>
      <c r="D78" s="259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223">
        <f t="shared" si="9"/>
        <v>0</v>
      </c>
      <c r="L78" s="224">
        <f t="shared" si="8"/>
        <v>0</v>
      </c>
      <c r="M78" s="304"/>
      <c r="N78" s="262"/>
      <c r="O78" s="263"/>
    </row>
    <row r="79" spans="1:15" ht="15" x14ac:dyDescent="0.25">
      <c r="A79" s="210">
        <v>2431</v>
      </c>
      <c r="B79" s="211" t="s">
        <v>315</v>
      </c>
      <c r="C79" s="301">
        <v>0</v>
      </c>
      <c r="D79" s="259">
        <v>0</v>
      </c>
      <c r="E79" s="120">
        <v>0</v>
      </c>
      <c r="F79" s="120">
        <v>0</v>
      </c>
      <c r="G79" s="120">
        <v>0</v>
      </c>
      <c r="H79" s="120">
        <v>0</v>
      </c>
      <c r="I79" s="120">
        <v>0</v>
      </c>
      <c r="J79" s="120">
        <v>0</v>
      </c>
      <c r="K79" s="223">
        <f t="shared" si="9"/>
        <v>0</v>
      </c>
      <c r="L79" s="224">
        <f t="shared" si="8"/>
        <v>0</v>
      </c>
      <c r="M79" s="304"/>
      <c r="N79" s="262"/>
      <c r="O79" s="263"/>
    </row>
    <row r="80" spans="1:15" ht="30" x14ac:dyDescent="0.25">
      <c r="A80" s="210">
        <v>2432</v>
      </c>
      <c r="B80" s="211" t="s">
        <v>316</v>
      </c>
      <c r="C80" s="301">
        <v>0</v>
      </c>
      <c r="D80" s="259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0</v>
      </c>
      <c r="J80" s="120">
        <v>0</v>
      </c>
      <c r="K80" s="223">
        <f t="shared" si="9"/>
        <v>0</v>
      </c>
      <c r="L80" s="224">
        <f t="shared" si="8"/>
        <v>0</v>
      </c>
      <c r="M80" s="304"/>
      <c r="N80" s="262"/>
      <c r="O80" s="263"/>
    </row>
    <row r="81" spans="1:15" ht="15" x14ac:dyDescent="0.25">
      <c r="A81" s="210">
        <v>2441</v>
      </c>
      <c r="B81" s="211" t="s">
        <v>317</v>
      </c>
      <c r="C81" s="301">
        <v>10</v>
      </c>
      <c r="D81" s="259">
        <v>6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223">
        <f t="shared" si="9"/>
        <v>10</v>
      </c>
      <c r="L81" s="224">
        <f t="shared" si="8"/>
        <v>6</v>
      </c>
      <c r="M81" s="304"/>
      <c r="N81" s="262"/>
      <c r="O81" s="263"/>
    </row>
    <row r="82" spans="1:15" ht="30" x14ac:dyDescent="0.25">
      <c r="A82" s="210">
        <v>2442</v>
      </c>
      <c r="B82" s="211" t="s">
        <v>318</v>
      </c>
      <c r="C82" s="301">
        <v>1</v>
      </c>
      <c r="D82" s="259">
        <v>0</v>
      </c>
      <c r="E82" s="120">
        <v>0</v>
      </c>
      <c r="F82" s="120">
        <v>0</v>
      </c>
      <c r="G82" s="120">
        <v>0</v>
      </c>
      <c r="H82" s="120">
        <v>0</v>
      </c>
      <c r="I82" s="120">
        <v>0</v>
      </c>
      <c r="J82" s="120">
        <v>0</v>
      </c>
      <c r="K82" s="223">
        <f t="shared" si="9"/>
        <v>1</v>
      </c>
      <c r="L82" s="224">
        <f t="shared" si="8"/>
        <v>0</v>
      </c>
      <c r="M82" s="304"/>
      <c r="N82" s="262"/>
      <c r="O82" s="263"/>
    </row>
    <row r="83" spans="1:15" ht="15" x14ac:dyDescent="0.25">
      <c r="A83" s="210">
        <v>2443</v>
      </c>
      <c r="B83" s="211" t="s">
        <v>319</v>
      </c>
      <c r="C83" s="301">
        <v>0</v>
      </c>
      <c r="D83" s="259">
        <v>0</v>
      </c>
      <c r="E83" s="120">
        <v>0</v>
      </c>
      <c r="F83" s="120">
        <v>0</v>
      </c>
      <c r="G83" s="120">
        <v>0</v>
      </c>
      <c r="H83" s="120">
        <v>0</v>
      </c>
      <c r="I83" s="120">
        <v>0</v>
      </c>
      <c r="J83" s="120">
        <v>0</v>
      </c>
      <c r="K83" s="223">
        <f t="shared" si="9"/>
        <v>0</v>
      </c>
      <c r="L83" s="224">
        <f t="shared" si="8"/>
        <v>0</v>
      </c>
      <c r="M83" s="304"/>
      <c r="N83" s="262"/>
      <c r="O83" s="263"/>
    </row>
    <row r="84" spans="1:15" ht="30" x14ac:dyDescent="0.25">
      <c r="A84" s="210">
        <v>2444</v>
      </c>
      <c r="B84" s="211" t="s">
        <v>320</v>
      </c>
      <c r="C84" s="301">
        <v>0</v>
      </c>
      <c r="D84" s="259">
        <v>6</v>
      </c>
      <c r="E84" s="120">
        <v>0</v>
      </c>
      <c r="F84" s="120">
        <v>0</v>
      </c>
      <c r="G84" s="120">
        <v>0</v>
      </c>
      <c r="H84" s="120">
        <v>0</v>
      </c>
      <c r="I84" s="120">
        <v>0</v>
      </c>
      <c r="J84" s="120">
        <v>0</v>
      </c>
      <c r="K84" s="223">
        <f t="shared" si="9"/>
        <v>0</v>
      </c>
      <c r="L84" s="224">
        <f t="shared" si="8"/>
        <v>6</v>
      </c>
      <c r="M84" s="304"/>
      <c r="N84" s="262"/>
      <c r="O84" s="263"/>
    </row>
    <row r="85" spans="1:15" ht="15" x14ac:dyDescent="0.25">
      <c r="A85" s="210">
        <v>2445</v>
      </c>
      <c r="B85" s="211" t="s">
        <v>321</v>
      </c>
      <c r="C85" s="301">
        <v>12</v>
      </c>
      <c r="D85" s="259">
        <v>8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223">
        <f t="shared" si="9"/>
        <v>12</v>
      </c>
      <c r="L85" s="224">
        <f t="shared" si="8"/>
        <v>8</v>
      </c>
      <c r="M85" s="304"/>
      <c r="N85" s="262"/>
      <c r="O85" s="263"/>
    </row>
    <row r="86" spans="1:15" ht="15" x14ac:dyDescent="0.25">
      <c r="A86" s="210">
        <v>2446</v>
      </c>
      <c r="B86" s="211" t="s">
        <v>322</v>
      </c>
      <c r="C86" s="301">
        <v>0</v>
      </c>
      <c r="D86" s="259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223">
        <f t="shared" si="9"/>
        <v>0</v>
      </c>
      <c r="L86" s="224">
        <f t="shared" si="8"/>
        <v>0</v>
      </c>
      <c r="M86" s="304"/>
      <c r="N86" s="262"/>
      <c r="O86" s="263"/>
    </row>
    <row r="87" spans="1:15" ht="19.5" customHeight="1" x14ac:dyDescent="0.25">
      <c r="A87" s="210">
        <v>2451</v>
      </c>
      <c r="B87" s="211" t="s">
        <v>323</v>
      </c>
      <c r="C87" s="301">
        <v>0</v>
      </c>
      <c r="D87" s="259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223">
        <f t="shared" si="9"/>
        <v>0</v>
      </c>
      <c r="L87" s="224">
        <f t="shared" si="8"/>
        <v>0</v>
      </c>
      <c r="M87" s="304"/>
      <c r="N87" s="262"/>
      <c r="O87" s="263"/>
    </row>
    <row r="88" spans="1:15" ht="15" x14ac:dyDescent="0.25">
      <c r="A88" s="210">
        <v>2452</v>
      </c>
      <c r="B88" s="211" t="s">
        <v>324</v>
      </c>
      <c r="C88" s="301">
        <v>13</v>
      </c>
      <c r="D88" s="259">
        <v>42</v>
      </c>
      <c r="E88" s="120">
        <v>0</v>
      </c>
      <c r="F88" s="120">
        <v>0</v>
      </c>
      <c r="G88" s="120">
        <v>0</v>
      </c>
      <c r="H88" s="120">
        <v>0</v>
      </c>
      <c r="I88" s="120">
        <v>0</v>
      </c>
      <c r="J88" s="120">
        <v>0</v>
      </c>
      <c r="K88" s="223">
        <f t="shared" si="9"/>
        <v>13</v>
      </c>
      <c r="L88" s="224">
        <f t="shared" si="8"/>
        <v>42</v>
      </c>
      <c r="M88" s="304"/>
      <c r="N88" s="262"/>
      <c r="O88" s="263"/>
    </row>
    <row r="89" spans="1:15" ht="15" x14ac:dyDescent="0.25">
      <c r="A89" s="210">
        <v>2453</v>
      </c>
      <c r="B89" s="211" t="s">
        <v>325</v>
      </c>
      <c r="C89" s="301">
        <v>0</v>
      </c>
      <c r="D89" s="259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223">
        <f t="shared" si="9"/>
        <v>0</v>
      </c>
      <c r="L89" s="224">
        <f t="shared" si="8"/>
        <v>0</v>
      </c>
      <c r="M89" s="304"/>
      <c r="N89" s="262"/>
      <c r="O89" s="263"/>
    </row>
    <row r="90" spans="1:15" ht="15" x14ac:dyDescent="0.25">
      <c r="A90" s="210">
        <v>2454</v>
      </c>
      <c r="B90" s="211" t="s">
        <v>326</v>
      </c>
      <c r="C90" s="301">
        <v>0</v>
      </c>
      <c r="D90" s="259">
        <v>0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223">
        <f t="shared" si="9"/>
        <v>0</v>
      </c>
      <c r="L90" s="224">
        <f t="shared" si="8"/>
        <v>0</v>
      </c>
      <c r="M90" s="304"/>
      <c r="N90" s="262"/>
      <c r="O90" s="263"/>
    </row>
    <row r="91" spans="1:15" ht="30" x14ac:dyDescent="0.25">
      <c r="A91" s="210">
        <v>2455</v>
      </c>
      <c r="B91" s="211" t="s">
        <v>327</v>
      </c>
      <c r="C91" s="301">
        <v>0</v>
      </c>
      <c r="D91" s="259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223">
        <f t="shared" si="9"/>
        <v>0</v>
      </c>
      <c r="L91" s="224">
        <f t="shared" si="8"/>
        <v>0</v>
      </c>
      <c r="M91" s="304"/>
      <c r="N91" s="262"/>
      <c r="O91" s="263"/>
    </row>
    <row r="92" spans="1:15" ht="15.75" thickBot="1" x14ac:dyDescent="0.3">
      <c r="A92" s="204">
        <v>2460</v>
      </c>
      <c r="B92" s="205" t="s">
        <v>328</v>
      </c>
      <c r="C92" s="300">
        <v>0</v>
      </c>
      <c r="D92" s="257">
        <v>0</v>
      </c>
      <c r="E92" s="209">
        <v>0</v>
      </c>
      <c r="F92" s="209">
        <v>0</v>
      </c>
      <c r="G92" s="209">
        <v>0</v>
      </c>
      <c r="H92" s="209">
        <v>0</v>
      </c>
      <c r="I92" s="209">
        <v>0</v>
      </c>
      <c r="J92" s="209">
        <v>0</v>
      </c>
      <c r="K92" s="221">
        <f t="shared" si="9"/>
        <v>0</v>
      </c>
      <c r="L92" s="225">
        <f t="shared" si="8"/>
        <v>0</v>
      </c>
      <c r="M92" s="304"/>
      <c r="N92" s="262"/>
      <c r="O92" s="263"/>
    </row>
    <row r="93" spans="1:15" ht="15.75" thickBot="1" x14ac:dyDescent="0.3">
      <c r="A93" s="260">
        <v>3</v>
      </c>
      <c r="B93" s="255" t="s">
        <v>329</v>
      </c>
      <c r="C93" s="218"/>
      <c r="D93" s="299"/>
      <c r="E93" s="218"/>
      <c r="F93" s="218"/>
      <c r="G93" s="218"/>
      <c r="H93" s="218"/>
      <c r="I93" s="218"/>
      <c r="J93" s="218"/>
      <c r="K93" s="226"/>
      <c r="L93" s="227"/>
      <c r="M93" s="304"/>
      <c r="N93" s="262"/>
      <c r="O93" s="263"/>
    </row>
    <row r="94" spans="1:15" ht="15" x14ac:dyDescent="0.25">
      <c r="A94" s="204">
        <v>3111</v>
      </c>
      <c r="B94" s="205" t="s">
        <v>330</v>
      </c>
      <c r="C94" s="300">
        <v>0</v>
      </c>
      <c r="D94" s="257">
        <v>0</v>
      </c>
      <c r="E94" s="209">
        <v>0</v>
      </c>
      <c r="F94" s="209">
        <v>0</v>
      </c>
      <c r="G94" s="209">
        <v>0</v>
      </c>
      <c r="H94" s="209">
        <v>0</v>
      </c>
      <c r="I94" s="209">
        <v>0</v>
      </c>
      <c r="J94" s="209">
        <v>0</v>
      </c>
      <c r="K94" s="221">
        <f t="shared" ref="K94:L96" si="10">C94+E94-G94-I94</f>
        <v>0</v>
      </c>
      <c r="L94" s="225">
        <f t="shared" si="10"/>
        <v>0</v>
      </c>
      <c r="M94" s="304"/>
      <c r="N94" s="262"/>
      <c r="O94" s="263"/>
    </row>
    <row r="95" spans="1:15" ht="15" x14ac:dyDescent="0.25">
      <c r="A95" s="210">
        <v>3112</v>
      </c>
      <c r="B95" s="211" t="s">
        <v>331</v>
      </c>
      <c r="C95" s="301">
        <v>9</v>
      </c>
      <c r="D95" s="259">
        <v>17</v>
      </c>
      <c r="E95" s="120">
        <v>0</v>
      </c>
      <c r="F95" s="120">
        <v>0</v>
      </c>
      <c r="G95" s="120">
        <v>0</v>
      </c>
      <c r="H95" s="120">
        <v>0</v>
      </c>
      <c r="I95" s="120">
        <v>0</v>
      </c>
      <c r="J95" s="120">
        <v>0</v>
      </c>
      <c r="K95" s="223">
        <f t="shared" si="10"/>
        <v>9</v>
      </c>
      <c r="L95" s="224">
        <f t="shared" si="10"/>
        <v>17</v>
      </c>
      <c r="M95" s="304"/>
      <c r="N95" s="262"/>
      <c r="O95" s="263"/>
    </row>
    <row r="96" spans="1:15" ht="15" x14ac:dyDescent="0.25">
      <c r="A96" s="210">
        <v>3113</v>
      </c>
      <c r="B96" s="211" t="s">
        <v>332</v>
      </c>
      <c r="C96" s="301">
        <v>2</v>
      </c>
      <c r="D96" s="259">
        <v>0</v>
      </c>
      <c r="E96" s="120">
        <v>0</v>
      </c>
      <c r="F96" s="120">
        <v>0</v>
      </c>
      <c r="G96" s="120">
        <v>0</v>
      </c>
      <c r="H96" s="120">
        <v>0</v>
      </c>
      <c r="I96" s="120">
        <v>0</v>
      </c>
      <c r="J96" s="120">
        <v>0</v>
      </c>
      <c r="K96" s="223">
        <f t="shared" si="10"/>
        <v>2</v>
      </c>
      <c r="L96" s="224">
        <f t="shared" si="10"/>
        <v>0</v>
      </c>
      <c r="M96" s="304"/>
      <c r="N96" s="262"/>
      <c r="O96" s="263"/>
    </row>
    <row r="97" spans="1:15" ht="30" x14ac:dyDescent="0.25">
      <c r="A97" s="210">
        <v>3114</v>
      </c>
      <c r="B97" s="211" t="s">
        <v>333</v>
      </c>
      <c r="C97" s="301">
        <v>3</v>
      </c>
      <c r="D97" s="259">
        <v>0</v>
      </c>
      <c r="E97" s="120">
        <v>0</v>
      </c>
      <c r="F97" s="120">
        <v>0</v>
      </c>
      <c r="G97" s="120">
        <v>0</v>
      </c>
      <c r="H97" s="120">
        <v>0</v>
      </c>
      <c r="I97" s="120">
        <v>0</v>
      </c>
      <c r="J97" s="120">
        <v>0</v>
      </c>
      <c r="K97" s="223">
        <f t="shared" ref="K97:K105" si="11">C97+E97-G97-I97</f>
        <v>3</v>
      </c>
      <c r="L97" s="224">
        <f t="shared" ref="L97:L105" si="12">D97+F97-H97-J97</f>
        <v>0</v>
      </c>
      <c r="M97" s="304"/>
      <c r="N97" s="262"/>
      <c r="O97" s="263"/>
    </row>
    <row r="98" spans="1:15" ht="15" x14ac:dyDescent="0.25">
      <c r="A98" s="210">
        <v>3115</v>
      </c>
      <c r="B98" s="211" t="s">
        <v>334</v>
      </c>
      <c r="C98" s="301">
        <v>179</v>
      </c>
      <c r="D98" s="259">
        <v>0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0</v>
      </c>
      <c r="K98" s="223">
        <f t="shared" si="11"/>
        <v>179</v>
      </c>
      <c r="L98" s="224">
        <f t="shared" si="12"/>
        <v>0</v>
      </c>
      <c r="M98" s="304"/>
      <c r="N98" s="262"/>
      <c r="O98" s="263"/>
    </row>
    <row r="99" spans="1:15" ht="15" x14ac:dyDescent="0.25">
      <c r="A99" s="210">
        <v>3116</v>
      </c>
      <c r="B99" s="211" t="s">
        <v>335</v>
      </c>
      <c r="C99" s="301">
        <v>34</v>
      </c>
      <c r="D99" s="259">
        <v>53</v>
      </c>
      <c r="E99" s="120">
        <v>0</v>
      </c>
      <c r="F99" s="120">
        <v>0</v>
      </c>
      <c r="G99" s="120">
        <v>0</v>
      </c>
      <c r="H99" s="120">
        <v>0</v>
      </c>
      <c r="I99" s="120">
        <v>0</v>
      </c>
      <c r="J99" s="120">
        <v>0</v>
      </c>
      <c r="K99" s="223">
        <f t="shared" si="11"/>
        <v>34</v>
      </c>
      <c r="L99" s="224">
        <f t="shared" si="12"/>
        <v>53</v>
      </c>
      <c r="M99" s="304"/>
      <c r="N99" s="262"/>
      <c r="O99" s="263"/>
    </row>
    <row r="100" spans="1:15" ht="15" x14ac:dyDescent="0.25">
      <c r="A100" s="210">
        <v>3117</v>
      </c>
      <c r="B100" s="211" t="s">
        <v>336</v>
      </c>
      <c r="C100" s="301">
        <v>55</v>
      </c>
      <c r="D100" s="259">
        <v>11</v>
      </c>
      <c r="E100" s="120">
        <v>0</v>
      </c>
      <c r="F100" s="120">
        <v>0</v>
      </c>
      <c r="G100" s="120">
        <v>0</v>
      </c>
      <c r="H100" s="120">
        <v>0</v>
      </c>
      <c r="I100" s="120">
        <v>0</v>
      </c>
      <c r="J100" s="120">
        <v>0</v>
      </c>
      <c r="K100" s="223">
        <f t="shared" si="11"/>
        <v>55</v>
      </c>
      <c r="L100" s="224">
        <f t="shared" si="12"/>
        <v>11</v>
      </c>
      <c r="M100" s="304"/>
      <c r="N100" s="262"/>
      <c r="O100" s="263"/>
    </row>
    <row r="101" spans="1:15" ht="15" x14ac:dyDescent="0.25">
      <c r="A101" s="210">
        <v>3118</v>
      </c>
      <c r="B101" s="211" t="s">
        <v>337</v>
      </c>
      <c r="C101" s="301">
        <v>1</v>
      </c>
      <c r="D101" s="259">
        <v>1</v>
      </c>
      <c r="E101" s="120">
        <v>0</v>
      </c>
      <c r="F101" s="120">
        <v>0</v>
      </c>
      <c r="G101" s="120">
        <v>0</v>
      </c>
      <c r="H101" s="120">
        <v>0</v>
      </c>
      <c r="I101" s="120">
        <v>0</v>
      </c>
      <c r="J101" s="120">
        <v>0</v>
      </c>
      <c r="K101" s="223">
        <f t="shared" si="11"/>
        <v>1</v>
      </c>
      <c r="L101" s="224">
        <f t="shared" si="12"/>
        <v>1</v>
      </c>
      <c r="M101" s="304"/>
      <c r="N101" s="262"/>
      <c r="O101" s="263"/>
    </row>
    <row r="102" spans="1:15" ht="30" x14ac:dyDescent="0.25">
      <c r="A102" s="210">
        <v>3119</v>
      </c>
      <c r="B102" s="211" t="s">
        <v>338</v>
      </c>
      <c r="C102" s="301">
        <v>1</v>
      </c>
      <c r="D102" s="259">
        <v>6</v>
      </c>
      <c r="E102" s="120">
        <v>0</v>
      </c>
      <c r="F102" s="120">
        <v>0</v>
      </c>
      <c r="G102" s="120">
        <v>0</v>
      </c>
      <c r="H102" s="120">
        <v>0</v>
      </c>
      <c r="I102" s="120">
        <v>0</v>
      </c>
      <c r="J102" s="120">
        <v>0</v>
      </c>
      <c r="K102" s="223">
        <f t="shared" si="11"/>
        <v>1</v>
      </c>
      <c r="L102" s="224">
        <f t="shared" si="12"/>
        <v>6</v>
      </c>
      <c r="M102" s="304"/>
      <c r="N102" s="262"/>
      <c r="O102" s="263"/>
    </row>
    <row r="103" spans="1:15" ht="15" x14ac:dyDescent="0.25">
      <c r="A103" s="210">
        <v>3121</v>
      </c>
      <c r="B103" s="211" t="s">
        <v>339</v>
      </c>
      <c r="C103" s="301">
        <v>25</v>
      </c>
      <c r="D103" s="259">
        <v>6</v>
      </c>
      <c r="E103" s="120">
        <v>0</v>
      </c>
      <c r="F103" s="120">
        <v>0</v>
      </c>
      <c r="G103" s="120">
        <v>0</v>
      </c>
      <c r="H103" s="120">
        <v>0</v>
      </c>
      <c r="I103" s="120">
        <v>0</v>
      </c>
      <c r="J103" s="120">
        <v>0</v>
      </c>
      <c r="K103" s="223">
        <f t="shared" si="11"/>
        <v>25</v>
      </c>
      <c r="L103" s="224">
        <f t="shared" si="12"/>
        <v>6</v>
      </c>
      <c r="M103" s="304"/>
      <c r="N103" s="262"/>
      <c r="O103" s="263"/>
    </row>
    <row r="104" spans="1:15" ht="15" x14ac:dyDescent="0.25">
      <c r="A104" s="210">
        <v>3122</v>
      </c>
      <c r="B104" s="211" t="s">
        <v>340</v>
      </c>
      <c r="C104" s="301">
        <v>11</v>
      </c>
      <c r="D104" s="259">
        <v>8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223">
        <f t="shared" si="11"/>
        <v>11</v>
      </c>
      <c r="L104" s="224">
        <f t="shared" si="12"/>
        <v>8</v>
      </c>
      <c r="M104" s="304"/>
      <c r="N104" s="262"/>
      <c r="O104" s="263"/>
    </row>
    <row r="105" spans="1:15" ht="15" x14ac:dyDescent="0.25">
      <c r="A105" s="210">
        <v>3123</v>
      </c>
      <c r="B105" s="211" t="s">
        <v>341</v>
      </c>
      <c r="C105" s="301">
        <v>0</v>
      </c>
      <c r="D105" s="259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223">
        <f t="shared" si="11"/>
        <v>0</v>
      </c>
      <c r="L105" s="224">
        <f t="shared" si="12"/>
        <v>0</v>
      </c>
      <c r="M105" s="304"/>
      <c r="N105" s="262"/>
      <c r="O105" s="263"/>
    </row>
    <row r="106" spans="1:15" ht="30" x14ac:dyDescent="0.25">
      <c r="A106" s="210">
        <v>3131</v>
      </c>
      <c r="B106" s="211" t="s">
        <v>342</v>
      </c>
      <c r="C106" s="301">
        <v>0</v>
      </c>
      <c r="D106" s="259">
        <v>0</v>
      </c>
      <c r="E106" s="120">
        <v>0</v>
      </c>
      <c r="F106" s="120">
        <v>0</v>
      </c>
      <c r="G106" s="120">
        <v>0</v>
      </c>
      <c r="H106" s="120">
        <v>0</v>
      </c>
      <c r="I106" s="120">
        <v>0</v>
      </c>
      <c r="J106" s="120">
        <v>0</v>
      </c>
      <c r="K106" s="223">
        <f t="shared" ref="K106:K135" si="13">C106+E106-G106-I106</f>
        <v>0</v>
      </c>
      <c r="L106" s="224">
        <f t="shared" ref="L106:L135" si="14">D106+F106-H106-J106</f>
        <v>0</v>
      </c>
      <c r="M106" s="304"/>
      <c r="N106" s="262"/>
      <c r="O106" s="263"/>
    </row>
    <row r="107" spans="1:15" ht="30" x14ac:dyDescent="0.25">
      <c r="A107" s="210">
        <v>3132</v>
      </c>
      <c r="B107" s="211" t="s">
        <v>343</v>
      </c>
      <c r="C107" s="301">
        <v>1</v>
      </c>
      <c r="D107" s="259">
        <v>4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223">
        <f t="shared" si="13"/>
        <v>1</v>
      </c>
      <c r="L107" s="224">
        <f t="shared" si="14"/>
        <v>4</v>
      </c>
      <c r="M107" s="304"/>
      <c r="N107" s="262"/>
      <c r="O107" s="263"/>
    </row>
    <row r="108" spans="1:15" ht="15" x14ac:dyDescent="0.25">
      <c r="A108" s="210">
        <v>3133</v>
      </c>
      <c r="B108" s="211" t="s">
        <v>344</v>
      </c>
      <c r="C108" s="301">
        <v>0</v>
      </c>
      <c r="D108" s="259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223">
        <f t="shared" si="13"/>
        <v>0</v>
      </c>
      <c r="L108" s="224">
        <f t="shared" si="14"/>
        <v>0</v>
      </c>
      <c r="M108" s="304"/>
      <c r="N108" s="262"/>
      <c r="O108" s="263"/>
    </row>
    <row r="109" spans="1:15" ht="15" x14ac:dyDescent="0.25">
      <c r="A109" s="210">
        <v>3141</v>
      </c>
      <c r="B109" s="211" t="s">
        <v>345</v>
      </c>
      <c r="C109" s="301">
        <v>4</v>
      </c>
      <c r="D109" s="259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223">
        <f t="shared" si="13"/>
        <v>4</v>
      </c>
      <c r="L109" s="224">
        <f t="shared" si="14"/>
        <v>0</v>
      </c>
      <c r="M109" s="304"/>
      <c r="N109" s="262"/>
      <c r="O109" s="263"/>
    </row>
    <row r="110" spans="1:15" ht="15" x14ac:dyDescent="0.25">
      <c r="A110" s="210">
        <v>3142</v>
      </c>
      <c r="B110" s="211" t="s">
        <v>346</v>
      </c>
      <c r="C110" s="301">
        <v>0</v>
      </c>
      <c r="D110" s="259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223">
        <f t="shared" si="13"/>
        <v>0</v>
      </c>
      <c r="L110" s="224">
        <f t="shared" si="14"/>
        <v>0</v>
      </c>
      <c r="M110" s="304"/>
      <c r="N110" s="262"/>
      <c r="O110" s="263"/>
    </row>
    <row r="111" spans="1:15" ht="18.75" customHeight="1" x14ac:dyDescent="0.25">
      <c r="A111" s="210">
        <v>3143</v>
      </c>
      <c r="B111" s="211" t="s">
        <v>347</v>
      </c>
      <c r="C111" s="301">
        <v>0</v>
      </c>
      <c r="D111" s="259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223">
        <f t="shared" si="13"/>
        <v>0</v>
      </c>
      <c r="L111" s="224">
        <f t="shared" si="14"/>
        <v>0</v>
      </c>
      <c r="M111" s="304"/>
      <c r="N111" s="262"/>
      <c r="O111" s="263"/>
    </row>
    <row r="112" spans="1:15" ht="15" x14ac:dyDescent="0.25">
      <c r="A112" s="210">
        <v>3145</v>
      </c>
      <c r="B112" s="211" t="s">
        <v>348</v>
      </c>
      <c r="C112" s="301">
        <v>0</v>
      </c>
      <c r="D112" s="259">
        <v>0</v>
      </c>
      <c r="E112" s="120">
        <v>0</v>
      </c>
      <c r="F112" s="120">
        <v>0</v>
      </c>
      <c r="G112" s="120">
        <v>0</v>
      </c>
      <c r="H112" s="120">
        <v>0</v>
      </c>
      <c r="I112" s="120">
        <v>0</v>
      </c>
      <c r="J112" s="120">
        <v>0</v>
      </c>
      <c r="K112" s="223">
        <f t="shared" si="13"/>
        <v>0</v>
      </c>
      <c r="L112" s="224">
        <f t="shared" si="14"/>
        <v>0</v>
      </c>
      <c r="M112" s="304"/>
      <c r="N112" s="262"/>
      <c r="O112" s="263"/>
    </row>
    <row r="113" spans="1:15" ht="15" x14ac:dyDescent="0.25">
      <c r="A113" s="210">
        <v>3151</v>
      </c>
      <c r="B113" s="211" t="s">
        <v>349</v>
      </c>
      <c r="C113" s="301">
        <v>4</v>
      </c>
      <c r="D113" s="259">
        <v>0</v>
      </c>
      <c r="E113" s="120">
        <v>0</v>
      </c>
      <c r="F113" s="120">
        <v>0</v>
      </c>
      <c r="G113" s="120">
        <v>0</v>
      </c>
      <c r="H113" s="120">
        <v>0</v>
      </c>
      <c r="I113" s="120">
        <v>0</v>
      </c>
      <c r="J113" s="120">
        <v>0</v>
      </c>
      <c r="K113" s="223">
        <f t="shared" si="13"/>
        <v>4</v>
      </c>
      <c r="L113" s="224">
        <f t="shared" si="14"/>
        <v>0</v>
      </c>
      <c r="M113" s="304"/>
      <c r="N113" s="262"/>
      <c r="O113" s="263"/>
    </row>
    <row r="114" spans="1:15" ht="30" x14ac:dyDescent="0.25">
      <c r="A114" s="210">
        <v>3152</v>
      </c>
      <c r="B114" s="211" t="s">
        <v>350</v>
      </c>
      <c r="C114" s="307">
        <v>8</v>
      </c>
      <c r="D114" s="308">
        <v>14</v>
      </c>
      <c r="E114" s="120">
        <v>0</v>
      </c>
      <c r="F114" s="120">
        <v>0</v>
      </c>
      <c r="G114" s="120">
        <v>0</v>
      </c>
      <c r="H114" s="120">
        <v>0</v>
      </c>
      <c r="I114" s="120">
        <v>0</v>
      </c>
      <c r="J114" s="120">
        <v>0</v>
      </c>
      <c r="K114" s="310">
        <f t="shared" si="13"/>
        <v>8</v>
      </c>
      <c r="L114" s="311">
        <f t="shared" si="14"/>
        <v>14</v>
      </c>
      <c r="M114" s="304"/>
      <c r="N114" s="262"/>
      <c r="O114" s="263"/>
    </row>
    <row r="115" spans="1:15" ht="15" x14ac:dyDescent="0.25">
      <c r="A115" s="210">
        <v>3211</v>
      </c>
      <c r="B115" s="211" t="s">
        <v>351</v>
      </c>
      <c r="C115" s="301">
        <v>0</v>
      </c>
      <c r="D115" s="259">
        <v>0</v>
      </c>
      <c r="E115" s="120">
        <v>0</v>
      </c>
      <c r="F115" s="120">
        <v>0</v>
      </c>
      <c r="G115" s="120">
        <v>0</v>
      </c>
      <c r="H115" s="120">
        <v>0</v>
      </c>
      <c r="I115" s="120">
        <v>0</v>
      </c>
      <c r="J115" s="120">
        <v>0</v>
      </c>
      <c r="K115" s="223">
        <f t="shared" si="13"/>
        <v>0</v>
      </c>
      <c r="L115" s="224">
        <f t="shared" si="14"/>
        <v>0</v>
      </c>
      <c r="M115" s="304"/>
      <c r="N115" s="262"/>
      <c r="O115" s="263"/>
    </row>
    <row r="116" spans="1:15" ht="15" x14ac:dyDescent="0.25">
      <c r="A116" s="210">
        <v>3212</v>
      </c>
      <c r="B116" s="211" t="s">
        <v>352</v>
      </c>
      <c r="C116" s="301">
        <v>192</v>
      </c>
      <c r="D116" s="259">
        <v>98</v>
      </c>
      <c r="E116" s="120">
        <v>0</v>
      </c>
      <c r="F116" s="120">
        <v>0</v>
      </c>
      <c r="G116" s="120">
        <v>0</v>
      </c>
      <c r="H116" s="120">
        <v>0</v>
      </c>
      <c r="I116" s="120">
        <v>0</v>
      </c>
      <c r="J116" s="120">
        <v>0</v>
      </c>
      <c r="K116" s="223">
        <f t="shared" si="13"/>
        <v>192</v>
      </c>
      <c r="L116" s="224">
        <f t="shared" si="14"/>
        <v>98</v>
      </c>
      <c r="M116" s="304"/>
      <c r="N116" s="262"/>
      <c r="O116" s="263"/>
    </row>
    <row r="117" spans="1:15" ht="15" x14ac:dyDescent="0.25">
      <c r="A117" s="210">
        <v>3213</v>
      </c>
      <c r="B117" s="211" t="s">
        <v>353</v>
      </c>
      <c r="C117" s="301">
        <v>0</v>
      </c>
      <c r="D117" s="259">
        <v>3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223">
        <f t="shared" si="13"/>
        <v>0</v>
      </c>
      <c r="L117" s="224">
        <f t="shared" si="14"/>
        <v>3</v>
      </c>
      <c r="M117" s="304"/>
      <c r="N117" s="262"/>
      <c r="O117" s="263"/>
    </row>
    <row r="118" spans="1:15" ht="15" x14ac:dyDescent="0.25">
      <c r="A118" s="210">
        <v>3221</v>
      </c>
      <c r="B118" s="211" t="s">
        <v>354</v>
      </c>
      <c r="C118" s="301">
        <v>0</v>
      </c>
      <c r="D118" s="259">
        <v>2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223">
        <f t="shared" si="13"/>
        <v>0</v>
      </c>
      <c r="L118" s="224">
        <f t="shared" si="14"/>
        <v>2</v>
      </c>
      <c r="M118" s="304"/>
      <c r="N118" s="262"/>
      <c r="O118" s="263"/>
    </row>
    <row r="119" spans="1:15" ht="15" x14ac:dyDescent="0.25">
      <c r="A119" s="210">
        <v>3222</v>
      </c>
      <c r="B119" s="211" t="s">
        <v>355</v>
      </c>
      <c r="C119" s="301">
        <v>0</v>
      </c>
      <c r="D119" s="259">
        <v>0</v>
      </c>
      <c r="E119" s="120">
        <v>0</v>
      </c>
      <c r="F119" s="120">
        <v>0</v>
      </c>
      <c r="G119" s="120">
        <v>0</v>
      </c>
      <c r="H119" s="120">
        <v>0</v>
      </c>
      <c r="I119" s="120">
        <v>0</v>
      </c>
      <c r="J119" s="120">
        <v>0</v>
      </c>
      <c r="K119" s="223">
        <f t="shared" si="13"/>
        <v>0</v>
      </c>
      <c r="L119" s="224">
        <f t="shared" si="14"/>
        <v>0</v>
      </c>
      <c r="M119" s="304"/>
      <c r="N119" s="262"/>
      <c r="O119" s="263"/>
    </row>
    <row r="120" spans="1:15" ht="15" x14ac:dyDescent="0.25">
      <c r="A120" s="210">
        <v>3223</v>
      </c>
      <c r="B120" s="211" t="s">
        <v>356</v>
      </c>
      <c r="C120" s="301">
        <v>4</v>
      </c>
      <c r="D120" s="259">
        <v>9</v>
      </c>
      <c r="E120" s="120">
        <v>0</v>
      </c>
      <c r="F120" s="120">
        <v>0</v>
      </c>
      <c r="G120" s="120">
        <v>0</v>
      </c>
      <c r="H120" s="120">
        <v>0</v>
      </c>
      <c r="I120" s="120">
        <v>0</v>
      </c>
      <c r="J120" s="120">
        <v>0</v>
      </c>
      <c r="K120" s="223">
        <f t="shared" si="13"/>
        <v>4</v>
      </c>
      <c r="L120" s="224">
        <f t="shared" si="14"/>
        <v>9</v>
      </c>
      <c r="M120" s="304"/>
      <c r="N120" s="262"/>
      <c r="O120" s="263"/>
    </row>
    <row r="121" spans="1:15" ht="15" x14ac:dyDescent="0.25">
      <c r="A121" s="210">
        <v>3224</v>
      </c>
      <c r="B121" s="211" t="s">
        <v>357</v>
      </c>
      <c r="C121" s="301">
        <v>0</v>
      </c>
      <c r="D121" s="259">
        <v>0</v>
      </c>
      <c r="E121" s="120">
        <v>0</v>
      </c>
      <c r="F121" s="120">
        <v>0</v>
      </c>
      <c r="G121" s="120">
        <v>0</v>
      </c>
      <c r="H121" s="120">
        <v>0</v>
      </c>
      <c r="I121" s="120">
        <v>0</v>
      </c>
      <c r="J121" s="120">
        <v>0</v>
      </c>
      <c r="K121" s="223">
        <f t="shared" si="13"/>
        <v>0</v>
      </c>
      <c r="L121" s="224">
        <f t="shared" si="14"/>
        <v>0</v>
      </c>
      <c r="M121" s="304"/>
      <c r="N121" s="262"/>
      <c r="O121" s="263"/>
    </row>
    <row r="122" spans="1:15" ht="15" x14ac:dyDescent="0.25">
      <c r="A122" s="210">
        <v>3225</v>
      </c>
      <c r="B122" s="211" t="s">
        <v>358</v>
      </c>
      <c r="C122" s="301">
        <v>0</v>
      </c>
      <c r="D122" s="259">
        <v>2</v>
      </c>
      <c r="E122" s="120">
        <v>0</v>
      </c>
      <c r="F122" s="120">
        <v>0</v>
      </c>
      <c r="G122" s="120">
        <v>0</v>
      </c>
      <c r="H122" s="120">
        <v>0</v>
      </c>
      <c r="I122" s="120">
        <v>0</v>
      </c>
      <c r="J122" s="120">
        <v>0</v>
      </c>
      <c r="K122" s="223">
        <f t="shared" si="13"/>
        <v>0</v>
      </c>
      <c r="L122" s="224">
        <f t="shared" si="14"/>
        <v>2</v>
      </c>
      <c r="M122" s="304"/>
      <c r="N122" s="262"/>
      <c r="O122" s="263"/>
    </row>
    <row r="123" spans="1:15" ht="15" x14ac:dyDescent="0.25">
      <c r="A123" s="210">
        <v>3226</v>
      </c>
      <c r="B123" s="211" t="s">
        <v>359</v>
      </c>
      <c r="C123" s="301">
        <v>2</v>
      </c>
      <c r="D123" s="259">
        <v>9</v>
      </c>
      <c r="E123" s="120">
        <v>0</v>
      </c>
      <c r="F123" s="120">
        <v>0</v>
      </c>
      <c r="G123" s="120">
        <v>0</v>
      </c>
      <c r="H123" s="120">
        <v>0</v>
      </c>
      <c r="I123" s="120">
        <v>0</v>
      </c>
      <c r="J123" s="120">
        <v>0</v>
      </c>
      <c r="K123" s="223">
        <f t="shared" si="13"/>
        <v>2</v>
      </c>
      <c r="L123" s="224">
        <f t="shared" si="14"/>
        <v>9</v>
      </c>
      <c r="M123" s="304"/>
      <c r="N123" s="262"/>
      <c r="O123" s="263"/>
    </row>
    <row r="124" spans="1:15" ht="15" x14ac:dyDescent="0.25">
      <c r="A124" s="210">
        <v>3227</v>
      </c>
      <c r="B124" s="211" t="s">
        <v>360</v>
      </c>
      <c r="C124" s="301">
        <v>0</v>
      </c>
      <c r="D124" s="259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223">
        <f t="shared" si="13"/>
        <v>0</v>
      </c>
      <c r="L124" s="224">
        <f t="shared" si="14"/>
        <v>0</v>
      </c>
      <c r="M124" s="304"/>
      <c r="N124" s="262"/>
      <c r="O124" s="263"/>
    </row>
    <row r="125" spans="1:15" ht="15" x14ac:dyDescent="0.25">
      <c r="A125" s="210">
        <v>3228</v>
      </c>
      <c r="B125" s="211" t="s">
        <v>361</v>
      </c>
      <c r="C125" s="301">
        <v>7</v>
      </c>
      <c r="D125" s="259">
        <v>22</v>
      </c>
      <c r="E125" s="120">
        <v>0</v>
      </c>
      <c r="F125" s="120">
        <v>0</v>
      </c>
      <c r="G125" s="120">
        <v>0</v>
      </c>
      <c r="H125" s="120">
        <v>0</v>
      </c>
      <c r="I125" s="120">
        <v>0</v>
      </c>
      <c r="J125" s="120">
        <v>0</v>
      </c>
      <c r="K125" s="223">
        <f t="shared" si="13"/>
        <v>7</v>
      </c>
      <c r="L125" s="224">
        <f t="shared" si="14"/>
        <v>22</v>
      </c>
      <c r="M125" s="304"/>
      <c r="N125" s="262"/>
      <c r="O125" s="263"/>
    </row>
    <row r="126" spans="1:15" ht="30" x14ac:dyDescent="0.25">
      <c r="A126" s="210">
        <v>3229</v>
      </c>
      <c r="B126" s="211" t="s">
        <v>362</v>
      </c>
      <c r="C126" s="301">
        <v>26</v>
      </c>
      <c r="D126" s="259">
        <v>75</v>
      </c>
      <c r="E126" s="120">
        <v>0</v>
      </c>
      <c r="F126" s="120">
        <v>0</v>
      </c>
      <c r="G126" s="120">
        <v>0</v>
      </c>
      <c r="H126" s="120">
        <v>0</v>
      </c>
      <c r="I126" s="120">
        <v>0</v>
      </c>
      <c r="J126" s="120">
        <v>0</v>
      </c>
      <c r="K126" s="223">
        <f t="shared" si="13"/>
        <v>26</v>
      </c>
      <c r="L126" s="224">
        <f t="shared" si="14"/>
        <v>75</v>
      </c>
      <c r="M126" s="304"/>
      <c r="N126" s="262"/>
      <c r="O126" s="263"/>
    </row>
    <row r="127" spans="1:15" ht="15" x14ac:dyDescent="0.25">
      <c r="A127" s="210">
        <v>3231</v>
      </c>
      <c r="B127" s="211" t="s">
        <v>363</v>
      </c>
      <c r="C127" s="301">
        <v>21</v>
      </c>
      <c r="D127" s="259">
        <v>24</v>
      </c>
      <c r="E127" s="120">
        <v>0</v>
      </c>
      <c r="F127" s="120">
        <v>0</v>
      </c>
      <c r="G127" s="120">
        <v>0</v>
      </c>
      <c r="H127" s="120">
        <v>0</v>
      </c>
      <c r="I127" s="120">
        <v>0</v>
      </c>
      <c r="J127" s="120">
        <v>0</v>
      </c>
      <c r="K127" s="223">
        <f t="shared" si="13"/>
        <v>21</v>
      </c>
      <c r="L127" s="224">
        <f t="shared" si="14"/>
        <v>24</v>
      </c>
      <c r="M127" s="304"/>
      <c r="N127" s="262"/>
      <c r="O127" s="263"/>
    </row>
    <row r="128" spans="1:15" ht="15" x14ac:dyDescent="0.25">
      <c r="A128" s="210">
        <v>3232</v>
      </c>
      <c r="B128" s="211" t="s">
        <v>364</v>
      </c>
      <c r="C128" s="301">
        <v>0</v>
      </c>
      <c r="D128" s="259">
        <v>24</v>
      </c>
      <c r="E128" s="120">
        <v>0</v>
      </c>
      <c r="F128" s="120">
        <v>0</v>
      </c>
      <c r="G128" s="120">
        <v>0</v>
      </c>
      <c r="H128" s="120">
        <v>0</v>
      </c>
      <c r="I128" s="120">
        <v>0</v>
      </c>
      <c r="J128" s="120">
        <v>0</v>
      </c>
      <c r="K128" s="223">
        <f t="shared" si="13"/>
        <v>0</v>
      </c>
      <c r="L128" s="224">
        <f t="shared" si="14"/>
        <v>24</v>
      </c>
      <c r="M128" s="304"/>
      <c r="N128" s="262"/>
      <c r="O128" s="263"/>
    </row>
    <row r="129" spans="1:15" ht="15" x14ac:dyDescent="0.25">
      <c r="A129" s="210">
        <v>3241</v>
      </c>
      <c r="B129" s="211" t="s">
        <v>365</v>
      </c>
      <c r="C129" s="301">
        <v>0</v>
      </c>
      <c r="D129" s="259">
        <v>1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223">
        <f t="shared" si="13"/>
        <v>0</v>
      </c>
      <c r="L129" s="224">
        <f t="shared" si="14"/>
        <v>1</v>
      </c>
      <c r="M129" s="304"/>
      <c r="N129" s="262"/>
      <c r="O129" s="263"/>
    </row>
    <row r="130" spans="1:15" ht="15" x14ac:dyDescent="0.25">
      <c r="A130" s="210">
        <v>3242</v>
      </c>
      <c r="B130" s="211" t="s">
        <v>366</v>
      </c>
      <c r="C130" s="301">
        <v>0</v>
      </c>
      <c r="D130" s="259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223">
        <f t="shared" si="13"/>
        <v>0</v>
      </c>
      <c r="L130" s="224">
        <f t="shared" si="14"/>
        <v>0</v>
      </c>
      <c r="M130" s="304"/>
      <c r="N130" s="262"/>
      <c r="O130" s="263"/>
    </row>
    <row r="131" spans="1:15" ht="15" x14ac:dyDescent="0.25">
      <c r="A131" s="210">
        <v>3310</v>
      </c>
      <c r="B131" s="211" t="s">
        <v>367</v>
      </c>
      <c r="C131" s="301">
        <v>1</v>
      </c>
      <c r="D131" s="259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223">
        <f t="shared" si="13"/>
        <v>1</v>
      </c>
      <c r="L131" s="224">
        <f t="shared" si="14"/>
        <v>0</v>
      </c>
      <c r="M131" s="304"/>
      <c r="N131" s="262"/>
      <c r="O131" s="263"/>
    </row>
    <row r="132" spans="1:15" ht="30" x14ac:dyDescent="0.25">
      <c r="A132" s="210">
        <v>3320</v>
      </c>
      <c r="B132" s="211" t="s">
        <v>368</v>
      </c>
      <c r="C132" s="301">
        <v>0</v>
      </c>
      <c r="D132" s="259">
        <v>0</v>
      </c>
      <c r="E132" s="120">
        <v>0</v>
      </c>
      <c r="F132" s="120">
        <v>0</v>
      </c>
      <c r="G132" s="120">
        <v>0</v>
      </c>
      <c r="H132" s="120">
        <v>0</v>
      </c>
      <c r="I132" s="120">
        <v>0</v>
      </c>
      <c r="J132" s="120">
        <v>0</v>
      </c>
      <c r="K132" s="223">
        <f t="shared" si="13"/>
        <v>0</v>
      </c>
      <c r="L132" s="224">
        <f t="shared" si="14"/>
        <v>0</v>
      </c>
      <c r="M132" s="304"/>
      <c r="N132" s="262"/>
      <c r="O132" s="263"/>
    </row>
    <row r="133" spans="1:15" ht="15" x14ac:dyDescent="0.25">
      <c r="A133" s="210">
        <v>3330</v>
      </c>
      <c r="B133" s="211" t="s">
        <v>369</v>
      </c>
      <c r="C133" s="301">
        <v>0</v>
      </c>
      <c r="D133" s="259">
        <v>0</v>
      </c>
      <c r="E133" s="120">
        <v>0</v>
      </c>
      <c r="F133" s="120">
        <v>0</v>
      </c>
      <c r="G133" s="120">
        <v>0</v>
      </c>
      <c r="H133" s="120">
        <v>0</v>
      </c>
      <c r="I133" s="120">
        <v>0</v>
      </c>
      <c r="J133" s="120">
        <v>0</v>
      </c>
      <c r="K133" s="223">
        <f t="shared" si="13"/>
        <v>0</v>
      </c>
      <c r="L133" s="224">
        <f t="shared" si="14"/>
        <v>0</v>
      </c>
      <c r="M133" s="304"/>
      <c r="N133" s="262"/>
      <c r="O133" s="263"/>
    </row>
    <row r="134" spans="1:15" ht="15" x14ac:dyDescent="0.25">
      <c r="A134" s="210">
        <v>3340</v>
      </c>
      <c r="B134" s="211" t="s">
        <v>370</v>
      </c>
      <c r="C134" s="301">
        <v>0</v>
      </c>
      <c r="D134" s="259">
        <v>1</v>
      </c>
      <c r="E134" s="120">
        <v>0</v>
      </c>
      <c r="F134" s="309">
        <v>0</v>
      </c>
      <c r="G134" s="120">
        <v>0</v>
      </c>
      <c r="H134" s="120">
        <v>0</v>
      </c>
      <c r="I134" s="120">
        <v>0</v>
      </c>
      <c r="J134" s="309">
        <v>0</v>
      </c>
      <c r="K134" s="223">
        <f t="shared" si="13"/>
        <v>0</v>
      </c>
      <c r="L134" s="224">
        <f t="shared" si="14"/>
        <v>1</v>
      </c>
      <c r="M134" s="304"/>
      <c r="N134" s="262"/>
      <c r="O134" s="263"/>
    </row>
    <row r="135" spans="1:15" ht="30" x14ac:dyDescent="0.25">
      <c r="A135" s="210">
        <v>3411</v>
      </c>
      <c r="B135" s="211" t="s">
        <v>371</v>
      </c>
      <c r="C135" s="301">
        <v>0</v>
      </c>
      <c r="D135" s="259">
        <v>0</v>
      </c>
      <c r="E135" s="120">
        <v>0</v>
      </c>
      <c r="F135" s="120">
        <v>0</v>
      </c>
      <c r="G135" s="120">
        <v>0</v>
      </c>
      <c r="H135" s="120">
        <v>0</v>
      </c>
      <c r="I135" s="120">
        <v>0</v>
      </c>
      <c r="J135" s="120">
        <v>0</v>
      </c>
      <c r="K135" s="223">
        <f t="shared" si="13"/>
        <v>0</v>
      </c>
      <c r="L135" s="224">
        <f t="shared" si="14"/>
        <v>0</v>
      </c>
      <c r="M135" s="304"/>
      <c r="N135" s="262"/>
      <c r="O135" s="263"/>
    </row>
    <row r="136" spans="1:15" ht="15" x14ac:dyDescent="0.25">
      <c r="A136" s="210">
        <v>3412</v>
      </c>
      <c r="B136" s="211" t="s">
        <v>372</v>
      </c>
      <c r="C136" s="301">
        <v>0</v>
      </c>
      <c r="D136" s="259">
        <v>0</v>
      </c>
      <c r="E136" s="120">
        <v>0</v>
      </c>
      <c r="F136" s="120">
        <v>0</v>
      </c>
      <c r="G136" s="120">
        <v>0</v>
      </c>
      <c r="H136" s="120">
        <v>0</v>
      </c>
      <c r="I136" s="120">
        <v>0</v>
      </c>
      <c r="J136" s="120">
        <v>0</v>
      </c>
      <c r="K136" s="223">
        <f t="shared" ref="K136:K163" si="15">C136+E136-G136-I136</f>
        <v>0</v>
      </c>
      <c r="L136" s="224">
        <f t="shared" ref="L136:L163" si="16">D136+F136-H136-J136</f>
        <v>0</v>
      </c>
      <c r="M136" s="304"/>
      <c r="N136" s="262"/>
      <c r="O136" s="263"/>
    </row>
    <row r="137" spans="1:15" ht="15" x14ac:dyDescent="0.25">
      <c r="A137" s="210">
        <v>3413</v>
      </c>
      <c r="B137" s="211" t="s">
        <v>373</v>
      </c>
      <c r="C137" s="301">
        <v>0</v>
      </c>
      <c r="D137" s="259">
        <v>0</v>
      </c>
      <c r="E137" s="120">
        <v>0</v>
      </c>
      <c r="F137" s="120">
        <v>0</v>
      </c>
      <c r="G137" s="120">
        <v>0</v>
      </c>
      <c r="H137" s="120">
        <v>0</v>
      </c>
      <c r="I137" s="120">
        <v>0</v>
      </c>
      <c r="J137" s="120">
        <v>0</v>
      </c>
      <c r="K137" s="223">
        <f t="shared" si="15"/>
        <v>0</v>
      </c>
      <c r="L137" s="224">
        <f t="shared" si="16"/>
        <v>0</v>
      </c>
      <c r="M137" s="304"/>
      <c r="N137" s="262"/>
      <c r="O137" s="263"/>
    </row>
    <row r="138" spans="1:15" ht="15" x14ac:dyDescent="0.25">
      <c r="A138" s="210">
        <v>3414</v>
      </c>
      <c r="B138" s="211" t="s">
        <v>374</v>
      </c>
      <c r="C138" s="301">
        <v>0</v>
      </c>
      <c r="D138" s="259">
        <v>0</v>
      </c>
      <c r="E138" s="120">
        <v>0</v>
      </c>
      <c r="F138" s="120">
        <v>0</v>
      </c>
      <c r="G138" s="120">
        <v>0</v>
      </c>
      <c r="H138" s="120">
        <v>0</v>
      </c>
      <c r="I138" s="120">
        <v>0</v>
      </c>
      <c r="J138" s="120">
        <v>0</v>
      </c>
      <c r="K138" s="223">
        <f t="shared" si="15"/>
        <v>0</v>
      </c>
      <c r="L138" s="224">
        <f t="shared" si="16"/>
        <v>0</v>
      </c>
      <c r="M138" s="304"/>
      <c r="N138" s="262"/>
      <c r="O138" s="263"/>
    </row>
    <row r="139" spans="1:15" ht="15" customHeight="1" x14ac:dyDescent="0.25">
      <c r="A139" s="210">
        <v>3415</v>
      </c>
      <c r="B139" s="211" t="s">
        <v>375</v>
      </c>
      <c r="C139" s="301">
        <v>0</v>
      </c>
      <c r="D139" s="259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223">
        <f t="shared" si="15"/>
        <v>0</v>
      </c>
      <c r="L139" s="224">
        <f t="shared" si="16"/>
        <v>0</v>
      </c>
      <c r="M139" s="304"/>
      <c r="N139" s="262"/>
      <c r="O139" s="263"/>
    </row>
    <row r="140" spans="1:15" ht="15" x14ac:dyDescent="0.25">
      <c r="A140" s="210">
        <v>3416</v>
      </c>
      <c r="B140" s="211" t="s">
        <v>376</v>
      </c>
      <c r="C140" s="301">
        <v>0</v>
      </c>
      <c r="D140" s="259">
        <v>0</v>
      </c>
      <c r="E140" s="120">
        <v>0</v>
      </c>
      <c r="F140" s="120">
        <v>0</v>
      </c>
      <c r="G140" s="120">
        <v>0</v>
      </c>
      <c r="H140" s="120">
        <v>0</v>
      </c>
      <c r="I140" s="120">
        <v>0</v>
      </c>
      <c r="J140" s="120">
        <v>0</v>
      </c>
      <c r="K140" s="223">
        <f t="shared" si="15"/>
        <v>0</v>
      </c>
      <c r="L140" s="224">
        <f t="shared" si="16"/>
        <v>0</v>
      </c>
      <c r="M140" s="304"/>
      <c r="N140" s="262"/>
      <c r="O140" s="263"/>
    </row>
    <row r="141" spans="1:15" ht="15" x14ac:dyDescent="0.25">
      <c r="A141" s="210">
        <v>3417</v>
      </c>
      <c r="B141" s="211" t="s">
        <v>377</v>
      </c>
      <c r="C141" s="301">
        <v>0</v>
      </c>
      <c r="D141" s="259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223">
        <f t="shared" si="15"/>
        <v>0</v>
      </c>
      <c r="L141" s="224">
        <f t="shared" si="16"/>
        <v>0</v>
      </c>
      <c r="M141" s="304"/>
      <c r="N141" s="262"/>
      <c r="O141" s="263"/>
    </row>
    <row r="142" spans="1:15" ht="15" x14ac:dyDescent="0.25">
      <c r="A142" s="210">
        <v>3421</v>
      </c>
      <c r="B142" s="211" t="s">
        <v>378</v>
      </c>
      <c r="C142" s="301">
        <v>0</v>
      </c>
      <c r="D142" s="259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223">
        <f t="shared" si="15"/>
        <v>0</v>
      </c>
      <c r="L142" s="224">
        <f t="shared" si="16"/>
        <v>0</v>
      </c>
      <c r="M142" s="304"/>
      <c r="N142" s="262"/>
      <c r="O142" s="263"/>
    </row>
    <row r="143" spans="1:15" ht="15" x14ac:dyDescent="0.25">
      <c r="A143" s="210">
        <v>3422</v>
      </c>
      <c r="B143" s="211" t="s">
        <v>379</v>
      </c>
      <c r="C143" s="301">
        <v>0</v>
      </c>
      <c r="D143" s="259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223">
        <f t="shared" si="15"/>
        <v>0</v>
      </c>
      <c r="L143" s="224">
        <f t="shared" si="16"/>
        <v>0</v>
      </c>
      <c r="M143" s="304"/>
      <c r="N143" s="262"/>
      <c r="O143" s="263"/>
    </row>
    <row r="144" spans="1:15" ht="30" x14ac:dyDescent="0.25">
      <c r="A144" s="210">
        <v>3423</v>
      </c>
      <c r="B144" s="211" t="s">
        <v>380</v>
      </c>
      <c r="C144" s="301">
        <v>0</v>
      </c>
      <c r="D144" s="259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223">
        <f t="shared" si="15"/>
        <v>0</v>
      </c>
      <c r="L144" s="224">
        <f t="shared" si="16"/>
        <v>0</v>
      </c>
      <c r="M144" s="304"/>
      <c r="N144" s="262"/>
      <c r="O144" s="263"/>
    </row>
    <row r="145" spans="1:15" ht="30" x14ac:dyDescent="0.25">
      <c r="A145" s="210">
        <v>3429</v>
      </c>
      <c r="B145" s="211" t="s">
        <v>381</v>
      </c>
      <c r="C145" s="301">
        <v>0</v>
      </c>
      <c r="D145" s="259">
        <v>0</v>
      </c>
      <c r="E145" s="120">
        <v>0</v>
      </c>
      <c r="F145" s="120">
        <v>0</v>
      </c>
      <c r="G145" s="120">
        <v>0</v>
      </c>
      <c r="H145" s="120">
        <v>0</v>
      </c>
      <c r="I145" s="120">
        <v>0</v>
      </c>
      <c r="J145" s="120">
        <v>0</v>
      </c>
      <c r="K145" s="223">
        <f t="shared" si="15"/>
        <v>0</v>
      </c>
      <c r="L145" s="224">
        <f t="shared" si="16"/>
        <v>0</v>
      </c>
      <c r="M145" s="304"/>
      <c r="N145" s="262"/>
      <c r="O145" s="263"/>
    </row>
    <row r="146" spans="1:15" ht="30" x14ac:dyDescent="0.25">
      <c r="A146" s="210">
        <v>3431</v>
      </c>
      <c r="B146" s="211" t="s">
        <v>382</v>
      </c>
      <c r="C146" s="301">
        <v>0</v>
      </c>
      <c r="D146" s="259">
        <v>11</v>
      </c>
      <c r="E146" s="120">
        <v>0</v>
      </c>
      <c r="F146" s="120">
        <v>0</v>
      </c>
      <c r="G146" s="120">
        <v>0</v>
      </c>
      <c r="H146" s="120">
        <v>0</v>
      </c>
      <c r="I146" s="120">
        <v>0</v>
      </c>
      <c r="J146" s="120">
        <v>0</v>
      </c>
      <c r="K146" s="223">
        <f t="shared" si="15"/>
        <v>0</v>
      </c>
      <c r="L146" s="224">
        <f t="shared" si="16"/>
        <v>11</v>
      </c>
      <c r="M146" s="304"/>
      <c r="N146" s="262"/>
      <c r="O146" s="263"/>
    </row>
    <row r="147" spans="1:15" ht="15" x14ac:dyDescent="0.25">
      <c r="A147" s="210">
        <v>3432</v>
      </c>
      <c r="B147" s="211" t="s">
        <v>383</v>
      </c>
      <c r="C147" s="301">
        <v>0</v>
      </c>
      <c r="D147" s="259">
        <v>0</v>
      </c>
      <c r="E147" s="120">
        <v>0</v>
      </c>
      <c r="F147" s="120">
        <v>0</v>
      </c>
      <c r="G147" s="120">
        <v>0</v>
      </c>
      <c r="H147" s="120">
        <v>0</v>
      </c>
      <c r="I147" s="120">
        <v>0</v>
      </c>
      <c r="J147" s="120">
        <v>0</v>
      </c>
      <c r="K147" s="223">
        <f t="shared" si="15"/>
        <v>0</v>
      </c>
      <c r="L147" s="224">
        <f t="shared" si="16"/>
        <v>0</v>
      </c>
      <c r="M147" s="304"/>
      <c r="N147" s="262"/>
      <c r="O147" s="263"/>
    </row>
    <row r="148" spans="1:15" ht="15" x14ac:dyDescent="0.25">
      <c r="A148" s="210">
        <v>3433</v>
      </c>
      <c r="B148" s="211" t="s">
        <v>384</v>
      </c>
      <c r="C148" s="301">
        <v>0</v>
      </c>
      <c r="D148" s="259">
        <v>0</v>
      </c>
      <c r="E148" s="120">
        <v>0</v>
      </c>
      <c r="F148" s="120">
        <v>0</v>
      </c>
      <c r="G148" s="120">
        <v>0</v>
      </c>
      <c r="H148" s="120">
        <v>0</v>
      </c>
      <c r="I148" s="120">
        <v>0</v>
      </c>
      <c r="J148" s="120">
        <v>0</v>
      </c>
      <c r="K148" s="223">
        <f t="shared" si="15"/>
        <v>0</v>
      </c>
      <c r="L148" s="224">
        <f t="shared" si="16"/>
        <v>0</v>
      </c>
      <c r="M148" s="304"/>
      <c r="N148" s="262"/>
      <c r="O148" s="263"/>
    </row>
    <row r="149" spans="1:15" ht="30" x14ac:dyDescent="0.25">
      <c r="A149" s="210">
        <v>3434</v>
      </c>
      <c r="B149" s="211" t="s">
        <v>385</v>
      </c>
      <c r="C149" s="301">
        <v>0</v>
      </c>
      <c r="D149" s="259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223">
        <f t="shared" si="15"/>
        <v>0</v>
      </c>
      <c r="L149" s="224">
        <f t="shared" si="16"/>
        <v>0</v>
      </c>
      <c r="M149" s="304"/>
      <c r="N149" s="262"/>
      <c r="O149" s="263"/>
    </row>
    <row r="150" spans="1:15" ht="45" x14ac:dyDescent="0.25">
      <c r="A150" s="210">
        <v>3439</v>
      </c>
      <c r="B150" s="211" t="s">
        <v>386</v>
      </c>
      <c r="C150" s="301">
        <v>0</v>
      </c>
      <c r="D150" s="259">
        <v>0</v>
      </c>
      <c r="E150" s="120">
        <v>0</v>
      </c>
      <c r="F150" s="120">
        <v>0</v>
      </c>
      <c r="G150" s="120">
        <v>0</v>
      </c>
      <c r="H150" s="120">
        <v>0</v>
      </c>
      <c r="I150" s="120">
        <v>0</v>
      </c>
      <c r="J150" s="120">
        <v>0</v>
      </c>
      <c r="K150" s="223">
        <f t="shared" si="15"/>
        <v>0</v>
      </c>
      <c r="L150" s="224">
        <f t="shared" si="16"/>
        <v>0</v>
      </c>
      <c r="M150" s="304"/>
      <c r="N150" s="262"/>
      <c r="O150" s="263"/>
    </row>
    <row r="151" spans="1:15" ht="15" x14ac:dyDescent="0.25">
      <c r="A151" s="210">
        <v>3441</v>
      </c>
      <c r="B151" s="211" t="s">
        <v>387</v>
      </c>
      <c r="C151" s="301">
        <v>0</v>
      </c>
      <c r="D151" s="259">
        <v>0</v>
      </c>
      <c r="E151" s="120">
        <v>0</v>
      </c>
      <c r="F151" s="120">
        <v>0</v>
      </c>
      <c r="G151" s="120">
        <v>0</v>
      </c>
      <c r="H151" s="120">
        <v>0</v>
      </c>
      <c r="I151" s="120">
        <v>0</v>
      </c>
      <c r="J151" s="120">
        <v>0</v>
      </c>
      <c r="K151" s="223">
        <f t="shared" si="15"/>
        <v>0</v>
      </c>
      <c r="L151" s="224">
        <f t="shared" si="16"/>
        <v>0</v>
      </c>
      <c r="M151" s="304"/>
      <c r="N151" s="262"/>
      <c r="O151" s="263"/>
    </row>
    <row r="152" spans="1:15" ht="15" x14ac:dyDescent="0.25">
      <c r="A152" s="210">
        <v>3442</v>
      </c>
      <c r="B152" s="211" t="s">
        <v>388</v>
      </c>
      <c r="C152" s="301">
        <v>0</v>
      </c>
      <c r="D152" s="259">
        <v>0</v>
      </c>
      <c r="E152" s="120">
        <v>0</v>
      </c>
      <c r="F152" s="120">
        <v>0</v>
      </c>
      <c r="G152" s="120">
        <v>0</v>
      </c>
      <c r="H152" s="120">
        <v>0</v>
      </c>
      <c r="I152" s="120">
        <v>0</v>
      </c>
      <c r="J152" s="120">
        <v>0</v>
      </c>
      <c r="K152" s="223">
        <f t="shared" si="15"/>
        <v>0</v>
      </c>
      <c r="L152" s="224">
        <f t="shared" si="16"/>
        <v>0</v>
      </c>
      <c r="M152" s="304"/>
      <c r="N152" s="262"/>
      <c r="O152" s="263"/>
    </row>
    <row r="153" spans="1:15" ht="30" x14ac:dyDescent="0.25">
      <c r="A153" s="210">
        <v>3443</v>
      </c>
      <c r="B153" s="211" t="s">
        <v>389</v>
      </c>
      <c r="C153" s="301">
        <v>0</v>
      </c>
      <c r="D153" s="259">
        <v>0</v>
      </c>
      <c r="E153" s="120">
        <v>0</v>
      </c>
      <c r="F153" s="120">
        <v>0</v>
      </c>
      <c r="G153" s="120">
        <v>0</v>
      </c>
      <c r="H153" s="120">
        <v>0</v>
      </c>
      <c r="I153" s="120">
        <v>0</v>
      </c>
      <c r="J153" s="120">
        <v>0</v>
      </c>
      <c r="K153" s="223">
        <f t="shared" si="15"/>
        <v>0</v>
      </c>
      <c r="L153" s="224">
        <f t="shared" si="16"/>
        <v>0</v>
      </c>
      <c r="M153" s="304"/>
      <c r="N153" s="262"/>
      <c r="O153" s="263"/>
    </row>
    <row r="154" spans="1:15" ht="15" x14ac:dyDescent="0.25">
      <c r="A154" s="210">
        <v>3444</v>
      </c>
      <c r="B154" s="211" t="s">
        <v>390</v>
      </c>
      <c r="C154" s="301">
        <v>2</v>
      </c>
      <c r="D154" s="259">
        <v>3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223">
        <f t="shared" si="15"/>
        <v>2</v>
      </c>
      <c r="L154" s="224">
        <f t="shared" si="16"/>
        <v>3</v>
      </c>
      <c r="M154" s="304"/>
      <c r="N154" s="262"/>
      <c r="O154" s="263"/>
    </row>
    <row r="155" spans="1:15" ht="30" x14ac:dyDescent="0.25">
      <c r="A155" s="210">
        <v>3449</v>
      </c>
      <c r="B155" s="211" t="s">
        <v>391</v>
      </c>
      <c r="C155" s="301">
        <v>0</v>
      </c>
      <c r="D155" s="259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223">
        <f t="shared" si="15"/>
        <v>0</v>
      </c>
      <c r="L155" s="224">
        <f t="shared" si="16"/>
        <v>0</v>
      </c>
      <c r="M155" s="304"/>
      <c r="N155" s="262"/>
      <c r="O155" s="263"/>
    </row>
    <row r="156" spans="1:15" ht="15" x14ac:dyDescent="0.25">
      <c r="A156" s="210">
        <v>3450</v>
      </c>
      <c r="B156" s="211" t="s">
        <v>392</v>
      </c>
      <c r="C156" s="301">
        <v>0</v>
      </c>
      <c r="D156" s="259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223">
        <f t="shared" si="15"/>
        <v>0</v>
      </c>
      <c r="L156" s="224">
        <f t="shared" si="16"/>
        <v>0</v>
      </c>
      <c r="M156" s="304"/>
      <c r="N156" s="262"/>
      <c r="O156" s="263"/>
    </row>
    <row r="157" spans="1:15" ht="15" x14ac:dyDescent="0.25">
      <c r="A157" s="210">
        <v>3460</v>
      </c>
      <c r="B157" s="211" t="s">
        <v>393</v>
      </c>
      <c r="C157" s="301">
        <v>0</v>
      </c>
      <c r="D157" s="259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223">
        <f t="shared" si="15"/>
        <v>0</v>
      </c>
      <c r="L157" s="224">
        <f t="shared" si="16"/>
        <v>0</v>
      </c>
      <c r="M157" s="304"/>
      <c r="N157" s="262"/>
      <c r="O157" s="263"/>
    </row>
    <row r="158" spans="1:15" ht="15" x14ac:dyDescent="0.25">
      <c r="A158" s="210">
        <v>3471</v>
      </c>
      <c r="B158" s="211" t="s">
        <v>394</v>
      </c>
      <c r="C158" s="301">
        <v>0</v>
      </c>
      <c r="D158" s="259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223">
        <f t="shared" si="15"/>
        <v>0</v>
      </c>
      <c r="L158" s="224">
        <f t="shared" si="16"/>
        <v>0</v>
      </c>
      <c r="M158" s="304"/>
      <c r="N158" s="262"/>
      <c r="O158" s="263"/>
    </row>
    <row r="159" spans="1:15" ht="15" x14ac:dyDescent="0.25">
      <c r="A159" s="210">
        <v>3472</v>
      </c>
      <c r="B159" s="211" t="s">
        <v>395</v>
      </c>
      <c r="C159" s="301">
        <v>0</v>
      </c>
      <c r="D159" s="259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223">
        <f t="shared" si="15"/>
        <v>0</v>
      </c>
      <c r="L159" s="224">
        <f t="shared" si="16"/>
        <v>0</v>
      </c>
      <c r="M159" s="304"/>
      <c r="N159" s="262"/>
      <c r="O159" s="263"/>
    </row>
    <row r="160" spans="1:15" ht="30" customHeight="1" x14ac:dyDescent="0.25">
      <c r="A160" s="210">
        <v>3473</v>
      </c>
      <c r="B160" s="211" t="s">
        <v>396</v>
      </c>
      <c r="C160" s="301">
        <v>0</v>
      </c>
      <c r="D160" s="259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223">
        <f t="shared" si="15"/>
        <v>0</v>
      </c>
      <c r="L160" s="224">
        <f t="shared" si="16"/>
        <v>0</v>
      </c>
      <c r="M160" s="304"/>
      <c r="N160" s="262"/>
      <c r="O160" s="263"/>
    </row>
    <row r="161" spans="1:15" ht="30" x14ac:dyDescent="0.25">
      <c r="A161" s="210">
        <v>3474</v>
      </c>
      <c r="B161" s="211" t="s">
        <v>397</v>
      </c>
      <c r="C161" s="301">
        <v>0</v>
      </c>
      <c r="D161" s="259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223">
        <f t="shared" si="15"/>
        <v>0</v>
      </c>
      <c r="L161" s="224">
        <f t="shared" si="16"/>
        <v>0</v>
      </c>
      <c r="M161" s="304"/>
      <c r="N161" s="262"/>
      <c r="O161" s="263"/>
    </row>
    <row r="162" spans="1:15" ht="30" x14ac:dyDescent="0.25">
      <c r="A162" s="210">
        <v>3475</v>
      </c>
      <c r="B162" s="211" t="s">
        <v>398</v>
      </c>
      <c r="C162" s="301">
        <v>0</v>
      </c>
      <c r="D162" s="259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223">
        <f t="shared" si="15"/>
        <v>0</v>
      </c>
      <c r="L162" s="224">
        <f t="shared" si="16"/>
        <v>0</v>
      </c>
      <c r="M162" s="304"/>
      <c r="N162" s="262"/>
      <c r="O162" s="263"/>
    </row>
    <row r="163" spans="1:15" ht="15.75" thickBot="1" x14ac:dyDescent="0.3">
      <c r="A163" s="204">
        <v>3480</v>
      </c>
      <c r="B163" s="205" t="s">
        <v>399</v>
      </c>
      <c r="C163" s="300">
        <v>3</v>
      </c>
      <c r="D163" s="257">
        <v>0</v>
      </c>
      <c r="E163" s="209">
        <v>0</v>
      </c>
      <c r="F163" s="209">
        <v>0</v>
      </c>
      <c r="G163" s="209">
        <v>0</v>
      </c>
      <c r="H163" s="209">
        <v>0</v>
      </c>
      <c r="I163" s="209">
        <v>0</v>
      </c>
      <c r="J163" s="209">
        <v>0</v>
      </c>
      <c r="K163" s="221">
        <f t="shared" si="15"/>
        <v>3</v>
      </c>
      <c r="L163" s="225">
        <f t="shared" si="16"/>
        <v>0</v>
      </c>
      <c r="M163" s="304"/>
      <c r="N163" s="262"/>
      <c r="O163" s="263"/>
    </row>
    <row r="164" spans="1:15" ht="15.75" thickBot="1" x14ac:dyDescent="0.3">
      <c r="A164" s="254">
        <v>4</v>
      </c>
      <c r="B164" s="255" t="s">
        <v>400</v>
      </c>
      <c r="C164" s="218"/>
      <c r="D164" s="251"/>
      <c r="E164" s="218"/>
      <c r="F164" s="218"/>
      <c r="G164" s="218"/>
      <c r="H164" s="218"/>
      <c r="I164" s="218"/>
      <c r="J164" s="218"/>
      <c r="K164" s="226"/>
      <c r="L164" s="227"/>
      <c r="M164" s="304"/>
      <c r="N164" s="262"/>
      <c r="O164" s="263"/>
    </row>
    <row r="165" spans="1:15" ht="15" x14ac:dyDescent="0.25">
      <c r="A165" s="204">
        <v>4111</v>
      </c>
      <c r="B165" s="205" t="s">
        <v>401</v>
      </c>
      <c r="C165" s="300">
        <v>0</v>
      </c>
      <c r="D165" s="257">
        <v>0</v>
      </c>
      <c r="E165" s="209">
        <v>0</v>
      </c>
      <c r="F165" s="209">
        <v>0</v>
      </c>
      <c r="G165" s="209">
        <v>0</v>
      </c>
      <c r="H165" s="209">
        <v>0</v>
      </c>
      <c r="I165" s="209">
        <v>0</v>
      </c>
      <c r="J165" s="209">
        <v>0</v>
      </c>
      <c r="K165" s="221">
        <f>C165+E165-G165-I165</f>
        <v>0</v>
      </c>
      <c r="L165" s="225">
        <f>D165+F165-H165-J165</f>
        <v>0</v>
      </c>
      <c r="M165" s="304"/>
      <c r="N165" s="262"/>
      <c r="O165" s="263"/>
    </row>
    <row r="166" spans="1:15" ht="15" x14ac:dyDescent="0.25">
      <c r="A166" s="210">
        <v>4112</v>
      </c>
      <c r="B166" s="211" t="s">
        <v>402</v>
      </c>
      <c r="C166" s="301">
        <v>202</v>
      </c>
      <c r="D166" s="259">
        <v>116</v>
      </c>
      <c r="E166" s="120">
        <v>0</v>
      </c>
      <c r="F166" s="120">
        <v>0</v>
      </c>
      <c r="G166" s="120">
        <v>0</v>
      </c>
      <c r="H166" s="120">
        <v>0</v>
      </c>
      <c r="I166" s="120">
        <v>0</v>
      </c>
      <c r="J166" s="120">
        <v>0</v>
      </c>
      <c r="K166" s="223">
        <f t="shared" ref="K166:K176" si="17">C166+E166-G166-I166</f>
        <v>202</v>
      </c>
      <c r="L166" s="224">
        <f t="shared" ref="L166:L176" si="18">D166+F166-H166-J166</f>
        <v>116</v>
      </c>
      <c r="M166" s="304"/>
      <c r="N166" s="262"/>
      <c r="O166" s="263"/>
    </row>
    <row r="167" spans="1:15" ht="15" x14ac:dyDescent="0.25">
      <c r="A167" s="210">
        <v>4113</v>
      </c>
      <c r="B167" s="211" t="s">
        <v>403</v>
      </c>
      <c r="C167" s="301">
        <v>37</v>
      </c>
      <c r="D167" s="259">
        <v>20</v>
      </c>
      <c r="E167" s="120">
        <v>0</v>
      </c>
      <c r="F167" s="120">
        <v>0</v>
      </c>
      <c r="G167" s="120">
        <v>0</v>
      </c>
      <c r="H167" s="120">
        <v>0</v>
      </c>
      <c r="I167" s="120">
        <v>0</v>
      </c>
      <c r="J167" s="120">
        <v>0</v>
      </c>
      <c r="K167" s="223">
        <f t="shared" si="17"/>
        <v>37</v>
      </c>
      <c r="L167" s="224">
        <f t="shared" si="18"/>
        <v>20</v>
      </c>
      <c r="M167" s="304"/>
      <c r="N167" s="262"/>
      <c r="O167" s="263"/>
    </row>
    <row r="168" spans="1:15" ht="15" x14ac:dyDescent="0.25">
      <c r="A168" s="210">
        <v>4114</v>
      </c>
      <c r="B168" s="211" t="s">
        <v>404</v>
      </c>
      <c r="C168" s="301">
        <v>19</v>
      </c>
      <c r="D168" s="259">
        <v>0</v>
      </c>
      <c r="E168" s="120">
        <v>0</v>
      </c>
      <c r="F168" s="120">
        <v>0</v>
      </c>
      <c r="G168" s="120">
        <v>0</v>
      </c>
      <c r="H168" s="120">
        <v>0</v>
      </c>
      <c r="I168" s="120">
        <v>0</v>
      </c>
      <c r="J168" s="120">
        <v>0</v>
      </c>
      <c r="K168" s="223">
        <f t="shared" si="17"/>
        <v>19</v>
      </c>
      <c r="L168" s="224">
        <f t="shared" si="18"/>
        <v>0</v>
      </c>
      <c r="M168" s="304"/>
      <c r="N168" s="262"/>
      <c r="O168" s="263"/>
    </row>
    <row r="169" spans="1:15" ht="15" x14ac:dyDescent="0.25">
      <c r="A169" s="210">
        <v>4115</v>
      </c>
      <c r="B169" s="211" t="s">
        <v>181</v>
      </c>
      <c r="C169" s="301">
        <v>1</v>
      </c>
      <c r="D169" s="259">
        <v>19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223">
        <f t="shared" si="17"/>
        <v>1</v>
      </c>
      <c r="L169" s="224">
        <f t="shared" si="18"/>
        <v>19</v>
      </c>
      <c r="M169" s="304"/>
      <c r="N169" s="262"/>
      <c r="O169" s="263"/>
    </row>
    <row r="170" spans="1:15" ht="15.75" customHeight="1" x14ac:dyDescent="0.25">
      <c r="A170" s="210">
        <v>4121</v>
      </c>
      <c r="B170" s="211" t="s">
        <v>405</v>
      </c>
      <c r="C170" s="301">
        <v>159</v>
      </c>
      <c r="D170" s="259">
        <v>226</v>
      </c>
      <c r="E170" s="120">
        <v>0</v>
      </c>
      <c r="F170" s="120">
        <v>0</v>
      </c>
      <c r="G170" s="120">
        <v>0</v>
      </c>
      <c r="H170" s="120">
        <v>0</v>
      </c>
      <c r="I170" s="120">
        <v>0</v>
      </c>
      <c r="J170" s="120">
        <v>0</v>
      </c>
      <c r="K170" s="223">
        <f t="shared" si="17"/>
        <v>159</v>
      </c>
      <c r="L170" s="224">
        <f t="shared" si="18"/>
        <v>226</v>
      </c>
      <c r="M170" s="304"/>
      <c r="N170" s="262"/>
      <c r="O170" s="263"/>
    </row>
    <row r="171" spans="1:15" ht="15" x14ac:dyDescent="0.25">
      <c r="A171" s="210">
        <v>4122</v>
      </c>
      <c r="B171" s="211" t="s">
        <v>406</v>
      </c>
      <c r="C171" s="301">
        <v>5</v>
      </c>
      <c r="D171" s="259">
        <v>2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223">
        <f t="shared" si="17"/>
        <v>5</v>
      </c>
      <c r="L171" s="224">
        <f t="shared" si="18"/>
        <v>2</v>
      </c>
      <c r="M171" s="304"/>
      <c r="N171" s="262"/>
      <c r="O171" s="263"/>
    </row>
    <row r="172" spans="1:15" ht="15" x14ac:dyDescent="0.25">
      <c r="A172" s="210">
        <v>4131</v>
      </c>
      <c r="B172" s="211" t="s">
        <v>407</v>
      </c>
      <c r="C172" s="301">
        <v>52</v>
      </c>
      <c r="D172" s="259">
        <v>108</v>
      </c>
      <c r="E172" s="120">
        <v>0</v>
      </c>
      <c r="F172" s="120">
        <v>0</v>
      </c>
      <c r="G172" s="120">
        <v>0</v>
      </c>
      <c r="H172" s="120">
        <v>0</v>
      </c>
      <c r="I172" s="120">
        <v>0</v>
      </c>
      <c r="J172" s="120">
        <v>0</v>
      </c>
      <c r="K172" s="223">
        <f t="shared" si="17"/>
        <v>52</v>
      </c>
      <c r="L172" s="224">
        <f t="shared" si="18"/>
        <v>108</v>
      </c>
      <c r="M172" s="304"/>
      <c r="N172" s="262"/>
      <c r="O172" s="263"/>
    </row>
    <row r="173" spans="1:15" ht="15" x14ac:dyDescent="0.25">
      <c r="A173" s="210">
        <v>4132</v>
      </c>
      <c r="B173" s="211" t="s">
        <v>408</v>
      </c>
      <c r="C173" s="301">
        <v>81</v>
      </c>
      <c r="D173" s="259">
        <v>66</v>
      </c>
      <c r="E173" s="120">
        <v>0</v>
      </c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223">
        <f t="shared" si="17"/>
        <v>81</v>
      </c>
      <c r="L173" s="224">
        <f t="shared" si="18"/>
        <v>66</v>
      </c>
      <c r="M173" s="304"/>
      <c r="N173" s="262"/>
      <c r="O173" s="263"/>
    </row>
    <row r="174" spans="1:15" ht="15" x14ac:dyDescent="0.25">
      <c r="A174" s="210">
        <v>4133</v>
      </c>
      <c r="B174" s="211" t="s">
        <v>409</v>
      </c>
      <c r="C174" s="301">
        <v>0</v>
      </c>
      <c r="D174" s="259">
        <v>0</v>
      </c>
      <c r="E174" s="120">
        <v>0</v>
      </c>
      <c r="F174" s="120">
        <v>0</v>
      </c>
      <c r="G174" s="120">
        <v>0</v>
      </c>
      <c r="H174" s="120">
        <v>0</v>
      </c>
      <c r="I174" s="120">
        <v>0</v>
      </c>
      <c r="J174" s="120">
        <v>0</v>
      </c>
      <c r="K174" s="223">
        <f t="shared" si="17"/>
        <v>0</v>
      </c>
      <c r="L174" s="224">
        <f t="shared" si="18"/>
        <v>0</v>
      </c>
      <c r="M174" s="304"/>
      <c r="N174" s="262"/>
      <c r="O174" s="263"/>
    </row>
    <row r="175" spans="1:15" ht="15" x14ac:dyDescent="0.25">
      <c r="A175" s="210">
        <v>4141</v>
      </c>
      <c r="B175" s="211" t="s">
        <v>410</v>
      </c>
      <c r="C175" s="301">
        <v>0</v>
      </c>
      <c r="D175" s="259">
        <v>0</v>
      </c>
      <c r="E175" s="120">
        <v>0</v>
      </c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223">
        <f t="shared" si="17"/>
        <v>0</v>
      </c>
      <c r="L175" s="224">
        <f t="shared" si="18"/>
        <v>0</v>
      </c>
      <c r="M175" s="304"/>
      <c r="N175" s="262"/>
      <c r="O175" s="263"/>
    </row>
    <row r="176" spans="1:15" ht="30" x14ac:dyDescent="0.25">
      <c r="A176" s="210">
        <v>4142</v>
      </c>
      <c r="B176" s="211" t="s">
        <v>411</v>
      </c>
      <c r="C176" s="301">
        <v>0</v>
      </c>
      <c r="D176" s="259">
        <v>0</v>
      </c>
      <c r="E176" s="120">
        <v>0</v>
      </c>
      <c r="F176" s="120">
        <v>0</v>
      </c>
      <c r="G176" s="120">
        <v>0</v>
      </c>
      <c r="H176" s="120">
        <v>0</v>
      </c>
      <c r="I176" s="120">
        <v>0</v>
      </c>
      <c r="J176" s="120">
        <v>0</v>
      </c>
      <c r="K176" s="223">
        <f t="shared" si="17"/>
        <v>0</v>
      </c>
      <c r="L176" s="224">
        <f t="shared" si="18"/>
        <v>0</v>
      </c>
      <c r="M176" s="304"/>
      <c r="N176" s="262"/>
      <c r="O176" s="263"/>
    </row>
    <row r="177" spans="1:15" ht="30" x14ac:dyDescent="0.25">
      <c r="A177" s="210">
        <v>4143</v>
      </c>
      <c r="B177" s="211" t="s">
        <v>412</v>
      </c>
      <c r="C177" s="301">
        <v>0</v>
      </c>
      <c r="D177" s="259">
        <v>0</v>
      </c>
      <c r="E177" s="120">
        <v>0</v>
      </c>
      <c r="F177" s="120">
        <v>0</v>
      </c>
      <c r="G177" s="120">
        <v>0</v>
      </c>
      <c r="H177" s="120">
        <v>0</v>
      </c>
      <c r="I177" s="120">
        <v>0</v>
      </c>
      <c r="J177" s="120">
        <v>0</v>
      </c>
      <c r="K177" s="223">
        <f t="shared" ref="K177:K186" si="19">C177+E177-G177-I177</f>
        <v>0</v>
      </c>
      <c r="L177" s="224">
        <f t="shared" ref="L177:L186" si="20">D177+F177-H177-J177</f>
        <v>0</v>
      </c>
      <c r="M177" s="304"/>
      <c r="N177" s="262"/>
      <c r="O177" s="263"/>
    </row>
    <row r="178" spans="1:15" ht="15" x14ac:dyDescent="0.25">
      <c r="A178" s="210">
        <v>4144</v>
      </c>
      <c r="B178" s="211" t="s">
        <v>413</v>
      </c>
      <c r="C178" s="301">
        <v>8</v>
      </c>
      <c r="D178" s="259">
        <v>8</v>
      </c>
      <c r="E178" s="120">
        <v>0</v>
      </c>
      <c r="F178" s="120">
        <v>0</v>
      </c>
      <c r="G178" s="120">
        <v>0</v>
      </c>
      <c r="H178" s="120">
        <v>0</v>
      </c>
      <c r="I178" s="120">
        <v>0</v>
      </c>
      <c r="J178" s="120">
        <v>0</v>
      </c>
      <c r="K178" s="223">
        <f t="shared" si="19"/>
        <v>8</v>
      </c>
      <c r="L178" s="224">
        <f t="shared" si="20"/>
        <v>8</v>
      </c>
      <c r="M178" s="304"/>
      <c r="N178" s="262"/>
      <c r="O178" s="263"/>
    </row>
    <row r="179" spans="1:15" ht="15" x14ac:dyDescent="0.25">
      <c r="A179" s="210">
        <v>4190</v>
      </c>
      <c r="B179" s="211" t="s">
        <v>414</v>
      </c>
      <c r="C179" s="301">
        <v>1231</v>
      </c>
      <c r="D179" s="259">
        <v>683</v>
      </c>
      <c r="E179" s="120">
        <v>0</v>
      </c>
      <c r="F179" s="120">
        <v>0</v>
      </c>
      <c r="G179" s="120">
        <v>0</v>
      </c>
      <c r="H179" s="120">
        <v>0</v>
      </c>
      <c r="I179" s="120">
        <v>0</v>
      </c>
      <c r="J179" s="120">
        <v>0</v>
      </c>
      <c r="K179" s="223">
        <f t="shared" si="19"/>
        <v>1231</v>
      </c>
      <c r="L179" s="224">
        <f t="shared" si="20"/>
        <v>683</v>
      </c>
      <c r="M179" s="304"/>
      <c r="N179" s="262"/>
      <c r="O179" s="263"/>
    </row>
    <row r="180" spans="1:15" ht="15" x14ac:dyDescent="0.25">
      <c r="A180" s="210">
        <v>4211</v>
      </c>
      <c r="B180" s="211" t="s">
        <v>415</v>
      </c>
      <c r="C180" s="301">
        <v>45</v>
      </c>
      <c r="D180" s="259">
        <v>9</v>
      </c>
      <c r="E180" s="120">
        <v>0</v>
      </c>
      <c r="F180" s="120">
        <v>0</v>
      </c>
      <c r="G180" s="120">
        <v>0</v>
      </c>
      <c r="H180" s="120">
        <v>0</v>
      </c>
      <c r="I180" s="120">
        <v>0</v>
      </c>
      <c r="J180" s="120">
        <v>0</v>
      </c>
      <c r="K180" s="223">
        <f t="shared" si="19"/>
        <v>45</v>
      </c>
      <c r="L180" s="224">
        <f t="shared" si="20"/>
        <v>9</v>
      </c>
      <c r="M180" s="304"/>
      <c r="N180" s="262"/>
      <c r="O180" s="263"/>
    </row>
    <row r="181" spans="1:15" ht="30" x14ac:dyDescent="0.25">
      <c r="A181" s="210">
        <v>4212</v>
      </c>
      <c r="B181" s="211" t="s">
        <v>416</v>
      </c>
      <c r="C181" s="301">
        <v>30</v>
      </c>
      <c r="D181" s="259">
        <v>28</v>
      </c>
      <c r="E181" s="120">
        <v>0</v>
      </c>
      <c r="F181" s="120">
        <v>0</v>
      </c>
      <c r="G181" s="120">
        <v>0</v>
      </c>
      <c r="H181" s="120">
        <v>0</v>
      </c>
      <c r="I181" s="120">
        <v>0</v>
      </c>
      <c r="J181" s="120">
        <v>0</v>
      </c>
      <c r="K181" s="223">
        <f t="shared" si="19"/>
        <v>30</v>
      </c>
      <c r="L181" s="224">
        <f t="shared" si="20"/>
        <v>28</v>
      </c>
      <c r="M181" s="304"/>
      <c r="N181" s="262"/>
      <c r="O181" s="263"/>
    </row>
    <row r="182" spans="1:15" ht="15" x14ac:dyDescent="0.25">
      <c r="A182" s="210">
        <v>4213</v>
      </c>
      <c r="B182" s="211" t="s">
        <v>417</v>
      </c>
      <c r="C182" s="301">
        <v>0</v>
      </c>
      <c r="D182" s="259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223">
        <f t="shared" si="19"/>
        <v>0</v>
      </c>
      <c r="L182" s="224">
        <f t="shared" si="20"/>
        <v>0</v>
      </c>
      <c r="M182" s="304"/>
      <c r="N182" s="262"/>
      <c r="O182" s="263"/>
    </row>
    <row r="183" spans="1:15" ht="30" x14ac:dyDescent="0.25">
      <c r="A183" s="210">
        <v>4214</v>
      </c>
      <c r="B183" s="211" t="s">
        <v>418</v>
      </c>
      <c r="C183" s="301">
        <v>0</v>
      </c>
      <c r="D183" s="259">
        <v>0</v>
      </c>
      <c r="E183" s="120">
        <v>0</v>
      </c>
      <c r="F183" s="120">
        <v>0</v>
      </c>
      <c r="G183" s="120">
        <v>0</v>
      </c>
      <c r="H183" s="120">
        <v>0</v>
      </c>
      <c r="I183" s="120">
        <v>0</v>
      </c>
      <c r="J183" s="120">
        <v>0</v>
      </c>
      <c r="K183" s="223">
        <f t="shared" si="19"/>
        <v>0</v>
      </c>
      <c r="L183" s="224">
        <f t="shared" si="20"/>
        <v>0</v>
      </c>
      <c r="M183" s="304"/>
      <c r="N183" s="262"/>
      <c r="O183" s="263"/>
    </row>
    <row r="184" spans="1:15" ht="15" customHeight="1" x14ac:dyDescent="0.25">
      <c r="A184" s="210">
        <v>4215</v>
      </c>
      <c r="B184" s="211" t="s">
        <v>419</v>
      </c>
      <c r="C184" s="301">
        <v>17</v>
      </c>
      <c r="D184" s="259">
        <v>5</v>
      </c>
      <c r="E184" s="120">
        <v>0</v>
      </c>
      <c r="F184" s="120">
        <v>0</v>
      </c>
      <c r="G184" s="120">
        <v>0</v>
      </c>
      <c r="H184" s="120">
        <v>0</v>
      </c>
      <c r="I184" s="120">
        <v>0</v>
      </c>
      <c r="J184" s="120">
        <v>0</v>
      </c>
      <c r="K184" s="223">
        <f t="shared" si="19"/>
        <v>17</v>
      </c>
      <c r="L184" s="224">
        <f t="shared" si="20"/>
        <v>5</v>
      </c>
      <c r="M184" s="304"/>
      <c r="N184" s="262"/>
      <c r="O184" s="263"/>
    </row>
    <row r="185" spans="1:15" ht="15" x14ac:dyDescent="0.25">
      <c r="A185" s="210">
        <v>4222</v>
      </c>
      <c r="B185" s="211" t="s">
        <v>420</v>
      </c>
      <c r="C185" s="301">
        <v>45</v>
      </c>
      <c r="D185" s="259">
        <v>51</v>
      </c>
      <c r="E185" s="120">
        <v>0</v>
      </c>
      <c r="F185" s="120">
        <v>0</v>
      </c>
      <c r="G185" s="120">
        <v>0</v>
      </c>
      <c r="H185" s="120">
        <v>0</v>
      </c>
      <c r="I185" s="120">
        <v>0</v>
      </c>
      <c r="J185" s="120">
        <v>0</v>
      </c>
      <c r="K185" s="223">
        <f t="shared" si="19"/>
        <v>45</v>
      </c>
      <c r="L185" s="224">
        <f t="shared" si="20"/>
        <v>51</v>
      </c>
      <c r="M185" s="304"/>
      <c r="N185" s="262"/>
      <c r="O185" s="263"/>
    </row>
    <row r="186" spans="1:15" ht="15.75" thickBot="1" x14ac:dyDescent="0.3">
      <c r="A186" s="204">
        <v>4223</v>
      </c>
      <c r="B186" s="205" t="s">
        <v>421</v>
      </c>
      <c r="C186" s="300">
        <v>0</v>
      </c>
      <c r="D186" s="257">
        <v>0</v>
      </c>
      <c r="E186" s="209">
        <v>0</v>
      </c>
      <c r="F186" s="209">
        <v>0</v>
      </c>
      <c r="G186" s="209">
        <v>0</v>
      </c>
      <c r="H186" s="209">
        <v>0</v>
      </c>
      <c r="I186" s="209">
        <v>0</v>
      </c>
      <c r="J186" s="209">
        <v>0</v>
      </c>
      <c r="K186" s="221">
        <f t="shared" si="19"/>
        <v>0</v>
      </c>
      <c r="L186" s="225">
        <f t="shared" si="20"/>
        <v>0</v>
      </c>
      <c r="M186" s="304"/>
      <c r="N186" s="262"/>
      <c r="O186" s="263"/>
    </row>
    <row r="187" spans="1:15" ht="30.75" thickBot="1" x14ac:dyDescent="0.3">
      <c r="A187" s="254">
        <v>5</v>
      </c>
      <c r="B187" s="255" t="s">
        <v>422</v>
      </c>
      <c r="C187" s="218"/>
      <c r="D187" s="299"/>
      <c r="E187" s="218"/>
      <c r="F187" s="218"/>
      <c r="G187" s="218"/>
      <c r="H187" s="218"/>
      <c r="I187" s="218"/>
      <c r="J187" s="218"/>
      <c r="K187" s="226"/>
      <c r="L187" s="227"/>
      <c r="M187" s="304"/>
      <c r="N187" s="262"/>
      <c r="O187" s="263"/>
    </row>
    <row r="188" spans="1:15" ht="15" x14ac:dyDescent="0.25">
      <c r="A188" s="204">
        <v>5111</v>
      </c>
      <c r="B188" s="205" t="s">
        <v>423</v>
      </c>
      <c r="C188" s="300">
        <v>0</v>
      </c>
      <c r="D188" s="257">
        <v>0</v>
      </c>
      <c r="E188" s="209">
        <v>0</v>
      </c>
      <c r="F188" s="209">
        <v>0</v>
      </c>
      <c r="G188" s="209">
        <v>0</v>
      </c>
      <c r="H188" s="209">
        <v>0</v>
      </c>
      <c r="I188" s="209">
        <v>0</v>
      </c>
      <c r="J188" s="209">
        <v>0</v>
      </c>
      <c r="K188" s="221">
        <f>C188+E188-G188-I188</f>
        <v>0</v>
      </c>
      <c r="L188" s="225">
        <f>D188+F188-H188-J188</f>
        <v>0</v>
      </c>
      <c r="M188" s="304"/>
      <c r="N188" s="262"/>
      <c r="O188" s="263"/>
    </row>
    <row r="189" spans="1:15" ht="15" x14ac:dyDescent="0.25">
      <c r="A189" s="210">
        <v>5112</v>
      </c>
      <c r="B189" s="211" t="s">
        <v>424</v>
      </c>
      <c r="C189" s="301">
        <v>0</v>
      </c>
      <c r="D189" s="259">
        <v>0</v>
      </c>
      <c r="E189" s="120">
        <v>0</v>
      </c>
      <c r="F189" s="120">
        <v>0</v>
      </c>
      <c r="G189" s="120">
        <v>0</v>
      </c>
      <c r="H189" s="120">
        <v>0</v>
      </c>
      <c r="I189" s="120">
        <v>0</v>
      </c>
      <c r="J189" s="120">
        <v>0</v>
      </c>
      <c r="K189" s="223">
        <f t="shared" ref="K189:K203" si="21">C189+E189-G189-I189</f>
        <v>0</v>
      </c>
      <c r="L189" s="224">
        <f t="shared" ref="L189:L203" si="22">D189+F189-H189-J189</f>
        <v>0</v>
      </c>
      <c r="M189" s="304"/>
      <c r="N189" s="262"/>
      <c r="O189" s="263"/>
    </row>
    <row r="190" spans="1:15" ht="15" x14ac:dyDescent="0.25">
      <c r="A190" s="210">
        <v>5113</v>
      </c>
      <c r="B190" s="211" t="s">
        <v>425</v>
      </c>
      <c r="C190" s="301">
        <v>0</v>
      </c>
      <c r="D190" s="259">
        <v>0</v>
      </c>
      <c r="E190" s="120">
        <v>0</v>
      </c>
      <c r="F190" s="120">
        <v>0</v>
      </c>
      <c r="G190" s="120">
        <v>0</v>
      </c>
      <c r="H190" s="120">
        <v>0</v>
      </c>
      <c r="I190" s="120">
        <v>0</v>
      </c>
      <c r="J190" s="120">
        <v>0</v>
      </c>
      <c r="K190" s="223">
        <f t="shared" si="21"/>
        <v>0</v>
      </c>
      <c r="L190" s="224">
        <f t="shared" si="22"/>
        <v>0</v>
      </c>
      <c r="M190" s="304"/>
      <c r="N190" s="262"/>
      <c r="O190" s="263"/>
    </row>
    <row r="191" spans="1:15" ht="30" x14ac:dyDescent="0.25">
      <c r="A191" s="210">
        <v>5121</v>
      </c>
      <c r="B191" s="211" t="s">
        <v>426</v>
      </c>
      <c r="C191" s="301">
        <v>0</v>
      </c>
      <c r="D191" s="259">
        <v>1</v>
      </c>
      <c r="E191" s="120">
        <v>0</v>
      </c>
      <c r="F191" s="120">
        <v>0</v>
      </c>
      <c r="G191" s="120">
        <v>0</v>
      </c>
      <c r="H191" s="120">
        <v>0</v>
      </c>
      <c r="I191" s="120">
        <v>0</v>
      </c>
      <c r="J191" s="120">
        <v>0</v>
      </c>
      <c r="K191" s="223">
        <f t="shared" si="21"/>
        <v>0</v>
      </c>
      <c r="L191" s="224">
        <f t="shared" si="22"/>
        <v>1</v>
      </c>
      <c r="M191" s="304"/>
      <c r="N191" s="262"/>
      <c r="O191" s="263"/>
    </row>
    <row r="192" spans="1:15" ht="15" x14ac:dyDescent="0.25">
      <c r="A192" s="210">
        <v>5122</v>
      </c>
      <c r="B192" s="211" t="s">
        <v>427</v>
      </c>
      <c r="C192" s="301">
        <v>0</v>
      </c>
      <c r="D192" s="259">
        <v>2</v>
      </c>
      <c r="E192" s="120">
        <v>0</v>
      </c>
      <c r="F192" s="120">
        <v>0</v>
      </c>
      <c r="G192" s="120">
        <v>0</v>
      </c>
      <c r="H192" s="120">
        <v>0</v>
      </c>
      <c r="I192" s="120">
        <v>0</v>
      </c>
      <c r="J192" s="120">
        <v>0</v>
      </c>
      <c r="K192" s="223">
        <f t="shared" si="21"/>
        <v>0</v>
      </c>
      <c r="L192" s="224">
        <f t="shared" si="22"/>
        <v>2</v>
      </c>
      <c r="M192" s="304"/>
      <c r="N192" s="262"/>
      <c r="O192" s="263"/>
    </row>
    <row r="193" spans="1:15" ht="15" x14ac:dyDescent="0.25">
      <c r="A193" s="210">
        <v>5123</v>
      </c>
      <c r="B193" s="211" t="s">
        <v>428</v>
      </c>
      <c r="C193" s="301">
        <v>0</v>
      </c>
      <c r="D193" s="259">
        <v>0</v>
      </c>
      <c r="E193" s="120">
        <v>0</v>
      </c>
      <c r="F193" s="120">
        <v>0</v>
      </c>
      <c r="G193" s="120">
        <v>0</v>
      </c>
      <c r="H193" s="120">
        <v>0</v>
      </c>
      <c r="I193" s="120">
        <v>0</v>
      </c>
      <c r="J193" s="120">
        <v>0</v>
      </c>
      <c r="K193" s="223">
        <f t="shared" si="21"/>
        <v>0</v>
      </c>
      <c r="L193" s="224">
        <f t="shared" si="22"/>
        <v>0</v>
      </c>
      <c r="M193" s="304"/>
      <c r="N193" s="262"/>
      <c r="O193" s="263"/>
    </row>
    <row r="194" spans="1:15" ht="15" x14ac:dyDescent="0.25">
      <c r="A194" s="210">
        <v>5131</v>
      </c>
      <c r="B194" s="211" t="s">
        <v>429</v>
      </c>
      <c r="C194" s="301">
        <v>0</v>
      </c>
      <c r="D194" s="259">
        <v>0</v>
      </c>
      <c r="E194" s="120">
        <v>0</v>
      </c>
      <c r="F194" s="120">
        <v>0</v>
      </c>
      <c r="G194" s="120">
        <v>0</v>
      </c>
      <c r="H194" s="120">
        <v>0</v>
      </c>
      <c r="I194" s="120">
        <v>0</v>
      </c>
      <c r="J194" s="120">
        <v>0</v>
      </c>
      <c r="K194" s="223">
        <f t="shared" si="21"/>
        <v>0</v>
      </c>
      <c r="L194" s="224">
        <f t="shared" si="22"/>
        <v>0</v>
      </c>
      <c r="M194" s="304"/>
      <c r="N194" s="262"/>
      <c r="O194" s="263"/>
    </row>
    <row r="195" spans="1:15" ht="15" x14ac:dyDescent="0.25">
      <c r="A195" s="210">
        <v>5132</v>
      </c>
      <c r="B195" s="211" t="s">
        <v>430</v>
      </c>
      <c r="C195" s="301">
        <v>0</v>
      </c>
      <c r="D195" s="259">
        <v>0</v>
      </c>
      <c r="E195" s="120">
        <v>0</v>
      </c>
      <c r="F195" s="120">
        <v>0</v>
      </c>
      <c r="G195" s="120">
        <v>0</v>
      </c>
      <c r="H195" s="120">
        <v>0</v>
      </c>
      <c r="I195" s="120">
        <v>0</v>
      </c>
      <c r="J195" s="120">
        <v>0</v>
      </c>
      <c r="K195" s="223">
        <f t="shared" si="21"/>
        <v>0</v>
      </c>
      <c r="L195" s="224">
        <f t="shared" si="22"/>
        <v>0</v>
      </c>
      <c r="M195" s="304"/>
      <c r="N195" s="262"/>
      <c r="O195" s="263"/>
    </row>
    <row r="196" spans="1:15" ht="15" x14ac:dyDescent="0.25">
      <c r="A196" s="210">
        <v>5139</v>
      </c>
      <c r="B196" s="211" t="s">
        <v>431</v>
      </c>
      <c r="C196" s="301">
        <v>0</v>
      </c>
      <c r="D196" s="259">
        <v>0</v>
      </c>
      <c r="E196" s="120">
        <v>0</v>
      </c>
      <c r="F196" s="120">
        <v>0</v>
      </c>
      <c r="G196" s="120">
        <v>0</v>
      </c>
      <c r="H196" s="120">
        <v>0</v>
      </c>
      <c r="I196" s="120">
        <v>0</v>
      </c>
      <c r="J196" s="120">
        <v>0</v>
      </c>
      <c r="K196" s="223">
        <f t="shared" si="21"/>
        <v>0</v>
      </c>
      <c r="L196" s="224">
        <f t="shared" si="22"/>
        <v>0</v>
      </c>
      <c r="M196" s="304"/>
      <c r="N196" s="262"/>
      <c r="O196" s="263"/>
    </row>
    <row r="197" spans="1:15" ht="30" x14ac:dyDescent="0.25">
      <c r="A197" s="210">
        <v>5141</v>
      </c>
      <c r="B197" s="211" t="s">
        <v>432</v>
      </c>
      <c r="C197" s="301">
        <v>1</v>
      </c>
      <c r="D197" s="259">
        <v>6</v>
      </c>
      <c r="E197" s="120">
        <v>0</v>
      </c>
      <c r="F197" s="120">
        <v>0</v>
      </c>
      <c r="G197" s="120">
        <v>0</v>
      </c>
      <c r="H197" s="120">
        <v>0</v>
      </c>
      <c r="I197" s="120">
        <v>0</v>
      </c>
      <c r="J197" s="120">
        <v>0</v>
      </c>
      <c r="K197" s="223">
        <f t="shared" si="21"/>
        <v>1</v>
      </c>
      <c r="L197" s="224">
        <f t="shared" si="22"/>
        <v>6</v>
      </c>
      <c r="M197" s="304"/>
      <c r="N197" s="262"/>
      <c r="O197" s="263"/>
    </row>
    <row r="198" spans="1:15" ht="15" x14ac:dyDescent="0.25">
      <c r="A198" s="210">
        <v>5142</v>
      </c>
      <c r="B198" s="211" t="s">
        <v>433</v>
      </c>
      <c r="C198" s="301">
        <v>2</v>
      </c>
      <c r="D198" s="259">
        <v>0</v>
      </c>
      <c r="E198" s="120">
        <v>0</v>
      </c>
      <c r="F198" s="120">
        <v>0</v>
      </c>
      <c r="G198" s="120">
        <v>0</v>
      </c>
      <c r="H198" s="120">
        <v>0</v>
      </c>
      <c r="I198" s="120">
        <v>0</v>
      </c>
      <c r="J198" s="120">
        <v>0</v>
      </c>
      <c r="K198" s="223">
        <f t="shared" si="21"/>
        <v>2</v>
      </c>
      <c r="L198" s="224">
        <f t="shared" si="22"/>
        <v>0</v>
      </c>
      <c r="M198" s="304"/>
      <c r="N198" s="262"/>
      <c r="O198" s="263"/>
    </row>
    <row r="199" spans="1:15" ht="30" x14ac:dyDescent="0.25">
      <c r="A199" s="210">
        <v>5143</v>
      </c>
      <c r="B199" s="211" t="s">
        <v>434</v>
      </c>
      <c r="C199" s="301">
        <v>0</v>
      </c>
      <c r="D199" s="259">
        <v>0</v>
      </c>
      <c r="E199" s="120">
        <v>0</v>
      </c>
      <c r="F199" s="120">
        <v>0</v>
      </c>
      <c r="G199" s="120">
        <v>0</v>
      </c>
      <c r="H199" s="120">
        <v>0</v>
      </c>
      <c r="I199" s="120">
        <v>0</v>
      </c>
      <c r="J199" s="120">
        <v>0</v>
      </c>
      <c r="K199" s="223">
        <f t="shared" si="21"/>
        <v>0</v>
      </c>
      <c r="L199" s="224">
        <f t="shared" si="22"/>
        <v>0</v>
      </c>
      <c r="M199" s="304"/>
      <c r="N199" s="262"/>
      <c r="O199" s="263"/>
    </row>
    <row r="200" spans="1:15" ht="30" customHeight="1" x14ac:dyDescent="0.25">
      <c r="A200" s="210">
        <v>5149</v>
      </c>
      <c r="B200" s="211" t="s">
        <v>435</v>
      </c>
      <c r="C200" s="301">
        <v>352</v>
      </c>
      <c r="D200" s="259">
        <v>115</v>
      </c>
      <c r="E200" s="120">
        <v>0</v>
      </c>
      <c r="F200" s="120">
        <v>0</v>
      </c>
      <c r="G200" s="120">
        <v>0</v>
      </c>
      <c r="H200" s="120">
        <v>0</v>
      </c>
      <c r="I200" s="120">
        <v>0</v>
      </c>
      <c r="J200" s="120">
        <v>0</v>
      </c>
      <c r="K200" s="223">
        <f t="shared" si="21"/>
        <v>352</v>
      </c>
      <c r="L200" s="224">
        <f t="shared" si="22"/>
        <v>115</v>
      </c>
      <c r="M200" s="304"/>
      <c r="N200" s="262"/>
      <c r="O200" s="263"/>
    </row>
    <row r="201" spans="1:15" ht="15" x14ac:dyDescent="0.25">
      <c r="A201" s="210">
        <v>5151</v>
      </c>
      <c r="B201" s="211" t="s">
        <v>436</v>
      </c>
      <c r="C201" s="301">
        <v>0</v>
      </c>
      <c r="D201" s="259">
        <v>0</v>
      </c>
      <c r="E201" s="120">
        <v>0</v>
      </c>
      <c r="F201" s="120">
        <v>0</v>
      </c>
      <c r="G201" s="120">
        <v>0</v>
      </c>
      <c r="H201" s="120">
        <v>0</v>
      </c>
      <c r="I201" s="120">
        <v>0</v>
      </c>
      <c r="J201" s="120">
        <v>0</v>
      </c>
      <c r="K201" s="223">
        <f t="shared" si="21"/>
        <v>0</v>
      </c>
      <c r="L201" s="224">
        <f t="shared" si="22"/>
        <v>0</v>
      </c>
      <c r="M201" s="304"/>
      <c r="N201" s="262"/>
      <c r="O201" s="263"/>
    </row>
    <row r="202" spans="1:15" ht="30" x14ac:dyDescent="0.25">
      <c r="A202" s="210">
        <v>5152</v>
      </c>
      <c r="B202" s="211" t="s">
        <v>437</v>
      </c>
      <c r="C202" s="301">
        <v>0</v>
      </c>
      <c r="D202" s="259">
        <v>0</v>
      </c>
      <c r="E202" s="120">
        <v>0</v>
      </c>
      <c r="F202" s="120">
        <v>0</v>
      </c>
      <c r="G202" s="120">
        <v>0</v>
      </c>
      <c r="H202" s="120">
        <v>0</v>
      </c>
      <c r="I202" s="120">
        <v>0</v>
      </c>
      <c r="J202" s="120">
        <v>0</v>
      </c>
      <c r="K202" s="223">
        <f t="shared" si="21"/>
        <v>0</v>
      </c>
      <c r="L202" s="224">
        <f t="shared" si="22"/>
        <v>0</v>
      </c>
      <c r="M202" s="304"/>
      <c r="N202" s="262"/>
      <c r="O202" s="263"/>
    </row>
    <row r="203" spans="1:15" ht="15" x14ac:dyDescent="0.25">
      <c r="A203" s="210">
        <v>5161</v>
      </c>
      <c r="B203" s="211" t="s">
        <v>438</v>
      </c>
      <c r="C203" s="301">
        <v>1</v>
      </c>
      <c r="D203" s="259">
        <v>0</v>
      </c>
      <c r="E203" s="120">
        <v>0</v>
      </c>
      <c r="F203" s="120">
        <v>0</v>
      </c>
      <c r="G203" s="120">
        <v>0</v>
      </c>
      <c r="H203" s="120">
        <v>0</v>
      </c>
      <c r="I203" s="120">
        <v>0</v>
      </c>
      <c r="J203" s="120">
        <v>0</v>
      </c>
      <c r="K203" s="223">
        <f t="shared" si="21"/>
        <v>1</v>
      </c>
      <c r="L203" s="224">
        <f t="shared" si="22"/>
        <v>0</v>
      </c>
      <c r="M203" s="304"/>
      <c r="N203" s="262"/>
      <c r="O203" s="263"/>
    </row>
    <row r="204" spans="1:15" ht="15" x14ac:dyDescent="0.25">
      <c r="A204" s="210">
        <v>5162</v>
      </c>
      <c r="B204" s="211" t="s">
        <v>439</v>
      </c>
      <c r="C204" s="301">
        <v>0</v>
      </c>
      <c r="D204" s="259">
        <v>0</v>
      </c>
      <c r="E204" s="120">
        <v>0</v>
      </c>
      <c r="F204" s="120">
        <v>0</v>
      </c>
      <c r="G204" s="120">
        <v>0</v>
      </c>
      <c r="H204" s="120">
        <v>0</v>
      </c>
      <c r="I204" s="120">
        <v>0</v>
      </c>
      <c r="J204" s="120">
        <v>0</v>
      </c>
      <c r="K204" s="223">
        <f t="shared" ref="K204:K209" si="23">C204+E204-G204-I204</f>
        <v>0</v>
      </c>
      <c r="L204" s="224">
        <f t="shared" ref="L204:L209" si="24">D204+F204-H204-J204</f>
        <v>0</v>
      </c>
      <c r="M204" s="304"/>
      <c r="N204" s="262"/>
      <c r="O204" s="263"/>
    </row>
    <row r="205" spans="1:15" ht="15" x14ac:dyDescent="0.25">
      <c r="A205" s="210">
        <v>5163</v>
      </c>
      <c r="B205" s="211" t="s">
        <v>440</v>
      </c>
      <c r="C205" s="301">
        <v>0</v>
      </c>
      <c r="D205" s="259">
        <v>1</v>
      </c>
      <c r="E205" s="120">
        <v>0</v>
      </c>
      <c r="F205" s="120">
        <v>0</v>
      </c>
      <c r="G205" s="120">
        <v>0</v>
      </c>
      <c r="H205" s="120">
        <v>0</v>
      </c>
      <c r="I205" s="120">
        <v>0</v>
      </c>
      <c r="J205" s="120">
        <v>0</v>
      </c>
      <c r="K205" s="223">
        <f t="shared" si="23"/>
        <v>0</v>
      </c>
      <c r="L205" s="224">
        <f t="shared" si="24"/>
        <v>1</v>
      </c>
      <c r="M205" s="304"/>
      <c r="N205" s="262"/>
      <c r="O205" s="263"/>
    </row>
    <row r="206" spans="1:15" ht="30" x14ac:dyDescent="0.25">
      <c r="A206" s="210">
        <v>5169</v>
      </c>
      <c r="B206" s="211" t="s">
        <v>441</v>
      </c>
      <c r="C206" s="301">
        <v>2</v>
      </c>
      <c r="D206" s="259">
        <v>0</v>
      </c>
      <c r="E206" s="120">
        <v>0</v>
      </c>
      <c r="F206" s="120">
        <v>0</v>
      </c>
      <c r="G206" s="120">
        <v>0</v>
      </c>
      <c r="H206" s="120">
        <v>0</v>
      </c>
      <c r="I206" s="120">
        <v>0</v>
      </c>
      <c r="J206" s="120">
        <v>0</v>
      </c>
      <c r="K206" s="223">
        <f t="shared" si="23"/>
        <v>2</v>
      </c>
      <c r="L206" s="224">
        <f t="shared" si="24"/>
        <v>0</v>
      </c>
      <c r="M206" s="304"/>
      <c r="N206" s="262"/>
      <c r="O206" s="263"/>
    </row>
    <row r="207" spans="1:15" ht="15" x14ac:dyDescent="0.25">
      <c r="A207" s="210">
        <v>5210</v>
      </c>
      <c r="B207" s="211" t="s">
        <v>442</v>
      </c>
      <c r="C207" s="301">
        <v>0</v>
      </c>
      <c r="D207" s="259">
        <v>0</v>
      </c>
      <c r="E207" s="120">
        <v>0</v>
      </c>
      <c r="F207" s="120">
        <v>0</v>
      </c>
      <c r="G207" s="120">
        <v>0</v>
      </c>
      <c r="H207" s="120">
        <v>0</v>
      </c>
      <c r="I207" s="120">
        <v>0</v>
      </c>
      <c r="J207" s="120">
        <v>0</v>
      </c>
      <c r="K207" s="223">
        <f t="shared" si="23"/>
        <v>0</v>
      </c>
      <c r="L207" s="224">
        <f t="shared" si="24"/>
        <v>0</v>
      </c>
      <c r="M207" s="304"/>
      <c r="N207" s="262"/>
      <c r="O207" s="263"/>
    </row>
    <row r="208" spans="1:15" ht="15" x14ac:dyDescent="0.25">
      <c r="A208" s="210">
        <v>5220</v>
      </c>
      <c r="B208" s="211" t="s">
        <v>443</v>
      </c>
      <c r="C208" s="301">
        <v>31</v>
      </c>
      <c r="D208" s="259">
        <v>4</v>
      </c>
      <c r="E208" s="120">
        <v>0</v>
      </c>
      <c r="F208" s="120">
        <v>0</v>
      </c>
      <c r="G208" s="120">
        <v>0</v>
      </c>
      <c r="H208" s="120">
        <v>0</v>
      </c>
      <c r="I208" s="120">
        <v>0</v>
      </c>
      <c r="J208" s="120">
        <v>0</v>
      </c>
      <c r="K208" s="223">
        <f t="shared" si="23"/>
        <v>31</v>
      </c>
      <c r="L208" s="224">
        <f t="shared" si="24"/>
        <v>4</v>
      </c>
      <c r="M208" s="304"/>
      <c r="N208" s="262"/>
      <c r="O208" s="263"/>
    </row>
    <row r="209" spans="1:15" ht="30.75" thickBot="1" x14ac:dyDescent="0.3">
      <c r="A209" s="204">
        <v>5230</v>
      </c>
      <c r="B209" s="205" t="s">
        <v>444</v>
      </c>
      <c r="C209" s="300">
        <v>0</v>
      </c>
      <c r="D209" s="257">
        <v>0</v>
      </c>
      <c r="E209" s="209">
        <v>0</v>
      </c>
      <c r="F209" s="209">
        <v>0</v>
      </c>
      <c r="G209" s="209">
        <v>0</v>
      </c>
      <c r="H209" s="209">
        <v>0</v>
      </c>
      <c r="I209" s="209">
        <v>0</v>
      </c>
      <c r="J209" s="209">
        <v>0</v>
      </c>
      <c r="K209" s="221">
        <f t="shared" si="23"/>
        <v>0</v>
      </c>
      <c r="L209" s="225">
        <f t="shared" si="24"/>
        <v>0</v>
      </c>
      <c r="M209" s="304"/>
      <c r="N209" s="262"/>
      <c r="O209" s="263"/>
    </row>
    <row r="210" spans="1:15" ht="30.75" thickBot="1" x14ac:dyDescent="0.3">
      <c r="A210" s="254">
        <v>6</v>
      </c>
      <c r="B210" s="255" t="s">
        <v>445</v>
      </c>
      <c r="C210" s="218"/>
      <c r="D210" s="299"/>
      <c r="E210" s="218"/>
      <c r="F210" s="218"/>
      <c r="G210" s="218"/>
      <c r="H210" s="218"/>
      <c r="I210" s="218"/>
      <c r="J210" s="218"/>
      <c r="K210" s="226"/>
      <c r="L210" s="227"/>
      <c r="M210" s="304"/>
      <c r="N210" s="262"/>
      <c r="O210" s="263"/>
    </row>
    <row r="211" spans="1:15" ht="15" x14ac:dyDescent="0.25">
      <c r="A211" s="204">
        <v>6111</v>
      </c>
      <c r="B211" s="205" t="s">
        <v>446</v>
      </c>
      <c r="C211" s="300">
        <v>0</v>
      </c>
      <c r="D211" s="257">
        <v>0</v>
      </c>
      <c r="E211" s="209">
        <v>0</v>
      </c>
      <c r="F211" s="209">
        <v>0</v>
      </c>
      <c r="G211" s="209">
        <v>0</v>
      </c>
      <c r="H211" s="209">
        <v>0</v>
      </c>
      <c r="I211" s="209">
        <v>0</v>
      </c>
      <c r="J211" s="209">
        <v>0</v>
      </c>
      <c r="K211" s="221">
        <f>C211+E211-G211-I211</f>
        <v>0</v>
      </c>
      <c r="L211" s="225">
        <f>D211+F211-H211-J211</f>
        <v>0</v>
      </c>
      <c r="M211" s="304"/>
      <c r="N211" s="262"/>
      <c r="O211" s="263"/>
    </row>
    <row r="212" spans="1:15" ht="15" x14ac:dyDescent="0.25">
      <c r="A212" s="210">
        <v>6112</v>
      </c>
      <c r="B212" s="211" t="s">
        <v>447</v>
      </c>
      <c r="C212" s="301">
        <v>78</v>
      </c>
      <c r="D212" s="259">
        <v>1</v>
      </c>
      <c r="E212" s="120">
        <v>0</v>
      </c>
      <c r="F212" s="120">
        <v>0</v>
      </c>
      <c r="G212" s="120">
        <v>0</v>
      </c>
      <c r="H212" s="120">
        <v>0</v>
      </c>
      <c r="I212" s="120">
        <v>0</v>
      </c>
      <c r="J212" s="120">
        <v>0</v>
      </c>
      <c r="K212" s="223">
        <f t="shared" ref="K212:K226" si="25">C212+E212-G212-I212</f>
        <v>78</v>
      </c>
      <c r="L212" s="224">
        <f t="shared" ref="L212:L226" si="26">D212+F212-H212-J212</f>
        <v>1</v>
      </c>
      <c r="M212" s="304"/>
      <c r="N212" s="262"/>
      <c r="O212" s="263"/>
    </row>
    <row r="213" spans="1:15" ht="30" x14ac:dyDescent="0.25">
      <c r="A213" s="210">
        <v>6113</v>
      </c>
      <c r="B213" s="211" t="s">
        <v>448</v>
      </c>
      <c r="C213" s="301">
        <v>0</v>
      </c>
      <c r="D213" s="259">
        <v>0</v>
      </c>
      <c r="E213" s="120">
        <v>0</v>
      </c>
      <c r="F213" s="120">
        <v>0</v>
      </c>
      <c r="G213" s="120">
        <v>0</v>
      </c>
      <c r="H213" s="120">
        <v>0</v>
      </c>
      <c r="I213" s="120">
        <v>0</v>
      </c>
      <c r="J213" s="120">
        <v>0</v>
      </c>
      <c r="K213" s="223">
        <f t="shared" si="25"/>
        <v>0</v>
      </c>
      <c r="L213" s="224">
        <f t="shared" si="26"/>
        <v>0</v>
      </c>
      <c r="M213" s="304"/>
      <c r="N213" s="262"/>
      <c r="O213" s="263"/>
    </row>
    <row r="214" spans="1:15" ht="15" x14ac:dyDescent="0.25">
      <c r="A214" s="210">
        <v>6114</v>
      </c>
      <c r="B214" s="211" t="s">
        <v>449</v>
      </c>
      <c r="C214" s="301">
        <v>0</v>
      </c>
      <c r="D214" s="259">
        <v>0</v>
      </c>
      <c r="E214" s="120">
        <v>0</v>
      </c>
      <c r="F214" s="120">
        <v>0</v>
      </c>
      <c r="G214" s="120">
        <v>0</v>
      </c>
      <c r="H214" s="120">
        <v>0</v>
      </c>
      <c r="I214" s="120">
        <v>0</v>
      </c>
      <c r="J214" s="120">
        <v>0</v>
      </c>
      <c r="K214" s="223">
        <f t="shared" si="25"/>
        <v>0</v>
      </c>
      <c r="L214" s="224">
        <f t="shared" si="26"/>
        <v>0</v>
      </c>
      <c r="M214" s="304"/>
      <c r="N214" s="262"/>
      <c r="O214" s="263"/>
    </row>
    <row r="215" spans="1:15" ht="15" x14ac:dyDescent="0.25">
      <c r="A215" s="210">
        <v>6121</v>
      </c>
      <c r="B215" s="211" t="s">
        <v>450</v>
      </c>
      <c r="C215" s="301">
        <v>0</v>
      </c>
      <c r="D215" s="259">
        <v>0</v>
      </c>
      <c r="E215" s="120">
        <v>0</v>
      </c>
      <c r="F215" s="120">
        <v>0</v>
      </c>
      <c r="G215" s="120">
        <v>0</v>
      </c>
      <c r="H215" s="120">
        <v>0</v>
      </c>
      <c r="I215" s="120">
        <v>0</v>
      </c>
      <c r="J215" s="120">
        <v>0</v>
      </c>
      <c r="K215" s="223">
        <f t="shared" si="25"/>
        <v>0</v>
      </c>
      <c r="L215" s="224">
        <f t="shared" si="26"/>
        <v>0</v>
      </c>
      <c r="M215" s="304"/>
      <c r="N215" s="262"/>
      <c r="O215" s="263"/>
    </row>
    <row r="216" spans="1:15" ht="15" x14ac:dyDescent="0.25">
      <c r="A216" s="210">
        <v>6122</v>
      </c>
      <c r="B216" s="211" t="s">
        <v>451</v>
      </c>
      <c r="C216" s="301">
        <v>7</v>
      </c>
      <c r="D216" s="259">
        <v>0</v>
      </c>
      <c r="E216" s="120">
        <v>0</v>
      </c>
      <c r="F216" s="120">
        <v>0</v>
      </c>
      <c r="G216" s="120">
        <v>0</v>
      </c>
      <c r="H216" s="120">
        <v>0</v>
      </c>
      <c r="I216" s="120">
        <v>0</v>
      </c>
      <c r="J216" s="120">
        <v>0</v>
      </c>
      <c r="K216" s="223">
        <f t="shared" si="25"/>
        <v>7</v>
      </c>
      <c r="L216" s="224">
        <f t="shared" si="26"/>
        <v>0</v>
      </c>
      <c r="M216" s="304"/>
      <c r="N216" s="262"/>
      <c r="O216" s="263"/>
    </row>
    <row r="217" spans="1:15" ht="15" x14ac:dyDescent="0.25">
      <c r="A217" s="210">
        <v>6123</v>
      </c>
      <c r="B217" s="211" t="s">
        <v>452</v>
      </c>
      <c r="C217" s="301">
        <v>0</v>
      </c>
      <c r="D217" s="259">
        <v>0</v>
      </c>
      <c r="E217" s="120">
        <v>0</v>
      </c>
      <c r="F217" s="120">
        <v>0</v>
      </c>
      <c r="G217" s="120">
        <v>0</v>
      </c>
      <c r="H217" s="120">
        <v>0</v>
      </c>
      <c r="I217" s="120">
        <v>0</v>
      </c>
      <c r="J217" s="120">
        <v>0</v>
      </c>
      <c r="K217" s="223">
        <f t="shared" si="25"/>
        <v>0</v>
      </c>
      <c r="L217" s="224">
        <f t="shared" si="26"/>
        <v>0</v>
      </c>
      <c r="M217" s="304"/>
      <c r="N217" s="262"/>
      <c r="O217" s="263"/>
    </row>
    <row r="218" spans="1:15" ht="45" x14ac:dyDescent="0.25">
      <c r="A218" s="210">
        <v>6129</v>
      </c>
      <c r="B218" s="211" t="s">
        <v>453</v>
      </c>
      <c r="C218" s="301">
        <v>0</v>
      </c>
      <c r="D218" s="259">
        <v>0</v>
      </c>
      <c r="E218" s="120">
        <v>0</v>
      </c>
      <c r="F218" s="120">
        <v>0</v>
      </c>
      <c r="G218" s="120">
        <v>0</v>
      </c>
      <c r="H218" s="120">
        <v>0</v>
      </c>
      <c r="I218" s="120">
        <v>0</v>
      </c>
      <c r="J218" s="120">
        <v>0</v>
      </c>
      <c r="K218" s="223">
        <f t="shared" si="25"/>
        <v>0</v>
      </c>
      <c r="L218" s="224">
        <f t="shared" si="26"/>
        <v>0</v>
      </c>
      <c r="M218" s="304"/>
      <c r="N218" s="262"/>
      <c r="O218" s="263"/>
    </row>
    <row r="219" spans="1:15" ht="30" x14ac:dyDescent="0.25">
      <c r="A219" s="210">
        <v>6130</v>
      </c>
      <c r="B219" s="211" t="s">
        <v>454</v>
      </c>
      <c r="C219" s="301">
        <v>0</v>
      </c>
      <c r="D219" s="259">
        <v>0</v>
      </c>
      <c r="E219" s="120">
        <v>0</v>
      </c>
      <c r="F219" s="120">
        <v>0</v>
      </c>
      <c r="G219" s="120">
        <v>0</v>
      </c>
      <c r="H219" s="120">
        <v>0</v>
      </c>
      <c r="I219" s="120">
        <v>0</v>
      </c>
      <c r="J219" s="120">
        <v>0</v>
      </c>
      <c r="K219" s="223">
        <f t="shared" si="25"/>
        <v>0</v>
      </c>
      <c r="L219" s="224">
        <f t="shared" si="26"/>
        <v>0</v>
      </c>
      <c r="M219" s="304"/>
      <c r="N219" s="262"/>
      <c r="O219" s="263"/>
    </row>
    <row r="220" spans="1:15" ht="15" x14ac:dyDescent="0.25">
      <c r="A220" s="210">
        <v>6141</v>
      </c>
      <c r="B220" s="211" t="s">
        <v>455</v>
      </c>
      <c r="C220" s="301">
        <v>0</v>
      </c>
      <c r="D220" s="259">
        <v>0</v>
      </c>
      <c r="E220" s="120">
        <v>0</v>
      </c>
      <c r="F220" s="120">
        <v>0</v>
      </c>
      <c r="G220" s="120">
        <v>0</v>
      </c>
      <c r="H220" s="120">
        <v>0</v>
      </c>
      <c r="I220" s="120">
        <v>0</v>
      </c>
      <c r="J220" s="120">
        <v>0</v>
      </c>
      <c r="K220" s="223">
        <f t="shared" si="25"/>
        <v>0</v>
      </c>
      <c r="L220" s="224">
        <f t="shared" si="26"/>
        <v>0</v>
      </c>
      <c r="M220" s="304"/>
      <c r="N220" s="262"/>
      <c r="O220" s="263"/>
    </row>
    <row r="221" spans="1:15" ht="30" x14ac:dyDescent="0.25">
      <c r="A221" s="210">
        <v>6142</v>
      </c>
      <c r="B221" s="211" t="s">
        <v>456</v>
      </c>
      <c r="C221" s="301">
        <v>0</v>
      </c>
      <c r="D221" s="259">
        <v>0</v>
      </c>
      <c r="E221" s="120">
        <v>0</v>
      </c>
      <c r="F221" s="120">
        <v>0</v>
      </c>
      <c r="G221" s="120">
        <v>0</v>
      </c>
      <c r="H221" s="120">
        <v>0</v>
      </c>
      <c r="I221" s="120">
        <v>0</v>
      </c>
      <c r="J221" s="120">
        <v>0</v>
      </c>
      <c r="K221" s="223">
        <f t="shared" si="25"/>
        <v>0</v>
      </c>
      <c r="L221" s="224">
        <f t="shared" si="26"/>
        <v>0</v>
      </c>
      <c r="M221" s="304"/>
      <c r="N221" s="262"/>
      <c r="O221" s="263"/>
    </row>
    <row r="222" spans="1:15" ht="15" x14ac:dyDescent="0.25">
      <c r="A222" s="210">
        <v>6151</v>
      </c>
      <c r="B222" s="211" t="s">
        <v>457</v>
      </c>
      <c r="C222" s="301">
        <v>0</v>
      </c>
      <c r="D222" s="259">
        <v>0</v>
      </c>
      <c r="E222" s="120">
        <v>0</v>
      </c>
      <c r="F222" s="120">
        <v>0</v>
      </c>
      <c r="G222" s="120">
        <v>0</v>
      </c>
      <c r="H222" s="120">
        <v>0</v>
      </c>
      <c r="I222" s="120">
        <v>0</v>
      </c>
      <c r="J222" s="120">
        <v>0</v>
      </c>
      <c r="K222" s="223">
        <f t="shared" si="25"/>
        <v>0</v>
      </c>
      <c r="L222" s="224">
        <f t="shared" si="26"/>
        <v>0</v>
      </c>
      <c r="M222" s="304"/>
      <c r="N222" s="262"/>
      <c r="O222" s="263"/>
    </row>
    <row r="223" spans="1:15" ht="15" customHeight="1" x14ac:dyDescent="0.25">
      <c r="A223" s="210">
        <v>6152</v>
      </c>
      <c r="B223" s="211" t="s">
        <v>458</v>
      </c>
      <c r="C223" s="301">
        <v>0</v>
      </c>
      <c r="D223" s="259">
        <v>0</v>
      </c>
      <c r="E223" s="120">
        <v>0</v>
      </c>
      <c r="F223" s="120">
        <v>0</v>
      </c>
      <c r="G223" s="120">
        <v>0</v>
      </c>
      <c r="H223" s="120">
        <v>0</v>
      </c>
      <c r="I223" s="120">
        <v>0</v>
      </c>
      <c r="J223" s="120">
        <v>0</v>
      </c>
      <c r="K223" s="223">
        <f t="shared" si="25"/>
        <v>0</v>
      </c>
      <c r="L223" s="224">
        <f t="shared" si="26"/>
        <v>0</v>
      </c>
      <c r="M223" s="304"/>
      <c r="N223" s="262"/>
      <c r="O223" s="263"/>
    </row>
    <row r="224" spans="1:15" ht="15" x14ac:dyDescent="0.25">
      <c r="A224" s="210">
        <v>6153</v>
      </c>
      <c r="B224" s="211" t="s">
        <v>459</v>
      </c>
      <c r="C224" s="301">
        <v>0</v>
      </c>
      <c r="D224" s="259">
        <v>0</v>
      </c>
      <c r="E224" s="120">
        <v>0</v>
      </c>
      <c r="F224" s="120">
        <v>0</v>
      </c>
      <c r="G224" s="120">
        <v>0</v>
      </c>
      <c r="H224" s="120">
        <v>0</v>
      </c>
      <c r="I224" s="120">
        <v>0</v>
      </c>
      <c r="J224" s="120">
        <v>0</v>
      </c>
      <c r="K224" s="223">
        <f t="shared" si="25"/>
        <v>0</v>
      </c>
      <c r="L224" s="224">
        <f t="shared" si="26"/>
        <v>0</v>
      </c>
      <c r="M224" s="304"/>
      <c r="N224" s="262"/>
      <c r="O224" s="263"/>
    </row>
    <row r="225" spans="1:15" ht="15" x14ac:dyDescent="0.25">
      <c r="A225" s="210">
        <v>6154</v>
      </c>
      <c r="B225" s="211" t="s">
        <v>460</v>
      </c>
      <c r="C225" s="301">
        <v>0</v>
      </c>
      <c r="D225" s="259">
        <v>0</v>
      </c>
      <c r="E225" s="120">
        <v>0</v>
      </c>
      <c r="F225" s="120">
        <v>0</v>
      </c>
      <c r="G225" s="120">
        <v>0</v>
      </c>
      <c r="H225" s="120">
        <v>0</v>
      </c>
      <c r="I225" s="120">
        <v>0</v>
      </c>
      <c r="J225" s="120">
        <v>0</v>
      </c>
      <c r="K225" s="223">
        <f t="shared" si="25"/>
        <v>0</v>
      </c>
      <c r="L225" s="224">
        <f t="shared" si="26"/>
        <v>0</v>
      </c>
      <c r="M225" s="304"/>
      <c r="N225" s="262"/>
      <c r="O225" s="263"/>
    </row>
    <row r="226" spans="1:15" ht="15.75" thickBot="1" x14ac:dyDescent="0.3">
      <c r="A226" s="204">
        <v>6210</v>
      </c>
      <c r="B226" s="205" t="s">
        <v>461</v>
      </c>
      <c r="C226" s="300">
        <v>4</v>
      </c>
      <c r="D226" s="257">
        <v>2</v>
      </c>
      <c r="E226" s="209">
        <v>0</v>
      </c>
      <c r="F226" s="209">
        <v>0</v>
      </c>
      <c r="G226" s="209">
        <v>0</v>
      </c>
      <c r="H226" s="209">
        <v>0</v>
      </c>
      <c r="I226" s="209">
        <v>0</v>
      </c>
      <c r="J226" s="209">
        <v>0</v>
      </c>
      <c r="K226" s="221">
        <f t="shared" si="25"/>
        <v>4</v>
      </c>
      <c r="L226" s="225">
        <f t="shared" si="26"/>
        <v>2</v>
      </c>
      <c r="M226" s="304"/>
      <c r="N226" s="262"/>
      <c r="O226" s="263"/>
    </row>
    <row r="227" spans="1:15" ht="15.75" thickBot="1" x14ac:dyDescent="0.3">
      <c r="A227" s="312">
        <v>7</v>
      </c>
      <c r="B227" s="255" t="s">
        <v>462</v>
      </c>
      <c r="C227" s="218"/>
      <c r="D227" s="299"/>
      <c r="E227" s="218"/>
      <c r="F227" s="218"/>
      <c r="G227" s="218"/>
      <c r="H227" s="218"/>
      <c r="I227" s="218"/>
      <c r="J227" s="218"/>
      <c r="K227" s="226"/>
      <c r="L227" s="227"/>
      <c r="M227" s="304"/>
      <c r="N227" s="262"/>
      <c r="O227" s="263"/>
    </row>
    <row r="228" spans="1:15" ht="30" x14ac:dyDescent="0.25">
      <c r="A228" s="204">
        <v>7111</v>
      </c>
      <c r="B228" s="205" t="s">
        <v>463</v>
      </c>
      <c r="C228" s="300">
        <v>3</v>
      </c>
      <c r="D228" s="257">
        <v>0</v>
      </c>
      <c r="E228" s="209">
        <v>0</v>
      </c>
      <c r="F228" s="209">
        <v>0</v>
      </c>
      <c r="G228" s="209">
        <v>0</v>
      </c>
      <c r="H228" s="209">
        <v>0</v>
      </c>
      <c r="I228" s="209">
        <v>0</v>
      </c>
      <c r="J228" s="209">
        <v>0</v>
      </c>
      <c r="K228" s="221">
        <f>C228+E228-G228-I228</f>
        <v>3</v>
      </c>
      <c r="L228" s="225">
        <f>D228+F228-H228-J228</f>
        <v>0</v>
      </c>
      <c r="M228" s="304"/>
      <c r="N228" s="262"/>
      <c r="O228" s="263"/>
    </row>
    <row r="229" spans="1:15" ht="15" x14ac:dyDescent="0.25">
      <c r="A229" s="210">
        <v>7112</v>
      </c>
      <c r="B229" s="211" t="s">
        <v>464</v>
      </c>
      <c r="C229" s="301">
        <v>2</v>
      </c>
      <c r="D229" s="259">
        <v>0</v>
      </c>
      <c r="E229" s="120">
        <v>0</v>
      </c>
      <c r="F229" s="120">
        <v>0</v>
      </c>
      <c r="G229" s="120">
        <v>0</v>
      </c>
      <c r="H229" s="120">
        <v>0</v>
      </c>
      <c r="I229" s="120">
        <v>0</v>
      </c>
      <c r="J229" s="120">
        <v>0</v>
      </c>
      <c r="K229" s="223">
        <f t="shared" ref="K229:K234" si="27">C229+E229-G229-I229</f>
        <v>2</v>
      </c>
      <c r="L229" s="224">
        <f t="shared" ref="L229:L234" si="28">D229+F229-H229-J229</f>
        <v>0</v>
      </c>
      <c r="M229" s="304"/>
      <c r="N229" s="262"/>
      <c r="O229" s="263"/>
    </row>
    <row r="230" spans="1:15" ht="15" x14ac:dyDescent="0.25">
      <c r="A230" s="210">
        <v>7113</v>
      </c>
      <c r="B230" s="211" t="s">
        <v>465</v>
      </c>
      <c r="C230" s="301">
        <v>0</v>
      </c>
      <c r="D230" s="259">
        <v>0</v>
      </c>
      <c r="E230" s="120">
        <v>0</v>
      </c>
      <c r="F230" s="120">
        <v>0</v>
      </c>
      <c r="G230" s="120">
        <v>0</v>
      </c>
      <c r="H230" s="120">
        <v>0</v>
      </c>
      <c r="I230" s="120">
        <v>0</v>
      </c>
      <c r="J230" s="120">
        <v>0</v>
      </c>
      <c r="K230" s="223">
        <f t="shared" si="27"/>
        <v>0</v>
      </c>
      <c r="L230" s="224">
        <f t="shared" si="28"/>
        <v>0</v>
      </c>
      <c r="M230" s="304"/>
      <c r="N230" s="262"/>
      <c r="O230" s="263"/>
    </row>
    <row r="231" spans="1:15" ht="15" x14ac:dyDescent="0.25">
      <c r="A231" s="210">
        <v>7121</v>
      </c>
      <c r="B231" s="211" t="s">
        <v>466</v>
      </c>
      <c r="C231" s="301">
        <v>0</v>
      </c>
      <c r="D231" s="259">
        <v>0</v>
      </c>
      <c r="E231" s="120">
        <v>0</v>
      </c>
      <c r="F231" s="120">
        <v>0</v>
      </c>
      <c r="G231" s="120">
        <v>0</v>
      </c>
      <c r="H231" s="120">
        <v>0</v>
      </c>
      <c r="I231" s="120">
        <v>0</v>
      </c>
      <c r="J231" s="120">
        <v>0</v>
      </c>
      <c r="K231" s="223">
        <f t="shared" si="27"/>
        <v>0</v>
      </c>
      <c r="L231" s="224">
        <f t="shared" si="28"/>
        <v>0</v>
      </c>
      <c r="M231" s="304"/>
      <c r="N231" s="262"/>
      <c r="O231" s="263"/>
    </row>
    <row r="232" spans="1:15" ht="15" x14ac:dyDescent="0.25">
      <c r="A232" s="210">
        <v>7122</v>
      </c>
      <c r="B232" s="211" t="s">
        <v>467</v>
      </c>
      <c r="C232" s="301">
        <v>0</v>
      </c>
      <c r="D232" s="259">
        <v>0</v>
      </c>
      <c r="E232" s="120">
        <v>0</v>
      </c>
      <c r="F232" s="120">
        <v>0</v>
      </c>
      <c r="G232" s="120">
        <v>0</v>
      </c>
      <c r="H232" s="120">
        <v>0</v>
      </c>
      <c r="I232" s="120">
        <v>0</v>
      </c>
      <c r="J232" s="120">
        <v>0</v>
      </c>
      <c r="K232" s="223">
        <f t="shared" si="27"/>
        <v>0</v>
      </c>
      <c r="L232" s="224">
        <f t="shared" si="28"/>
        <v>0</v>
      </c>
      <c r="M232" s="304"/>
      <c r="N232" s="262"/>
      <c r="O232" s="263"/>
    </row>
    <row r="233" spans="1:15" ht="30" x14ac:dyDescent="0.25">
      <c r="A233" s="210">
        <v>7123</v>
      </c>
      <c r="B233" s="211" t="s">
        <v>468</v>
      </c>
      <c r="C233" s="301">
        <v>0</v>
      </c>
      <c r="D233" s="259">
        <v>0</v>
      </c>
      <c r="E233" s="120">
        <v>0</v>
      </c>
      <c r="F233" s="120">
        <v>0</v>
      </c>
      <c r="G233" s="120">
        <v>0</v>
      </c>
      <c r="H233" s="120">
        <v>0</v>
      </c>
      <c r="I233" s="120">
        <v>0</v>
      </c>
      <c r="J233" s="120">
        <v>0</v>
      </c>
      <c r="K233" s="223">
        <f t="shared" si="27"/>
        <v>0</v>
      </c>
      <c r="L233" s="224">
        <f t="shared" si="28"/>
        <v>0</v>
      </c>
      <c r="M233" s="304"/>
      <c r="N233" s="262"/>
      <c r="O233" s="263"/>
    </row>
    <row r="234" spans="1:15" ht="30" x14ac:dyDescent="0.25">
      <c r="A234" s="210">
        <v>7124</v>
      </c>
      <c r="B234" s="211" t="s">
        <v>469</v>
      </c>
      <c r="C234" s="301">
        <v>0</v>
      </c>
      <c r="D234" s="259">
        <v>0</v>
      </c>
      <c r="E234" s="120">
        <v>0</v>
      </c>
      <c r="F234" s="120">
        <v>0</v>
      </c>
      <c r="G234" s="120">
        <v>0</v>
      </c>
      <c r="H234" s="120">
        <v>0</v>
      </c>
      <c r="I234" s="120">
        <v>0</v>
      </c>
      <c r="J234" s="120">
        <v>0</v>
      </c>
      <c r="K234" s="223">
        <f t="shared" si="27"/>
        <v>0</v>
      </c>
      <c r="L234" s="224">
        <f t="shared" si="28"/>
        <v>0</v>
      </c>
      <c r="M234" s="304"/>
      <c r="N234" s="262"/>
      <c r="O234" s="263"/>
    </row>
    <row r="235" spans="1:15" ht="30" x14ac:dyDescent="0.25">
      <c r="A235" s="210">
        <v>7129</v>
      </c>
      <c r="B235" s="211" t="s">
        <v>469</v>
      </c>
      <c r="C235" s="301">
        <v>78</v>
      </c>
      <c r="D235" s="259">
        <v>7</v>
      </c>
      <c r="E235" s="120">
        <v>0</v>
      </c>
      <c r="F235" s="120">
        <v>0</v>
      </c>
      <c r="G235" s="120">
        <v>0</v>
      </c>
      <c r="H235" s="120">
        <v>0</v>
      </c>
      <c r="I235" s="120">
        <v>0</v>
      </c>
      <c r="J235" s="120">
        <v>0</v>
      </c>
      <c r="K235" s="223">
        <f t="shared" ref="K235:K256" si="29">C235+E235-G235-I235</f>
        <v>78</v>
      </c>
      <c r="L235" s="224">
        <f t="shared" ref="L235:L256" si="30">D235+F235-H235-J235</f>
        <v>7</v>
      </c>
      <c r="M235" s="304"/>
      <c r="N235" s="262"/>
      <c r="O235" s="263"/>
    </row>
    <row r="236" spans="1:15" ht="15" x14ac:dyDescent="0.25">
      <c r="A236" s="210">
        <v>7131</v>
      </c>
      <c r="B236" s="211" t="s">
        <v>470</v>
      </c>
      <c r="C236" s="301">
        <v>0</v>
      </c>
      <c r="D236" s="259">
        <v>0</v>
      </c>
      <c r="E236" s="120">
        <v>0</v>
      </c>
      <c r="F236" s="120">
        <v>0</v>
      </c>
      <c r="G236" s="120">
        <v>0</v>
      </c>
      <c r="H236" s="120">
        <v>0</v>
      </c>
      <c r="I236" s="120">
        <v>0</v>
      </c>
      <c r="J236" s="120">
        <v>0</v>
      </c>
      <c r="K236" s="223">
        <f t="shared" si="29"/>
        <v>0</v>
      </c>
      <c r="L236" s="224">
        <f t="shared" si="30"/>
        <v>0</v>
      </c>
      <c r="M236" s="304"/>
      <c r="N236" s="262"/>
      <c r="O236" s="263"/>
    </row>
    <row r="237" spans="1:15" ht="15" x14ac:dyDescent="0.25">
      <c r="A237" s="210">
        <v>7132</v>
      </c>
      <c r="B237" s="211" t="s">
        <v>471</v>
      </c>
      <c r="C237" s="301">
        <v>0</v>
      </c>
      <c r="D237" s="259">
        <v>0</v>
      </c>
      <c r="E237" s="120">
        <v>0</v>
      </c>
      <c r="F237" s="120">
        <v>0</v>
      </c>
      <c r="G237" s="120">
        <v>0</v>
      </c>
      <c r="H237" s="120">
        <v>0</v>
      </c>
      <c r="I237" s="120">
        <v>0</v>
      </c>
      <c r="J237" s="120">
        <v>0</v>
      </c>
      <c r="K237" s="223">
        <f t="shared" si="29"/>
        <v>0</v>
      </c>
      <c r="L237" s="224">
        <f t="shared" si="30"/>
        <v>0</v>
      </c>
      <c r="M237" s="304"/>
      <c r="N237" s="262"/>
      <c r="O237" s="263"/>
    </row>
    <row r="238" spans="1:15" ht="15" x14ac:dyDescent="0.25">
      <c r="A238" s="210">
        <v>7133</v>
      </c>
      <c r="B238" s="211" t="s">
        <v>472</v>
      </c>
      <c r="C238" s="301">
        <v>0</v>
      </c>
      <c r="D238" s="259">
        <v>0</v>
      </c>
      <c r="E238" s="120">
        <v>0</v>
      </c>
      <c r="F238" s="120">
        <v>0</v>
      </c>
      <c r="G238" s="120">
        <v>0</v>
      </c>
      <c r="H238" s="120">
        <v>0</v>
      </c>
      <c r="I238" s="120">
        <v>0</v>
      </c>
      <c r="J238" s="120">
        <v>0</v>
      </c>
      <c r="K238" s="223">
        <f t="shared" si="29"/>
        <v>0</v>
      </c>
      <c r="L238" s="224">
        <f t="shared" si="30"/>
        <v>0</v>
      </c>
      <c r="M238" s="304"/>
      <c r="N238" s="262"/>
      <c r="O238" s="263"/>
    </row>
    <row r="239" spans="1:15" ht="15" x14ac:dyDescent="0.25">
      <c r="A239" s="210">
        <v>7134</v>
      </c>
      <c r="B239" s="211" t="s">
        <v>473</v>
      </c>
      <c r="C239" s="301">
        <v>0</v>
      </c>
      <c r="D239" s="259">
        <v>0</v>
      </c>
      <c r="E239" s="120">
        <v>0</v>
      </c>
      <c r="F239" s="120">
        <v>0</v>
      </c>
      <c r="G239" s="120">
        <v>0</v>
      </c>
      <c r="H239" s="120">
        <v>0</v>
      </c>
      <c r="I239" s="120">
        <v>0</v>
      </c>
      <c r="J239" s="120">
        <v>0</v>
      </c>
      <c r="K239" s="223">
        <f t="shared" si="29"/>
        <v>0</v>
      </c>
      <c r="L239" s="224">
        <f t="shared" si="30"/>
        <v>0</v>
      </c>
      <c r="M239" s="304"/>
      <c r="N239" s="262"/>
      <c r="O239" s="263"/>
    </row>
    <row r="240" spans="1:15" ht="15" x14ac:dyDescent="0.25">
      <c r="A240" s="210">
        <v>7135</v>
      </c>
      <c r="B240" s="211" t="s">
        <v>474</v>
      </c>
      <c r="C240" s="301">
        <v>0</v>
      </c>
      <c r="D240" s="259">
        <v>0</v>
      </c>
      <c r="E240" s="120">
        <v>0</v>
      </c>
      <c r="F240" s="120">
        <v>0</v>
      </c>
      <c r="G240" s="120">
        <v>0</v>
      </c>
      <c r="H240" s="120">
        <v>0</v>
      </c>
      <c r="I240" s="120">
        <v>0</v>
      </c>
      <c r="J240" s="120">
        <v>0</v>
      </c>
      <c r="K240" s="223">
        <f t="shared" si="29"/>
        <v>0</v>
      </c>
      <c r="L240" s="224">
        <f t="shared" si="30"/>
        <v>0</v>
      </c>
      <c r="M240" s="304"/>
      <c r="N240" s="262"/>
      <c r="O240" s="263"/>
    </row>
    <row r="241" spans="1:15" ht="15" x14ac:dyDescent="0.25">
      <c r="A241" s="210">
        <v>7136</v>
      </c>
      <c r="B241" s="211" t="s">
        <v>475</v>
      </c>
      <c r="C241" s="301">
        <v>0</v>
      </c>
      <c r="D241" s="259">
        <v>0</v>
      </c>
      <c r="E241" s="120">
        <v>0</v>
      </c>
      <c r="F241" s="120">
        <v>0</v>
      </c>
      <c r="G241" s="120">
        <v>0</v>
      </c>
      <c r="H241" s="120">
        <v>0</v>
      </c>
      <c r="I241" s="120">
        <v>0</v>
      </c>
      <c r="J241" s="120">
        <v>0</v>
      </c>
      <c r="K241" s="223">
        <f t="shared" si="29"/>
        <v>0</v>
      </c>
      <c r="L241" s="224">
        <f t="shared" si="30"/>
        <v>0</v>
      </c>
      <c r="M241" s="304"/>
      <c r="N241" s="262"/>
      <c r="O241" s="263"/>
    </row>
    <row r="242" spans="1:15" ht="15" x14ac:dyDescent="0.25">
      <c r="A242" s="210">
        <v>7137</v>
      </c>
      <c r="B242" s="211" t="s">
        <v>476</v>
      </c>
      <c r="C242" s="301">
        <v>5</v>
      </c>
      <c r="D242" s="259">
        <v>0</v>
      </c>
      <c r="E242" s="120">
        <v>0</v>
      </c>
      <c r="F242" s="120">
        <v>0</v>
      </c>
      <c r="G242" s="120">
        <v>0</v>
      </c>
      <c r="H242" s="120">
        <v>0</v>
      </c>
      <c r="I242" s="120">
        <v>0</v>
      </c>
      <c r="J242" s="120">
        <v>0</v>
      </c>
      <c r="K242" s="223">
        <f t="shared" si="29"/>
        <v>5</v>
      </c>
      <c r="L242" s="224">
        <f t="shared" si="30"/>
        <v>0</v>
      </c>
      <c r="M242" s="304"/>
      <c r="N242" s="262"/>
      <c r="O242" s="263"/>
    </row>
    <row r="243" spans="1:15" ht="15" x14ac:dyDescent="0.25">
      <c r="A243" s="210">
        <v>7141</v>
      </c>
      <c r="B243" s="211" t="s">
        <v>477</v>
      </c>
      <c r="C243" s="301">
        <v>0</v>
      </c>
      <c r="D243" s="259">
        <v>0</v>
      </c>
      <c r="E243" s="120">
        <v>0</v>
      </c>
      <c r="F243" s="120">
        <v>0</v>
      </c>
      <c r="G243" s="120">
        <v>0</v>
      </c>
      <c r="H243" s="120">
        <v>0</v>
      </c>
      <c r="I243" s="120">
        <v>0</v>
      </c>
      <c r="J243" s="120">
        <v>0</v>
      </c>
      <c r="K243" s="223">
        <f t="shared" si="29"/>
        <v>0</v>
      </c>
      <c r="L243" s="224">
        <f t="shared" si="30"/>
        <v>0</v>
      </c>
      <c r="M243" s="304"/>
      <c r="N243" s="262"/>
      <c r="O243" s="263"/>
    </row>
    <row r="244" spans="1:15" ht="15" x14ac:dyDescent="0.25">
      <c r="A244" s="210">
        <v>7142</v>
      </c>
      <c r="B244" s="211" t="s">
        <v>478</v>
      </c>
      <c r="C244" s="301">
        <v>0</v>
      </c>
      <c r="D244" s="259">
        <v>0</v>
      </c>
      <c r="E244" s="120">
        <v>0</v>
      </c>
      <c r="F244" s="120">
        <v>0</v>
      </c>
      <c r="G244" s="120">
        <v>0</v>
      </c>
      <c r="H244" s="120">
        <v>0</v>
      </c>
      <c r="I244" s="120">
        <v>0</v>
      </c>
      <c r="J244" s="120">
        <v>0</v>
      </c>
      <c r="K244" s="223">
        <f t="shared" si="29"/>
        <v>0</v>
      </c>
      <c r="L244" s="224">
        <f t="shared" si="30"/>
        <v>0</v>
      </c>
      <c r="M244" s="304"/>
      <c r="N244" s="262"/>
      <c r="O244" s="263"/>
    </row>
    <row r="245" spans="1:15" ht="15" x14ac:dyDescent="0.25">
      <c r="A245" s="210">
        <v>7143</v>
      </c>
      <c r="B245" s="211" t="s">
        <v>479</v>
      </c>
      <c r="C245" s="301">
        <v>0</v>
      </c>
      <c r="D245" s="259">
        <v>0</v>
      </c>
      <c r="E245" s="120">
        <v>0</v>
      </c>
      <c r="F245" s="120">
        <v>0</v>
      </c>
      <c r="G245" s="120">
        <v>0</v>
      </c>
      <c r="H245" s="120">
        <v>0</v>
      </c>
      <c r="I245" s="120">
        <v>0</v>
      </c>
      <c r="J245" s="120">
        <v>0</v>
      </c>
      <c r="K245" s="223">
        <f t="shared" si="29"/>
        <v>0</v>
      </c>
      <c r="L245" s="224">
        <f t="shared" si="30"/>
        <v>0</v>
      </c>
      <c r="M245" s="304"/>
      <c r="N245" s="262"/>
      <c r="O245" s="263"/>
    </row>
    <row r="246" spans="1:15" ht="15" x14ac:dyDescent="0.25">
      <c r="A246" s="210">
        <v>7211</v>
      </c>
      <c r="B246" s="211" t="s">
        <v>480</v>
      </c>
      <c r="C246" s="301">
        <v>0</v>
      </c>
      <c r="D246" s="259">
        <v>0</v>
      </c>
      <c r="E246" s="120">
        <v>0</v>
      </c>
      <c r="F246" s="120">
        <v>0</v>
      </c>
      <c r="G246" s="120">
        <v>0</v>
      </c>
      <c r="H246" s="120">
        <v>0</v>
      </c>
      <c r="I246" s="120">
        <v>0</v>
      </c>
      <c r="J246" s="120">
        <v>0</v>
      </c>
      <c r="K246" s="223">
        <f t="shared" si="29"/>
        <v>0</v>
      </c>
      <c r="L246" s="224">
        <f t="shared" si="30"/>
        <v>0</v>
      </c>
      <c r="M246" s="304"/>
      <c r="N246" s="262"/>
      <c r="O246" s="263"/>
    </row>
    <row r="247" spans="1:15" ht="15" x14ac:dyDescent="0.25">
      <c r="A247" s="210">
        <v>7212</v>
      </c>
      <c r="B247" s="211" t="s">
        <v>481</v>
      </c>
      <c r="C247" s="301">
        <v>16</v>
      </c>
      <c r="D247" s="259">
        <v>0</v>
      </c>
      <c r="E247" s="120">
        <v>0</v>
      </c>
      <c r="F247" s="120">
        <v>0</v>
      </c>
      <c r="G247" s="120">
        <v>0</v>
      </c>
      <c r="H247" s="120">
        <v>0</v>
      </c>
      <c r="I247" s="120">
        <v>0</v>
      </c>
      <c r="J247" s="120">
        <v>0</v>
      </c>
      <c r="K247" s="223">
        <f t="shared" si="29"/>
        <v>16</v>
      </c>
      <c r="L247" s="224">
        <f t="shared" si="30"/>
        <v>0</v>
      </c>
      <c r="M247" s="304"/>
      <c r="N247" s="262"/>
      <c r="O247" s="263"/>
    </row>
    <row r="248" spans="1:15" ht="15" x14ac:dyDescent="0.25">
      <c r="A248" s="210">
        <v>7213</v>
      </c>
      <c r="B248" s="211" t="s">
        <v>482</v>
      </c>
      <c r="C248" s="301">
        <v>0</v>
      </c>
      <c r="D248" s="259">
        <v>0</v>
      </c>
      <c r="E248" s="120">
        <v>0</v>
      </c>
      <c r="F248" s="120">
        <v>0</v>
      </c>
      <c r="G248" s="120">
        <v>0</v>
      </c>
      <c r="H248" s="120">
        <v>0</v>
      </c>
      <c r="I248" s="120">
        <v>0</v>
      </c>
      <c r="J248" s="120">
        <v>0</v>
      </c>
      <c r="K248" s="223">
        <f t="shared" si="29"/>
        <v>0</v>
      </c>
      <c r="L248" s="224">
        <f t="shared" si="30"/>
        <v>0</v>
      </c>
      <c r="M248" s="304"/>
      <c r="N248" s="262"/>
      <c r="O248" s="263"/>
    </row>
    <row r="249" spans="1:15" ht="15" x14ac:dyDescent="0.25">
      <c r="A249" s="210">
        <v>7214</v>
      </c>
      <c r="B249" s="211" t="s">
        <v>483</v>
      </c>
      <c r="C249" s="301">
        <v>0</v>
      </c>
      <c r="D249" s="259">
        <v>0</v>
      </c>
      <c r="E249" s="120">
        <v>0</v>
      </c>
      <c r="F249" s="120">
        <v>0</v>
      </c>
      <c r="G249" s="120">
        <v>0</v>
      </c>
      <c r="H249" s="120">
        <v>0</v>
      </c>
      <c r="I249" s="120">
        <v>0</v>
      </c>
      <c r="J249" s="120">
        <v>0</v>
      </c>
      <c r="K249" s="223">
        <f t="shared" si="29"/>
        <v>0</v>
      </c>
      <c r="L249" s="224">
        <f t="shared" si="30"/>
        <v>0</v>
      </c>
      <c r="M249" s="304"/>
      <c r="N249" s="262"/>
      <c r="O249" s="263"/>
    </row>
    <row r="250" spans="1:15" ht="30" x14ac:dyDescent="0.25">
      <c r="A250" s="210">
        <v>7215</v>
      </c>
      <c r="B250" s="211" t="s">
        <v>484</v>
      </c>
      <c r="C250" s="301">
        <v>0</v>
      </c>
      <c r="D250" s="259">
        <v>0</v>
      </c>
      <c r="E250" s="120">
        <v>0</v>
      </c>
      <c r="F250" s="120">
        <v>0</v>
      </c>
      <c r="G250" s="120">
        <v>0</v>
      </c>
      <c r="H250" s="120">
        <v>0</v>
      </c>
      <c r="I250" s="120">
        <v>0</v>
      </c>
      <c r="J250" s="120">
        <v>0</v>
      </c>
      <c r="K250" s="223">
        <f t="shared" si="29"/>
        <v>0</v>
      </c>
      <c r="L250" s="224">
        <f t="shared" si="30"/>
        <v>0</v>
      </c>
      <c r="M250" s="304"/>
      <c r="N250" s="262"/>
      <c r="O250" s="263"/>
    </row>
    <row r="251" spans="1:15" ht="15" x14ac:dyDescent="0.25">
      <c r="A251" s="210">
        <v>7216</v>
      </c>
      <c r="B251" s="211" t="s">
        <v>485</v>
      </c>
      <c r="C251" s="301">
        <v>0</v>
      </c>
      <c r="D251" s="259">
        <v>0</v>
      </c>
      <c r="E251" s="120">
        <v>0</v>
      </c>
      <c r="F251" s="120">
        <v>0</v>
      </c>
      <c r="G251" s="120">
        <v>0</v>
      </c>
      <c r="H251" s="120">
        <v>0</v>
      </c>
      <c r="I251" s="120">
        <v>0</v>
      </c>
      <c r="J251" s="120">
        <v>0</v>
      </c>
      <c r="K251" s="223">
        <f t="shared" si="29"/>
        <v>0</v>
      </c>
      <c r="L251" s="224">
        <f t="shared" si="30"/>
        <v>0</v>
      </c>
      <c r="M251" s="304"/>
      <c r="N251" s="262"/>
      <c r="O251" s="263"/>
    </row>
    <row r="252" spans="1:15" ht="30" x14ac:dyDescent="0.25">
      <c r="A252" s="210">
        <v>7221</v>
      </c>
      <c r="B252" s="211" t="s">
        <v>486</v>
      </c>
      <c r="C252" s="301">
        <v>0</v>
      </c>
      <c r="D252" s="259">
        <v>0</v>
      </c>
      <c r="E252" s="120">
        <v>0</v>
      </c>
      <c r="F252" s="120">
        <v>0</v>
      </c>
      <c r="G252" s="120">
        <v>0</v>
      </c>
      <c r="H252" s="120">
        <v>0</v>
      </c>
      <c r="I252" s="120">
        <v>0</v>
      </c>
      <c r="J252" s="120">
        <v>0</v>
      </c>
      <c r="K252" s="223">
        <f t="shared" si="29"/>
        <v>0</v>
      </c>
      <c r="L252" s="224">
        <f t="shared" si="30"/>
        <v>0</v>
      </c>
      <c r="M252" s="304"/>
      <c r="N252" s="262"/>
      <c r="O252" s="263"/>
    </row>
    <row r="253" spans="1:15" ht="15" x14ac:dyDescent="0.25">
      <c r="A253" s="210">
        <v>7222</v>
      </c>
      <c r="B253" s="211" t="s">
        <v>487</v>
      </c>
      <c r="C253" s="301">
        <v>9</v>
      </c>
      <c r="D253" s="259">
        <v>5</v>
      </c>
      <c r="E253" s="120">
        <v>0</v>
      </c>
      <c r="F253" s="120">
        <v>0</v>
      </c>
      <c r="G253" s="120">
        <v>0</v>
      </c>
      <c r="H253" s="120">
        <v>0</v>
      </c>
      <c r="I253" s="120">
        <v>0</v>
      </c>
      <c r="J253" s="120">
        <v>0</v>
      </c>
      <c r="K253" s="223">
        <f t="shared" si="29"/>
        <v>9</v>
      </c>
      <c r="L253" s="224">
        <f t="shared" si="30"/>
        <v>5</v>
      </c>
      <c r="M253" s="304"/>
      <c r="N253" s="262"/>
      <c r="O253" s="263"/>
    </row>
    <row r="254" spans="1:15" ht="30" customHeight="1" x14ac:dyDescent="0.25">
      <c r="A254" s="210">
        <v>7223</v>
      </c>
      <c r="B254" s="211" t="s">
        <v>488</v>
      </c>
      <c r="C254" s="301">
        <v>0</v>
      </c>
      <c r="D254" s="259">
        <v>0</v>
      </c>
      <c r="E254" s="120">
        <v>0</v>
      </c>
      <c r="F254" s="120">
        <v>0</v>
      </c>
      <c r="G254" s="120">
        <v>0</v>
      </c>
      <c r="H254" s="120">
        <v>0</v>
      </c>
      <c r="I254" s="120">
        <v>0</v>
      </c>
      <c r="J254" s="120">
        <v>0</v>
      </c>
      <c r="K254" s="223">
        <f t="shared" si="29"/>
        <v>0</v>
      </c>
      <c r="L254" s="224">
        <f t="shared" si="30"/>
        <v>0</v>
      </c>
      <c r="M254" s="304"/>
      <c r="N254" s="262"/>
      <c r="O254" s="263"/>
    </row>
    <row r="255" spans="1:15" ht="30" x14ac:dyDescent="0.25">
      <c r="A255" s="210">
        <v>7224</v>
      </c>
      <c r="B255" s="211" t="s">
        <v>489</v>
      </c>
      <c r="C255" s="301">
        <v>0</v>
      </c>
      <c r="D255" s="259">
        <v>0</v>
      </c>
      <c r="E255" s="120">
        <v>0</v>
      </c>
      <c r="F255" s="120">
        <v>0</v>
      </c>
      <c r="G255" s="120">
        <v>0</v>
      </c>
      <c r="H255" s="120">
        <v>0</v>
      </c>
      <c r="I255" s="120">
        <v>0</v>
      </c>
      <c r="J255" s="120">
        <v>0</v>
      </c>
      <c r="K255" s="223">
        <f t="shared" si="29"/>
        <v>0</v>
      </c>
      <c r="L255" s="224">
        <f t="shared" si="30"/>
        <v>0</v>
      </c>
      <c r="M255" s="304"/>
      <c r="N255" s="262"/>
      <c r="O255" s="263"/>
    </row>
    <row r="256" spans="1:15" ht="30" x14ac:dyDescent="0.25">
      <c r="A256" s="210">
        <v>7231</v>
      </c>
      <c r="B256" s="211" t="s">
        <v>490</v>
      </c>
      <c r="C256" s="301">
        <v>422</v>
      </c>
      <c r="D256" s="259">
        <v>6</v>
      </c>
      <c r="E256" s="120">
        <v>0</v>
      </c>
      <c r="F256" s="120">
        <v>0</v>
      </c>
      <c r="G256" s="120">
        <v>0</v>
      </c>
      <c r="H256" s="120">
        <v>0</v>
      </c>
      <c r="I256" s="120">
        <v>0</v>
      </c>
      <c r="J256" s="120">
        <v>0</v>
      </c>
      <c r="K256" s="223">
        <f t="shared" si="29"/>
        <v>422</v>
      </c>
      <c r="L256" s="224">
        <f t="shared" si="30"/>
        <v>6</v>
      </c>
      <c r="M256" s="304"/>
      <c r="N256" s="262"/>
      <c r="O256" s="263"/>
    </row>
    <row r="257" spans="1:15" ht="30" x14ac:dyDescent="0.25">
      <c r="A257" s="210">
        <v>7232</v>
      </c>
      <c r="B257" s="211" t="s">
        <v>491</v>
      </c>
      <c r="C257" s="301">
        <v>0</v>
      </c>
      <c r="D257" s="259">
        <v>0</v>
      </c>
      <c r="E257" s="120">
        <v>0</v>
      </c>
      <c r="F257" s="120">
        <v>0</v>
      </c>
      <c r="G257" s="120">
        <v>0</v>
      </c>
      <c r="H257" s="120">
        <v>0</v>
      </c>
      <c r="I257" s="120">
        <v>0</v>
      </c>
      <c r="J257" s="120">
        <v>0</v>
      </c>
      <c r="K257" s="223">
        <f t="shared" ref="K257:K297" si="31">C257+E257-G257-I257</f>
        <v>0</v>
      </c>
      <c r="L257" s="224">
        <f t="shared" ref="L257:L297" si="32">D257+F257-H257-J257</f>
        <v>0</v>
      </c>
      <c r="M257" s="304"/>
      <c r="N257" s="262"/>
      <c r="O257" s="263"/>
    </row>
    <row r="258" spans="1:15" ht="45" x14ac:dyDescent="0.25">
      <c r="A258" s="210">
        <v>7233</v>
      </c>
      <c r="B258" s="211" t="s">
        <v>492</v>
      </c>
      <c r="C258" s="301">
        <v>275</v>
      </c>
      <c r="D258" s="259">
        <v>8</v>
      </c>
      <c r="E258" s="120">
        <v>0</v>
      </c>
      <c r="F258" s="120">
        <v>0</v>
      </c>
      <c r="G258" s="120">
        <v>0</v>
      </c>
      <c r="H258" s="120">
        <v>0</v>
      </c>
      <c r="I258" s="120">
        <v>0</v>
      </c>
      <c r="J258" s="120">
        <v>0</v>
      </c>
      <c r="K258" s="223">
        <f t="shared" si="31"/>
        <v>275</v>
      </c>
      <c r="L258" s="224">
        <f t="shared" si="32"/>
        <v>8</v>
      </c>
      <c r="M258" s="304"/>
      <c r="N258" s="262"/>
      <c r="O258" s="263"/>
    </row>
    <row r="259" spans="1:15" ht="15" customHeight="1" x14ac:dyDescent="0.25">
      <c r="A259" s="210">
        <v>7241</v>
      </c>
      <c r="B259" s="211" t="s">
        <v>493</v>
      </c>
      <c r="C259" s="301">
        <v>125</v>
      </c>
      <c r="D259" s="259">
        <v>4</v>
      </c>
      <c r="E259" s="120">
        <v>0</v>
      </c>
      <c r="F259" s="120">
        <v>0</v>
      </c>
      <c r="G259" s="120">
        <v>0</v>
      </c>
      <c r="H259" s="120">
        <v>0</v>
      </c>
      <c r="I259" s="120">
        <v>0</v>
      </c>
      <c r="J259" s="120">
        <v>0</v>
      </c>
      <c r="K259" s="223">
        <f t="shared" si="31"/>
        <v>125</v>
      </c>
      <c r="L259" s="224">
        <f t="shared" si="32"/>
        <v>4</v>
      </c>
      <c r="M259" s="304"/>
      <c r="N259" s="262"/>
      <c r="O259" s="263"/>
    </row>
    <row r="260" spans="1:15" ht="15" x14ac:dyDescent="0.25">
      <c r="A260" s="210">
        <v>7242</v>
      </c>
      <c r="B260" s="211" t="s">
        <v>494</v>
      </c>
      <c r="C260" s="301">
        <v>17</v>
      </c>
      <c r="D260" s="259">
        <v>0</v>
      </c>
      <c r="E260" s="120">
        <v>0</v>
      </c>
      <c r="F260" s="120">
        <v>0</v>
      </c>
      <c r="G260" s="120">
        <v>0</v>
      </c>
      <c r="H260" s="120">
        <v>0</v>
      </c>
      <c r="I260" s="120">
        <v>0</v>
      </c>
      <c r="J260" s="120">
        <v>0</v>
      </c>
      <c r="K260" s="223">
        <f t="shared" si="31"/>
        <v>17</v>
      </c>
      <c r="L260" s="224">
        <f t="shared" si="32"/>
        <v>0</v>
      </c>
      <c r="M260" s="304"/>
      <c r="N260" s="262"/>
      <c r="O260" s="263"/>
    </row>
    <row r="261" spans="1:15" ht="15" x14ac:dyDescent="0.25">
      <c r="A261" s="210">
        <v>7243</v>
      </c>
      <c r="B261" s="211" t="s">
        <v>495</v>
      </c>
      <c r="C261" s="301">
        <v>15</v>
      </c>
      <c r="D261" s="259">
        <v>0</v>
      </c>
      <c r="E261" s="120">
        <v>0</v>
      </c>
      <c r="F261" s="120">
        <v>0</v>
      </c>
      <c r="G261" s="120">
        <v>0</v>
      </c>
      <c r="H261" s="120">
        <v>0</v>
      </c>
      <c r="I261" s="120">
        <v>0</v>
      </c>
      <c r="J261" s="120">
        <v>0</v>
      </c>
      <c r="K261" s="223">
        <f t="shared" si="31"/>
        <v>15</v>
      </c>
      <c r="L261" s="224">
        <f t="shared" si="32"/>
        <v>0</v>
      </c>
      <c r="M261" s="304"/>
      <c r="N261" s="262"/>
      <c r="O261" s="263"/>
    </row>
    <row r="262" spans="1:15" ht="30" x14ac:dyDescent="0.25">
      <c r="A262" s="210">
        <v>7244</v>
      </c>
      <c r="B262" s="211" t="s">
        <v>496</v>
      </c>
      <c r="C262" s="301">
        <v>0</v>
      </c>
      <c r="D262" s="259">
        <v>0</v>
      </c>
      <c r="E262" s="120">
        <v>0</v>
      </c>
      <c r="F262" s="120">
        <v>0</v>
      </c>
      <c r="G262" s="120">
        <v>0</v>
      </c>
      <c r="H262" s="120">
        <v>0</v>
      </c>
      <c r="I262" s="120">
        <v>0</v>
      </c>
      <c r="J262" s="120">
        <v>0</v>
      </c>
      <c r="K262" s="223">
        <f t="shared" si="31"/>
        <v>0</v>
      </c>
      <c r="L262" s="224">
        <f t="shared" si="32"/>
        <v>0</v>
      </c>
      <c r="M262" s="304"/>
      <c r="N262" s="262"/>
      <c r="O262" s="263"/>
    </row>
    <row r="263" spans="1:15" ht="30" x14ac:dyDescent="0.25">
      <c r="A263" s="210">
        <v>7245</v>
      </c>
      <c r="B263" s="211" t="s">
        <v>497</v>
      </c>
      <c r="C263" s="301">
        <v>2</v>
      </c>
      <c r="D263" s="259">
        <v>0</v>
      </c>
      <c r="E263" s="120">
        <v>0</v>
      </c>
      <c r="F263" s="120">
        <v>0</v>
      </c>
      <c r="G263" s="120">
        <v>0</v>
      </c>
      <c r="H263" s="120">
        <v>0</v>
      </c>
      <c r="I263" s="120">
        <v>0</v>
      </c>
      <c r="J263" s="120">
        <v>0</v>
      </c>
      <c r="K263" s="223">
        <f t="shared" si="31"/>
        <v>2</v>
      </c>
      <c r="L263" s="224">
        <f t="shared" si="32"/>
        <v>0</v>
      </c>
      <c r="M263" s="304"/>
      <c r="N263" s="262"/>
      <c r="O263" s="263"/>
    </row>
    <row r="264" spans="1:15" ht="15" x14ac:dyDescent="0.25">
      <c r="A264" s="210">
        <v>7311</v>
      </c>
      <c r="B264" s="211" t="s">
        <v>498</v>
      </c>
      <c r="C264" s="301">
        <v>0</v>
      </c>
      <c r="D264" s="259">
        <v>0</v>
      </c>
      <c r="E264" s="120">
        <v>0</v>
      </c>
      <c r="F264" s="120">
        <v>0</v>
      </c>
      <c r="G264" s="120">
        <v>0</v>
      </c>
      <c r="H264" s="120">
        <v>0</v>
      </c>
      <c r="I264" s="120">
        <v>0</v>
      </c>
      <c r="J264" s="120">
        <v>0</v>
      </c>
      <c r="K264" s="223">
        <f t="shared" si="31"/>
        <v>0</v>
      </c>
      <c r="L264" s="224">
        <f t="shared" si="32"/>
        <v>0</v>
      </c>
      <c r="M264" s="304"/>
      <c r="N264" s="262"/>
      <c r="O264" s="263"/>
    </row>
    <row r="265" spans="1:15" ht="15" x14ac:dyDescent="0.25">
      <c r="A265" s="210">
        <v>7312</v>
      </c>
      <c r="B265" s="211" t="s">
        <v>499</v>
      </c>
      <c r="C265" s="301">
        <v>0</v>
      </c>
      <c r="D265" s="259">
        <v>0</v>
      </c>
      <c r="E265" s="120">
        <v>0</v>
      </c>
      <c r="F265" s="120">
        <v>0</v>
      </c>
      <c r="G265" s="120">
        <v>0</v>
      </c>
      <c r="H265" s="120">
        <v>0</v>
      </c>
      <c r="I265" s="120">
        <v>0</v>
      </c>
      <c r="J265" s="120">
        <v>0</v>
      </c>
      <c r="K265" s="223">
        <f t="shared" si="31"/>
        <v>0</v>
      </c>
      <c r="L265" s="224">
        <f t="shared" si="32"/>
        <v>0</v>
      </c>
      <c r="M265" s="304"/>
      <c r="N265" s="262"/>
      <c r="O265" s="263"/>
    </row>
    <row r="266" spans="1:15" ht="30" x14ac:dyDescent="0.25">
      <c r="A266" s="210">
        <v>7313</v>
      </c>
      <c r="B266" s="211" t="s">
        <v>500</v>
      </c>
      <c r="C266" s="301">
        <v>0</v>
      </c>
      <c r="D266" s="259">
        <v>0</v>
      </c>
      <c r="E266" s="120">
        <v>0</v>
      </c>
      <c r="F266" s="120">
        <v>0</v>
      </c>
      <c r="G266" s="120">
        <v>0</v>
      </c>
      <c r="H266" s="120">
        <v>0</v>
      </c>
      <c r="I266" s="120">
        <v>0</v>
      </c>
      <c r="J266" s="120">
        <v>0</v>
      </c>
      <c r="K266" s="223">
        <f t="shared" si="31"/>
        <v>0</v>
      </c>
      <c r="L266" s="224">
        <f t="shared" si="32"/>
        <v>0</v>
      </c>
      <c r="M266" s="304"/>
      <c r="N266" s="262"/>
      <c r="O266" s="263"/>
    </row>
    <row r="267" spans="1:15" ht="30" x14ac:dyDescent="0.25">
      <c r="A267" s="210">
        <v>7321</v>
      </c>
      <c r="B267" s="211" t="s">
        <v>501</v>
      </c>
      <c r="C267" s="301">
        <v>0</v>
      </c>
      <c r="D267" s="259">
        <v>0</v>
      </c>
      <c r="E267" s="120">
        <v>0</v>
      </c>
      <c r="F267" s="120">
        <v>0</v>
      </c>
      <c r="G267" s="120">
        <v>0</v>
      </c>
      <c r="H267" s="120">
        <v>0</v>
      </c>
      <c r="I267" s="120">
        <v>0</v>
      </c>
      <c r="J267" s="120">
        <v>0</v>
      </c>
      <c r="K267" s="223">
        <f t="shared" si="31"/>
        <v>0</v>
      </c>
      <c r="L267" s="224">
        <f t="shared" si="32"/>
        <v>0</v>
      </c>
      <c r="M267" s="304"/>
      <c r="N267" s="262"/>
      <c r="O267" s="263"/>
    </row>
    <row r="268" spans="1:15" ht="15" x14ac:dyDescent="0.25">
      <c r="A268" s="210">
        <v>7322</v>
      </c>
      <c r="B268" s="211" t="s">
        <v>502</v>
      </c>
      <c r="C268" s="301">
        <v>0</v>
      </c>
      <c r="D268" s="259">
        <v>0</v>
      </c>
      <c r="E268" s="120">
        <v>0</v>
      </c>
      <c r="F268" s="120">
        <v>0</v>
      </c>
      <c r="G268" s="120">
        <v>0</v>
      </c>
      <c r="H268" s="120">
        <v>0</v>
      </c>
      <c r="I268" s="120">
        <v>0</v>
      </c>
      <c r="J268" s="120">
        <v>0</v>
      </c>
      <c r="K268" s="223">
        <f t="shared" si="31"/>
        <v>0</v>
      </c>
      <c r="L268" s="224">
        <f t="shared" si="32"/>
        <v>0</v>
      </c>
      <c r="M268" s="304"/>
      <c r="N268" s="262"/>
      <c r="O268" s="263"/>
    </row>
    <row r="269" spans="1:15" ht="15" x14ac:dyDescent="0.25">
      <c r="A269" s="210">
        <v>7323</v>
      </c>
      <c r="B269" s="211" t="s">
        <v>503</v>
      </c>
      <c r="C269" s="301">
        <v>0</v>
      </c>
      <c r="D269" s="259">
        <v>0</v>
      </c>
      <c r="E269" s="120">
        <v>0</v>
      </c>
      <c r="F269" s="120">
        <v>0</v>
      </c>
      <c r="G269" s="120">
        <v>0</v>
      </c>
      <c r="H269" s="120">
        <v>0</v>
      </c>
      <c r="I269" s="120">
        <v>0</v>
      </c>
      <c r="J269" s="120">
        <v>0</v>
      </c>
      <c r="K269" s="223">
        <f t="shared" si="31"/>
        <v>0</v>
      </c>
      <c r="L269" s="224">
        <f t="shared" si="32"/>
        <v>0</v>
      </c>
      <c r="M269" s="304"/>
      <c r="N269" s="262"/>
      <c r="O269" s="263"/>
    </row>
    <row r="270" spans="1:15" ht="30" customHeight="1" x14ac:dyDescent="0.25">
      <c r="A270" s="210">
        <v>7324</v>
      </c>
      <c r="B270" s="211" t="s">
        <v>504</v>
      </c>
      <c r="C270" s="301">
        <v>0</v>
      </c>
      <c r="D270" s="259">
        <v>0</v>
      </c>
      <c r="E270" s="120">
        <v>0</v>
      </c>
      <c r="F270" s="120">
        <v>0</v>
      </c>
      <c r="G270" s="120">
        <v>0</v>
      </c>
      <c r="H270" s="120">
        <v>0</v>
      </c>
      <c r="I270" s="120">
        <v>0</v>
      </c>
      <c r="J270" s="120">
        <v>0</v>
      </c>
      <c r="K270" s="223">
        <f t="shared" si="31"/>
        <v>0</v>
      </c>
      <c r="L270" s="224">
        <f t="shared" si="32"/>
        <v>0</v>
      </c>
      <c r="M270" s="304"/>
      <c r="N270" s="262"/>
      <c r="O270" s="263"/>
    </row>
    <row r="271" spans="1:15" ht="15" x14ac:dyDescent="0.25">
      <c r="A271" s="210">
        <v>7331</v>
      </c>
      <c r="B271" s="211" t="s">
        <v>505</v>
      </c>
      <c r="C271" s="301">
        <v>0</v>
      </c>
      <c r="D271" s="259">
        <v>0</v>
      </c>
      <c r="E271" s="120">
        <v>0</v>
      </c>
      <c r="F271" s="120">
        <v>0</v>
      </c>
      <c r="G271" s="120">
        <v>0</v>
      </c>
      <c r="H271" s="120">
        <v>0</v>
      </c>
      <c r="I271" s="120">
        <v>0</v>
      </c>
      <c r="J271" s="120">
        <v>0</v>
      </c>
      <c r="K271" s="223">
        <f t="shared" si="31"/>
        <v>0</v>
      </c>
      <c r="L271" s="224">
        <f t="shared" si="32"/>
        <v>0</v>
      </c>
      <c r="M271" s="304"/>
      <c r="N271" s="262"/>
      <c r="O271" s="263"/>
    </row>
    <row r="272" spans="1:15" ht="30" x14ac:dyDescent="0.25">
      <c r="A272" s="210">
        <v>7332</v>
      </c>
      <c r="B272" s="211" t="s">
        <v>506</v>
      </c>
      <c r="C272" s="301">
        <v>0</v>
      </c>
      <c r="D272" s="259">
        <v>1</v>
      </c>
      <c r="E272" s="120">
        <v>0</v>
      </c>
      <c r="F272" s="120">
        <v>0</v>
      </c>
      <c r="G272" s="120">
        <v>0</v>
      </c>
      <c r="H272" s="120">
        <v>0</v>
      </c>
      <c r="I272" s="120">
        <v>0</v>
      </c>
      <c r="J272" s="120">
        <v>0</v>
      </c>
      <c r="K272" s="223">
        <f t="shared" si="31"/>
        <v>0</v>
      </c>
      <c r="L272" s="224">
        <f t="shared" si="32"/>
        <v>1</v>
      </c>
      <c r="M272" s="304"/>
      <c r="N272" s="262"/>
      <c r="O272" s="263"/>
    </row>
    <row r="273" spans="1:15" ht="30" x14ac:dyDescent="0.25">
      <c r="A273" s="210">
        <v>7341</v>
      </c>
      <c r="B273" s="211" t="s">
        <v>507</v>
      </c>
      <c r="C273" s="301">
        <v>0</v>
      </c>
      <c r="D273" s="259">
        <v>0</v>
      </c>
      <c r="E273" s="120">
        <v>0</v>
      </c>
      <c r="F273" s="120">
        <v>0</v>
      </c>
      <c r="G273" s="120">
        <v>0</v>
      </c>
      <c r="H273" s="120">
        <v>0</v>
      </c>
      <c r="I273" s="120">
        <v>0</v>
      </c>
      <c r="J273" s="120">
        <v>0</v>
      </c>
      <c r="K273" s="223">
        <f t="shared" si="31"/>
        <v>0</v>
      </c>
      <c r="L273" s="224">
        <f t="shared" si="32"/>
        <v>0</v>
      </c>
      <c r="M273" s="304"/>
      <c r="N273" s="262"/>
      <c r="O273" s="263"/>
    </row>
    <row r="274" spans="1:15" ht="15" x14ac:dyDescent="0.25">
      <c r="A274" s="210">
        <v>7342</v>
      </c>
      <c r="B274" s="211" t="s">
        <v>508</v>
      </c>
      <c r="C274" s="301">
        <v>0</v>
      </c>
      <c r="D274" s="259">
        <v>0</v>
      </c>
      <c r="E274" s="120">
        <v>0</v>
      </c>
      <c r="F274" s="120">
        <v>0</v>
      </c>
      <c r="G274" s="120">
        <v>0</v>
      </c>
      <c r="H274" s="120">
        <v>0</v>
      </c>
      <c r="I274" s="120">
        <v>0</v>
      </c>
      <c r="J274" s="120">
        <v>0</v>
      </c>
      <c r="K274" s="223">
        <f t="shared" si="31"/>
        <v>0</v>
      </c>
      <c r="L274" s="224">
        <f t="shared" si="32"/>
        <v>0</v>
      </c>
      <c r="M274" s="304"/>
      <c r="N274" s="262"/>
      <c r="O274" s="263"/>
    </row>
    <row r="275" spans="1:15" ht="30" x14ac:dyDescent="0.25">
      <c r="A275" s="210">
        <v>7343</v>
      </c>
      <c r="B275" s="211" t="s">
        <v>509</v>
      </c>
      <c r="C275" s="301">
        <v>0</v>
      </c>
      <c r="D275" s="259">
        <v>0</v>
      </c>
      <c r="E275" s="120">
        <v>0</v>
      </c>
      <c r="F275" s="120">
        <v>0</v>
      </c>
      <c r="G275" s="120">
        <v>0</v>
      </c>
      <c r="H275" s="120">
        <v>0</v>
      </c>
      <c r="I275" s="120">
        <v>0</v>
      </c>
      <c r="J275" s="120">
        <v>0</v>
      </c>
      <c r="K275" s="223">
        <f t="shared" si="31"/>
        <v>0</v>
      </c>
      <c r="L275" s="224">
        <f t="shared" si="32"/>
        <v>0</v>
      </c>
      <c r="M275" s="304"/>
      <c r="N275" s="262"/>
      <c r="O275" s="263"/>
    </row>
    <row r="276" spans="1:15" ht="15" x14ac:dyDescent="0.25">
      <c r="A276" s="210">
        <v>7344</v>
      </c>
      <c r="B276" s="211" t="s">
        <v>510</v>
      </c>
      <c r="C276" s="301">
        <v>0</v>
      </c>
      <c r="D276" s="259">
        <v>0</v>
      </c>
      <c r="E276" s="120">
        <v>0</v>
      </c>
      <c r="F276" s="120">
        <v>0</v>
      </c>
      <c r="G276" s="120">
        <v>0</v>
      </c>
      <c r="H276" s="120">
        <v>0</v>
      </c>
      <c r="I276" s="120">
        <v>0</v>
      </c>
      <c r="J276" s="120">
        <v>0</v>
      </c>
      <c r="K276" s="223">
        <f t="shared" si="31"/>
        <v>0</v>
      </c>
      <c r="L276" s="224">
        <f t="shared" si="32"/>
        <v>0</v>
      </c>
      <c r="M276" s="304"/>
      <c r="N276" s="262"/>
      <c r="O276" s="263"/>
    </row>
    <row r="277" spans="1:15" ht="15" x14ac:dyDescent="0.25">
      <c r="A277" s="210">
        <v>7345</v>
      </c>
      <c r="B277" s="211" t="s">
        <v>511</v>
      </c>
      <c r="C277" s="301">
        <v>0</v>
      </c>
      <c r="D277" s="259">
        <v>0</v>
      </c>
      <c r="E277" s="120">
        <v>0</v>
      </c>
      <c r="F277" s="120">
        <v>0</v>
      </c>
      <c r="G277" s="120">
        <v>0</v>
      </c>
      <c r="H277" s="120">
        <v>0</v>
      </c>
      <c r="I277" s="120">
        <v>0</v>
      </c>
      <c r="J277" s="120">
        <v>0</v>
      </c>
      <c r="K277" s="223">
        <f t="shared" si="31"/>
        <v>0</v>
      </c>
      <c r="L277" s="224">
        <f t="shared" si="32"/>
        <v>0</v>
      </c>
      <c r="M277" s="304"/>
      <c r="N277" s="262"/>
      <c r="O277" s="263"/>
    </row>
    <row r="278" spans="1:15" ht="15" x14ac:dyDescent="0.25">
      <c r="A278" s="210">
        <v>7346</v>
      </c>
      <c r="B278" s="211" t="s">
        <v>512</v>
      </c>
      <c r="C278" s="301">
        <v>0</v>
      </c>
      <c r="D278" s="259">
        <v>0</v>
      </c>
      <c r="E278" s="120">
        <v>0</v>
      </c>
      <c r="F278" s="120">
        <v>0</v>
      </c>
      <c r="G278" s="120">
        <v>0</v>
      </c>
      <c r="H278" s="120">
        <v>0</v>
      </c>
      <c r="I278" s="120">
        <v>0</v>
      </c>
      <c r="J278" s="120">
        <v>0</v>
      </c>
      <c r="K278" s="223">
        <f t="shared" si="31"/>
        <v>0</v>
      </c>
      <c r="L278" s="224">
        <f t="shared" si="32"/>
        <v>0</v>
      </c>
      <c r="M278" s="304"/>
      <c r="N278" s="262"/>
      <c r="O278" s="263"/>
    </row>
    <row r="279" spans="1:15" ht="30" x14ac:dyDescent="0.25">
      <c r="A279" s="210">
        <v>7411</v>
      </c>
      <c r="B279" s="211" t="s">
        <v>513</v>
      </c>
      <c r="C279" s="301">
        <v>3</v>
      </c>
      <c r="D279" s="259">
        <v>0</v>
      </c>
      <c r="E279" s="120">
        <v>0</v>
      </c>
      <c r="F279" s="120">
        <v>0</v>
      </c>
      <c r="G279" s="120">
        <v>0</v>
      </c>
      <c r="H279" s="120">
        <v>0</v>
      </c>
      <c r="I279" s="120">
        <v>0</v>
      </c>
      <c r="J279" s="120">
        <v>0</v>
      </c>
      <c r="K279" s="223">
        <f t="shared" si="31"/>
        <v>3</v>
      </c>
      <c r="L279" s="224">
        <f t="shared" si="32"/>
        <v>0</v>
      </c>
      <c r="M279" s="304"/>
      <c r="N279" s="262"/>
      <c r="O279" s="263"/>
    </row>
    <row r="280" spans="1:15" ht="15" x14ac:dyDescent="0.25">
      <c r="A280" s="210">
        <v>7412</v>
      </c>
      <c r="B280" s="211" t="s">
        <v>514</v>
      </c>
      <c r="C280" s="301">
        <v>3</v>
      </c>
      <c r="D280" s="259">
        <v>0</v>
      </c>
      <c r="E280" s="120">
        <v>0</v>
      </c>
      <c r="F280" s="120">
        <v>0</v>
      </c>
      <c r="G280" s="120">
        <v>0</v>
      </c>
      <c r="H280" s="120">
        <v>0</v>
      </c>
      <c r="I280" s="120">
        <v>0</v>
      </c>
      <c r="J280" s="120">
        <v>0</v>
      </c>
      <c r="K280" s="223">
        <f t="shared" si="31"/>
        <v>3</v>
      </c>
      <c r="L280" s="224">
        <f t="shared" si="32"/>
        <v>0</v>
      </c>
      <c r="M280" s="304"/>
      <c r="N280" s="262"/>
      <c r="O280" s="263"/>
    </row>
    <row r="281" spans="1:15" ht="15" x14ac:dyDescent="0.25">
      <c r="A281" s="210">
        <v>7413</v>
      </c>
      <c r="B281" s="211" t="s">
        <v>515</v>
      </c>
      <c r="C281" s="301">
        <v>0</v>
      </c>
      <c r="D281" s="259">
        <v>0</v>
      </c>
      <c r="E281" s="120">
        <v>0</v>
      </c>
      <c r="F281" s="120">
        <v>0</v>
      </c>
      <c r="G281" s="120">
        <v>0</v>
      </c>
      <c r="H281" s="120">
        <v>0</v>
      </c>
      <c r="I281" s="120">
        <v>0</v>
      </c>
      <c r="J281" s="120">
        <v>0</v>
      </c>
      <c r="K281" s="223">
        <f t="shared" si="31"/>
        <v>0</v>
      </c>
      <c r="L281" s="224">
        <f t="shared" si="32"/>
        <v>0</v>
      </c>
      <c r="M281" s="304"/>
      <c r="N281" s="262"/>
      <c r="O281" s="263"/>
    </row>
    <row r="282" spans="1:15" ht="15" x14ac:dyDescent="0.25">
      <c r="A282" s="210">
        <v>7414</v>
      </c>
      <c r="B282" s="211" t="s">
        <v>516</v>
      </c>
      <c r="C282" s="301">
        <v>0</v>
      </c>
      <c r="D282" s="259">
        <v>0</v>
      </c>
      <c r="E282" s="120">
        <v>0</v>
      </c>
      <c r="F282" s="120">
        <v>0</v>
      </c>
      <c r="G282" s="120">
        <v>0</v>
      </c>
      <c r="H282" s="120">
        <v>0</v>
      </c>
      <c r="I282" s="120">
        <v>0</v>
      </c>
      <c r="J282" s="120">
        <v>0</v>
      </c>
      <c r="K282" s="223">
        <f t="shared" si="31"/>
        <v>0</v>
      </c>
      <c r="L282" s="224">
        <f t="shared" si="32"/>
        <v>0</v>
      </c>
      <c r="M282" s="304"/>
      <c r="N282" s="262"/>
      <c r="O282" s="263"/>
    </row>
    <row r="283" spans="1:15" ht="30" x14ac:dyDescent="0.25">
      <c r="A283" s="210">
        <v>7415</v>
      </c>
      <c r="B283" s="211" t="s">
        <v>517</v>
      </c>
      <c r="C283" s="301">
        <v>4</v>
      </c>
      <c r="D283" s="259">
        <v>2</v>
      </c>
      <c r="E283" s="120">
        <v>0</v>
      </c>
      <c r="F283" s="120">
        <v>0</v>
      </c>
      <c r="G283" s="120">
        <v>0</v>
      </c>
      <c r="H283" s="120">
        <v>0</v>
      </c>
      <c r="I283" s="120">
        <v>0</v>
      </c>
      <c r="J283" s="120">
        <v>0</v>
      </c>
      <c r="K283" s="223">
        <f t="shared" si="31"/>
        <v>4</v>
      </c>
      <c r="L283" s="224">
        <f t="shared" si="32"/>
        <v>2</v>
      </c>
      <c r="M283" s="304"/>
      <c r="N283" s="262"/>
      <c r="O283" s="263"/>
    </row>
    <row r="284" spans="1:15" ht="15" x14ac:dyDescent="0.25">
      <c r="A284" s="210">
        <v>7416</v>
      </c>
      <c r="B284" s="211" t="s">
        <v>518</v>
      </c>
      <c r="C284" s="301">
        <v>0</v>
      </c>
      <c r="D284" s="259">
        <v>0</v>
      </c>
      <c r="E284" s="120">
        <v>0</v>
      </c>
      <c r="F284" s="120">
        <v>0</v>
      </c>
      <c r="G284" s="120">
        <v>0</v>
      </c>
      <c r="H284" s="120">
        <v>0</v>
      </c>
      <c r="I284" s="120">
        <v>0</v>
      </c>
      <c r="J284" s="120">
        <v>0</v>
      </c>
      <c r="K284" s="223">
        <f t="shared" si="31"/>
        <v>0</v>
      </c>
      <c r="L284" s="224">
        <f t="shared" si="32"/>
        <v>0</v>
      </c>
      <c r="M284" s="304"/>
      <c r="N284" s="262"/>
      <c r="O284" s="263"/>
    </row>
    <row r="285" spans="1:15" ht="15" x14ac:dyDescent="0.25">
      <c r="A285" s="210">
        <v>7421</v>
      </c>
      <c r="B285" s="211" t="s">
        <v>519</v>
      </c>
      <c r="C285" s="301">
        <v>0</v>
      </c>
      <c r="D285" s="259">
        <v>0</v>
      </c>
      <c r="E285" s="120">
        <v>0</v>
      </c>
      <c r="F285" s="120">
        <v>0</v>
      </c>
      <c r="G285" s="120">
        <v>0</v>
      </c>
      <c r="H285" s="120">
        <v>0</v>
      </c>
      <c r="I285" s="120">
        <v>0</v>
      </c>
      <c r="J285" s="120">
        <v>0</v>
      </c>
      <c r="K285" s="223">
        <f t="shared" si="31"/>
        <v>0</v>
      </c>
      <c r="L285" s="224">
        <f t="shared" si="32"/>
        <v>0</v>
      </c>
      <c r="M285" s="304"/>
      <c r="N285" s="262"/>
      <c r="O285" s="263"/>
    </row>
    <row r="286" spans="1:15" ht="15" x14ac:dyDescent="0.25">
      <c r="A286" s="210">
        <v>7422</v>
      </c>
      <c r="B286" s="211" t="s">
        <v>520</v>
      </c>
      <c r="C286" s="301">
        <v>0</v>
      </c>
      <c r="D286" s="259">
        <v>0</v>
      </c>
      <c r="E286" s="120">
        <v>0</v>
      </c>
      <c r="F286" s="120">
        <v>0</v>
      </c>
      <c r="G286" s="120">
        <v>0</v>
      </c>
      <c r="H286" s="120">
        <v>0</v>
      </c>
      <c r="I286" s="120">
        <v>0</v>
      </c>
      <c r="J286" s="120">
        <v>0</v>
      </c>
      <c r="K286" s="223">
        <f t="shared" si="31"/>
        <v>0</v>
      </c>
      <c r="L286" s="224">
        <f t="shared" si="32"/>
        <v>0</v>
      </c>
      <c r="M286" s="304"/>
      <c r="N286" s="262"/>
      <c r="O286" s="263"/>
    </row>
    <row r="287" spans="1:15" ht="30" x14ac:dyDescent="0.25">
      <c r="A287" s="210">
        <v>7423</v>
      </c>
      <c r="B287" s="211" t="s">
        <v>521</v>
      </c>
      <c r="C287" s="301">
        <v>0</v>
      </c>
      <c r="D287" s="259">
        <v>0</v>
      </c>
      <c r="E287" s="120">
        <v>0</v>
      </c>
      <c r="F287" s="120">
        <v>0</v>
      </c>
      <c r="G287" s="120">
        <v>0</v>
      </c>
      <c r="H287" s="120">
        <v>0</v>
      </c>
      <c r="I287" s="120">
        <v>0</v>
      </c>
      <c r="J287" s="120">
        <v>0</v>
      </c>
      <c r="K287" s="223">
        <f t="shared" si="31"/>
        <v>0</v>
      </c>
      <c r="L287" s="224">
        <f t="shared" si="32"/>
        <v>0</v>
      </c>
      <c r="M287" s="304"/>
      <c r="N287" s="262"/>
      <c r="O287" s="263"/>
    </row>
    <row r="288" spans="1:15" ht="15" x14ac:dyDescent="0.25">
      <c r="A288" s="210">
        <v>7424</v>
      </c>
      <c r="B288" s="211" t="s">
        <v>522</v>
      </c>
      <c r="C288" s="301">
        <v>0</v>
      </c>
      <c r="D288" s="259">
        <v>0</v>
      </c>
      <c r="E288" s="120">
        <v>0</v>
      </c>
      <c r="F288" s="120">
        <v>0</v>
      </c>
      <c r="G288" s="120">
        <v>0</v>
      </c>
      <c r="H288" s="120">
        <v>0</v>
      </c>
      <c r="I288" s="120">
        <v>0</v>
      </c>
      <c r="J288" s="120">
        <v>0</v>
      </c>
      <c r="K288" s="223">
        <f t="shared" si="31"/>
        <v>0</v>
      </c>
      <c r="L288" s="224">
        <f t="shared" si="32"/>
        <v>0</v>
      </c>
      <c r="M288" s="304"/>
      <c r="N288" s="262"/>
      <c r="O288" s="263"/>
    </row>
    <row r="289" spans="1:15" ht="15" x14ac:dyDescent="0.25">
      <c r="A289" s="210">
        <v>7431</v>
      </c>
      <c r="B289" s="211" t="s">
        <v>523</v>
      </c>
      <c r="C289" s="301">
        <v>0</v>
      </c>
      <c r="D289" s="259">
        <v>0</v>
      </c>
      <c r="E289" s="120">
        <v>0</v>
      </c>
      <c r="F289" s="120">
        <v>0</v>
      </c>
      <c r="G289" s="120">
        <v>0</v>
      </c>
      <c r="H289" s="120">
        <v>0</v>
      </c>
      <c r="I289" s="120">
        <v>0</v>
      </c>
      <c r="J289" s="120">
        <v>0</v>
      </c>
      <c r="K289" s="223">
        <f t="shared" si="31"/>
        <v>0</v>
      </c>
      <c r="L289" s="224">
        <f t="shared" si="32"/>
        <v>0</v>
      </c>
      <c r="M289" s="304"/>
      <c r="N289" s="262"/>
      <c r="O289" s="263"/>
    </row>
    <row r="290" spans="1:15" ht="15" x14ac:dyDescent="0.25">
      <c r="A290" s="210">
        <v>7432</v>
      </c>
      <c r="B290" s="211" t="s">
        <v>524</v>
      </c>
      <c r="C290" s="301">
        <v>0</v>
      </c>
      <c r="D290" s="259">
        <v>0</v>
      </c>
      <c r="E290" s="120">
        <v>0</v>
      </c>
      <c r="F290" s="120">
        <v>0</v>
      </c>
      <c r="G290" s="120">
        <v>0</v>
      </c>
      <c r="H290" s="120">
        <v>0</v>
      </c>
      <c r="I290" s="120">
        <v>0</v>
      </c>
      <c r="J290" s="120">
        <v>0</v>
      </c>
      <c r="K290" s="223">
        <f t="shared" si="31"/>
        <v>0</v>
      </c>
      <c r="L290" s="224">
        <f t="shared" si="32"/>
        <v>0</v>
      </c>
      <c r="M290" s="304"/>
      <c r="N290" s="262"/>
      <c r="O290" s="263"/>
    </row>
    <row r="291" spans="1:15" ht="30" x14ac:dyDescent="0.25">
      <c r="A291" s="210">
        <v>7433</v>
      </c>
      <c r="B291" s="211" t="s">
        <v>525</v>
      </c>
      <c r="C291" s="301">
        <v>0</v>
      </c>
      <c r="D291" s="259">
        <v>0</v>
      </c>
      <c r="E291" s="120">
        <v>0</v>
      </c>
      <c r="F291" s="120">
        <v>0</v>
      </c>
      <c r="G291" s="120">
        <v>0</v>
      </c>
      <c r="H291" s="120">
        <v>0</v>
      </c>
      <c r="I291" s="120">
        <v>0</v>
      </c>
      <c r="J291" s="120">
        <v>0</v>
      </c>
      <c r="K291" s="223">
        <f t="shared" si="31"/>
        <v>0</v>
      </c>
      <c r="L291" s="224">
        <f t="shared" si="32"/>
        <v>0</v>
      </c>
      <c r="M291" s="304"/>
      <c r="N291" s="262"/>
      <c r="O291" s="263"/>
    </row>
    <row r="292" spans="1:15" ht="30" x14ac:dyDescent="0.25">
      <c r="A292" s="210">
        <v>7434</v>
      </c>
      <c r="B292" s="211" t="s">
        <v>526</v>
      </c>
      <c r="C292" s="301">
        <v>0</v>
      </c>
      <c r="D292" s="259">
        <v>0</v>
      </c>
      <c r="E292" s="120">
        <v>0</v>
      </c>
      <c r="F292" s="120">
        <v>0</v>
      </c>
      <c r="G292" s="120">
        <v>0</v>
      </c>
      <c r="H292" s="120">
        <v>0</v>
      </c>
      <c r="I292" s="120">
        <v>0</v>
      </c>
      <c r="J292" s="120">
        <v>0</v>
      </c>
      <c r="K292" s="223">
        <f t="shared" si="31"/>
        <v>0</v>
      </c>
      <c r="L292" s="224">
        <f t="shared" si="32"/>
        <v>0</v>
      </c>
      <c r="M292" s="304"/>
      <c r="N292" s="262"/>
      <c r="O292" s="263"/>
    </row>
    <row r="293" spans="1:15" ht="30" x14ac:dyDescent="0.25">
      <c r="A293" s="210">
        <v>7435</v>
      </c>
      <c r="B293" s="211" t="s">
        <v>527</v>
      </c>
      <c r="C293" s="301">
        <v>0</v>
      </c>
      <c r="D293" s="259">
        <v>0</v>
      </c>
      <c r="E293" s="120">
        <v>0</v>
      </c>
      <c r="F293" s="120">
        <v>0</v>
      </c>
      <c r="G293" s="120">
        <v>0</v>
      </c>
      <c r="H293" s="120">
        <v>0</v>
      </c>
      <c r="I293" s="120">
        <v>0</v>
      </c>
      <c r="J293" s="120">
        <v>0</v>
      </c>
      <c r="K293" s="223">
        <f t="shared" si="31"/>
        <v>0</v>
      </c>
      <c r="L293" s="224">
        <f t="shared" si="32"/>
        <v>0</v>
      </c>
      <c r="M293" s="304"/>
      <c r="N293" s="262"/>
      <c r="O293" s="263"/>
    </row>
    <row r="294" spans="1:15" ht="15" x14ac:dyDescent="0.25">
      <c r="A294" s="210">
        <v>7436</v>
      </c>
      <c r="B294" s="211" t="s">
        <v>528</v>
      </c>
      <c r="C294" s="301">
        <v>0</v>
      </c>
      <c r="D294" s="259">
        <v>1</v>
      </c>
      <c r="E294" s="120">
        <v>0</v>
      </c>
      <c r="F294" s="120">
        <v>0</v>
      </c>
      <c r="G294" s="120">
        <v>0</v>
      </c>
      <c r="H294" s="120">
        <v>0</v>
      </c>
      <c r="I294" s="120">
        <v>0</v>
      </c>
      <c r="J294" s="120">
        <v>0</v>
      </c>
      <c r="K294" s="223">
        <f t="shared" si="31"/>
        <v>0</v>
      </c>
      <c r="L294" s="224">
        <f t="shared" si="32"/>
        <v>1</v>
      </c>
      <c r="M294" s="304"/>
      <c r="N294" s="262"/>
      <c r="O294" s="263"/>
    </row>
    <row r="295" spans="1:15" ht="30" x14ac:dyDescent="0.25">
      <c r="A295" s="210">
        <v>7437</v>
      </c>
      <c r="B295" s="211" t="s">
        <v>529</v>
      </c>
      <c r="C295" s="301">
        <v>0</v>
      </c>
      <c r="D295" s="259">
        <v>0</v>
      </c>
      <c r="E295" s="120">
        <v>0</v>
      </c>
      <c r="F295" s="120">
        <v>0</v>
      </c>
      <c r="G295" s="120">
        <v>0</v>
      </c>
      <c r="H295" s="120">
        <v>0</v>
      </c>
      <c r="I295" s="120">
        <v>0</v>
      </c>
      <c r="J295" s="120">
        <v>0</v>
      </c>
      <c r="K295" s="223">
        <f t="shared" si="31"/>
        <v>0</v>
      </c>
      <c r="L295" s="224">
        <f t="shared" si="32"/>
        <v>0</v>
      </c>
      <c r="M295" s="304"/>
      <c r="N295" s="262"/>
      <c r="O295" s="263"/>
    </row>
    <row r="296" spans="1:15" ht="30" customHeight="1" x14ac:dyDescent="0.25">
      <c r="A296" s="210">
        <v>7441</v>
      </c>
      <c r="B296" s="211" t="s">
        <v>530</v>
      </c>
      <c r="C296" s="301">
        <v>0</v>
      </c>
      <c r="D296" s="259">
        <v>0</v>
      </c>
      <c r="E296" s="120">
        <v>0</v>
      </c>
      <c r="F296" s="120">
        <v>0</v>
      </c>
      <c r="G296" s="120">
        <v>0</v>
      </c>
      <c r="H296" s="120">
        <v>0</v>
      </c>
      <c r="I296" s="120">
        <v>0</v>
      </c>
      <c r="J296" s="120">
        <v>0</v>
      </c>
      <c r="K296" s="223">
        <f t="shared" si="31"/>
        <v>0</v>
      </c>
      <c r="L296" s="224">
        <f t="shared" si="32"/>
        <v>0</v>
      </c>
      <c r="M296" s="304"/>
      <c r="N296" s="262"/>
      <c r="O296" s="263"/>
    </row>
    <row r="297" spans="1:15" ht="15" customHeight="1" thickBot="1" x14ac:dyDescent="0.3">
      <c r="A297" s="204">
        <v>7442</v>
      </c>
      <c r="B297" s="205" t="s">
        <v>531</v>
      </c>
      <c r="C297" s="300">
        <v>0</v>
      </c>
      <c r="D297" s="257">
        <v>0</v>
      </c>
      <c r="E297" s="209">
        <v>0</v>
      </c>
      <c r="F297" s="209">
        <v>0</v>
      </c>
      <c r="G297" s="209">
        <v>0</v>
      </c>
      <c r="H297" s="209">
        <v>0</v>
      </c>
      <c r="I297" s="209">
        <v>0</v>
      </c>
      <c r="J297" s="209">
        <v>0</v>
      </c>
      <c r="K297" s="221">
        <f t="shared" si="31"/>
        <v>0</v>
      </c>
      <c r="L297" s="225">
        <f t="shared" si="32"/>
        <v>0</v>
      </c>
      <c r="M297" s="304"/>
      <c r="N297" s="262"/>
      <c r="O297" s="263"/>
    </row>
    <row r="298" spans="1:15" ht="30.75" thickBot="1" x14ac:dyDescent="0.3">
      <c r="A298" s="254">
        <v>8</v>
      </c>
      <c r="B298" s="255" t="s">
        <v>532</v>
      </c>
      <c r="C298" s="218"/>
      <c r="D298" s="299"/>
      <c r="E298" s="218"/>
      <c r="F298" s="218"/>
      <c r="G298" s="218"/>
      <c r="H298" s="218"/>
      <c r="I298" s="218"/>
      <c r="J298" s="218"/>
      <c r="K298" s="226"/>
      <c r="L298" s="227"/>
      <c r="M298" s="304"/>
      <c r="N298" s="262"/>
      <c r="O298" s="263"/>
    </row>
    <row r="299" spans="1:15" ht="15" x14ac:dyDescent="0.25">
      <c r="A299" s="204">
        <v>8111</v>
      </c>
      <c r="B299" s="205" t="s">
        <v>533</v>
      </c>
      <c r="C299" s="300">
        <v>368</v>
      </c>
      <c r="D299" s="257">
        <v>0</v>
      </c>
      <c r="E299" s="209">
        <v>0</v>
      </c>
      <c r="F299" s="209">
        <v>0</v>
      </c>
      <c r="G299" s="209">
        <v>0</v>
      </c>
      <c r="H299" s="209">
        <v>0</v>
      </c>
      <c r="I299" s="209">
        <v>0</v>
      </c>
      <c r="J299" s="209">
        <v>0</v>
      </c>
      <c r="K299" s="313">
        <f>C299+E299-G299-I299</f>
        <v>368</v>
      </c>
      <c r="L299" s="314">
        <f>D299+F299-H299-J299</f>
        <v>0</v>
      </c>
      <c r="M299" s="304"/>
      <c r="N299" s="262"/>
      <c r="O299" s="263"/>
    </row>
    <row r="300" spans="1:15" ht="30" customHeight="1" x14ac:dyDescent="0.25">
      <c r="A300" s="210">
        <v>8112</v>
      </c>
      <c r="B300" s="211" t="s">
        <v>534</v>
      </c>
      <c r="C300" s="301">
        <v>8</v>
      </c>
      <c r="D300" s="259">
        <v>0</v>
      </c>
      <c r="E300" s="120">
        <v>0</v>
      </c>
      <c r="F300" s="120">
        <v>0</v>
      </c>
      <c r="G300" s="120">
        <v>0</v>
      </c>
      <c r="H300" s="120">
        <v>0</v>
      </c>
      <c r="I300" s="120">
        <v>0</v>
      </c>
      <c r="J300" s="120">
        <v>0</v>
      </c>
      <c r="K300" s="223">
        <f t="shared" ref="K300:K309" si="33">C300+E300-G300-I300</f>
        <v>8</v>
      </c>
      <c r="L300" s="224">
        <f t="shared" ref="L300:L309" si="34">D300+F300-H300-J300</f>
        <v>0</v>
      </c>
      <c r="M300" s="304"/>
      <c r="N300" s="262"/>
      <c r="O300" s="263"/>
    </row>
    <row r="301" spans="1:15" ht="15" x14ac:dyDescent="0.25">
      <c r="A301" s="210">
        <v>8113</v>
      </c>
      <c r="B301" s="211" t="s">
        <v>535</v>
      </c>
      <c r="C301" s="301">
        <v>0</v>
      </c>
      <c r="D301" s="259">
        <v>0</v>
      </c>
      <c r="E301" s="120">
        <v>0</v>
      </c>
      <c r="F301" s="120">
        <v>0</v>
      </c>
      <c r="G301" s="120">
        <v>0</v>
      </c>
      <c r="H301" s="120">
        <v>0</v>
      </c>
      <c r="I301" s="120">
        <v>0</v>
      </c>
      <c r="J301" s="120">
        <v>0</v>
      </c>
      <c r="K301" s="223">
        <f t="shared" si="33"/>
        <v>0</v>
      </c>
      <c r="L301" s="224">
        <f t="shared" si="34"/>
        <v>0</v>
      </c>
      <c r="M301" s="304"/>
      <c r="N301" s="262"/>
      <c r="O301" s="263"/>
    </row>
    <row r="302" spans="1:15" ht="30" x14ac:dyDescent="0.25">
      <c r="A302" s="210">
        <v>8121</v>
      </c>
      <c r="B302" s="211" t="s">
        <v>536</v>
      </c>
      <c r="C302" s="301">
        <v>0</v>
      </c>
      <c r="D302" s="259">
        <v>0</v>
      </c>
      <c r="E302" s="120">
        <v>0</v>
      </c>
      <c r="F302" s="120">
        <v>0</v>
      </c>
      <c r="G302" s="120">
        <v>0</v>
      </c>
      <c r="H302" s="120">
        <v>0</v>
      </c>
      <c r="I302" s="120">
        <v>0</v>
      </c>
      <c r="J302" s="120">
        <v>0</v>
      </c>
      <c r="K302" s="223">
        <f t="shared" si="33"/>
        <v>0</v>
      </c>
      <c r="L302" s="224">
        <f t="shared" si="34"/>
        <v>0</v>
      </c>
      <c r="M302" s="304"/>
      <c r="N302" s="262"/>
      <c r="O302" s="263"/>
    </row>
    <row r="303" spans="1:15" ht="30" x14ac:dyDescent="0.25">
      <c r="A303" s="210">
        <v>8122</v>
      </c>
      <c r="B303" s="211" t="s">
        <v>537</v>
      </c>
      <c r="C303" s="301">
        <v>0</v>
      </c>
      <c r="D303" s="259">
        <v>0</v>
      </c>
      <c r="E303" s="120">
        <v>0</v>
      </c>
      <c r="F303" s="120">
        <v>0</v>
      </c>
      <c r="G303" s="120">
        <v>0</v>
      </c>
      <c r="H303" s="120">
        <v>0</v>
      </c>
      <c r="I303" s="120">
        <v>0</v>
      </c>
      <c r="J303" s="120">
        <v>0</v>
      </c>
      <c r="K303" s="223">
        <f t="shared" si="33"/>
        <v>0</v>
      </c>
      <c r="L303" s="224">
        <f t="shared" si="34"/>
        <v>0</v>
      </c>
      <c r="M303" s="304"/>
      <c r="N303" s="262"/>
      <c r="O303" s="263"/>
    </row>
    <row r="304" spans="1:15" ht="15" x14ac:dyDescent="0.25">
      <c r="A304" s="210">
        <v>8124</v>
      </c>
      <c r="B304" s="211" t="s">
        <v>538</v>
      </c>
      <c r="C304" s="301">
        <v>0</v>
      </c>
      <c r="D304" s="259">
        <v>0</v>
      </c>
      <c r="E304" s="120">
        <v>0</v>
      </c>
      <c r="F304" s="120">
        <v>0</v>
      </c>
      <c r="G304" s="120">
        <v>0</v>
      </c>
      <c r="H304" s="120">
        <v>0</v>
      </c>
      <c r="I304" s="120">
        <v>0</v>
      </c>
      <c r="J304" s="120">
        <v>0</v>
      </c>
      <c r="K304" s="223">
        <f t="shared" si="33"/>
        <v>0</v>
      </c>
      <c r="L304" s="224">
        <f t="shared" si="34"/>
        <v>0</v>
      </c>
      <c r="M304" s="304"/>
      <c r="N304" s="262"/>
      <c r="O304" s="263"/>
    </row>
    <row r="305" spans="1:15" ht="30" x14ac:dyDescent="0.25">
      <c r="A305" s="210">
        <v>8131</v>
      </c>
      <c r="B305" s="211" t="s">
        <v>539</v>
      </c>
      <c r="C305" s="301">
        <v>0</v>
      </c>
      <c r="D305" s="259">
        <v>0</v>
      </c>
      <c r="E305" s="120">
        <v>0</v>
      </c>
      <c r="F305" s="120">
        <v>0</v>
      </c>
      <c r="G305" s="120">
        <v>0</v>
      </c>
      <c r="H305" s="120">
        <v>0</v>
      </c>
      <c r="I305" s="120">
        <v>0</v>
      </c>
      <c r="J305" s="120">
        <v>0</v>
      </c>
      <c r="K305" s="223">
        <f t="shared" si="33"/>
        <v>0</v>
      </c>
      <c r="L305" s="224">
        <f t="shared" si="34"/>
        <v>0</v>
      </c>
      <c r="M305" s="304"/>
      <c r="N305" s="262"/>
      <c r="O305" s="263"/>
    </row>
    <row r="306" spans="1:15" ht="30" x14ac:dyDescent="0.25">
      <c r="A306" s="210">
        <v>8139</v>
      </c>
      <c r="B306" s="211" t="s">
        <v>540</v>
      </c>
      <c r="C306" s="301">
        <v>0</v>
      </c>
      <c r="D306" s="259">
        <v>0</v>
      </c>
      <c r="E306" s="120">
        <v>0</v>
      </c>
      <c r="F306" s="120">
        <v>0</v>
      </c>
      <c r="G306" s="120">
        <v>0</v>
      </c>
      <c r="H306" s="120">
        <v>0</v>
      </c>
      <c r="I306" s="120">
        <v>0</v>
      </c>
      <c r="J306" s="120">
        <v>0</v>
      </c>
      <c r="K306" s="223">
        <f t="shared" si="33"/>
        <v>0</v>
      </c>
      <c r="L306" s="224">
        <f t="shared" si="34"/>
        <v>0</v>
      </c>
      <c r="M306" s="304"/>
      <c r="N306" s="262"/>
      <c r="O306" s="263"/>
    </row>
    <row r="307" spans="1:15" ht="15" x14ac:dyDescent="0.25">
      <c r="A307" s="210">
        <v>8141</v>
      </c>
      <c r="B307" s="211" t="s">
        <v>541</v>
      </c>
      <c r="C307" s="301">
        <v>0</v>
      </c>
      <c r="D307" s="259">
        <v>0</v>
      </c>
      <c r="E307" s="120">
        <v>0</v>
      </c>
      <c r="F307" s="120">
        <v>0</v>
      </c>
      <c r="G307" s="120">
        <v>0</v>
      </c>
      <c r="H307" s="120">
        <v>0</v>
      </c>
      <c r="I307" s="120">
        <v>0</v>
      </c>
      <c r="J307" s="120">
        <v>0</v>
      </c>
      <c r="K307" s="223">
        <f t="shared" si="33"/>
        <v>0</v>
      </c>
      <c r="L307" s="224">
        <f t="shared" si="34"/>
        <v>0</v>
      </c>
      <c r="M307" s="304"/>
      <c r="N307" s="262"/>
      <c r="O307" s="263"/>
    </row>
    <row r="308" spans="1:15" ht="15" x14ac:dyDescent="0.25">
      <c r="A308" s="210">
        <v>8142</v>
      </c>
      <c r="B308" s="211" t="s">
        <v>542</v>
      </c>
      <c r="C308" s="301">
        <v>0</v>
      </c>
      <c r="D308" s="259">
        <v>0</v>
      </c>
      <c r="E308" s="120">
        <v>0</v>
      </c>
      <c r="F308" s="120">
        <v>0</v>
      </c>
      <c r="G308" s="120">
        <v>0</v>
      </c>
      <c r="H308" s="120">
        <v>0</v>
      </c>
      <c r="I308" s="120">
        <v>0</v>
      </c>
      <c r="J308" s="120">
        <v>0</v>
      </c>
      <c r="K308" s="223">
        <f t="shared" si="33"/>
        <v>0</v>
      </c>
      <c r="L308" s="224">
        <f t="shared" si="34"/>
        <v>0</v>
      </c>
      <c r="M308" s="304"/>
      <c r="N308" s="262"/>
      <c r="O308" s="263"/>
    </row>
    <row r="309" spans="1:15" ht="15" x14ac:dyDescent="0.25">
      <c r="A309" s="210">
        <v>8143</v>
      </c>
      <c r="B309" s="211" t="s">
        <v>543</v>
      </c>
      <c r="C309" s="301">
        <v>0</v>
      </c>
      <c r="D309" s="259">
        <v>0</v>
      </c>
      <c r="E309" s="120">
        <v>0</v>
      </c>
      <c r="F309" s="120">
        <v>0</v>
      </c>
      <c r="G309" s="120">
        <v>0</v>
      </c>
      <c r="H309" s="120">
        <v>0</v>
      </c>
      <c r="I309" s="120">
        <v>0</v>
      </c>
      <c r="J309" s="120">
        <v>0</v>
      </c>
      <c r="K309" s="223">
        <f t="shared" si="33"/>
        <v>0</v>
      </c>
      <c r="L309" s="224">
        <f t="shared" si="34"/>
        <v>0</v>
      </c>
      <c r="M309" s="304"/>
      <c r="N309" s="262"/>
      <c r="O309" s="263"/>
    </row>
    <row r="310" spans="1:15" ht="30" x14ac:dyDescent="0.25">
      <c r="A310" s="210">
        <v>8151</v>
      </c>
      <c r="B310" s="211" t="s">
        <v>544</v>
      </c>
      <c r="C310" s="301">
        <v>0</v>
      </c>
      <c r="D310" s="259">
        <v>0</v>
      </c>
      <c r="E310" s="120">
        <v>0</v>
      </c>
      <c r="F310" s="120">
        <v>0</v>
      </c>
      <c r="G310" s="120">
        <v>0</v>
      </c>
      <c r="H310" s="120">
        <v>0</v>
      </c>
      <c r="I310" s="120">
        <v>0</v>
      </c>
      <c r="J310" s="120">
        <v>0</v>
      </c>
      <c r="K310" s="223">
        <f t="shared" ref="K310:K336" si="35">C310+E310-G310-I310</f>
        <v>0</v>
      </c>
      <c r="L310" s="224">
        <f t="shared" ref="L310:L336" si="36">D310+F310-H310-J310</f>
        <v>0</v>
      </c>
      <c r="M310" s="304"/>
      <c r="N310" s="262"/>
      <c r="O310" s="263"/>
    </row>
    <row r="311" spans="1:15" ht="30" x14ac:dyDescent="0.25">
      <c r="A311" s="210">
        <v>8152</v>
      </c>
      <c r="B311" s="211" t="s">
        <v>545</v>
      </c>
      <c r="C311" s="301">
        <v>0</v>
      </c>
      <c r="D311" s="259">
        <v>0</v>
      </c>
      <c r="E311" s="120">
        <v>0</v>
      </c>
      <c r="F311" s="120">
        <v>0</v>
      </c>
      <c r="G311" s="120">
        <v>0</v>
      </c>
      <c r="H311" s="120">
        <v>0</v>
      </c>
      <c r="I311" s="120">
        <v>0</v>
      </c>
      <c r="J311" s="120">
        <v>0</v>
      </c>
      <c r="K311" s="223">
        <f t="shared" si="35"/>
        <v>0</v>
      </c>
      <c r="L311" s="224">
        <f t="shared" si="36"/>
        <v>0</v>
      </c>
      <c r="M311" s="304"/>
      <c r="N311" s="262"/>
      <c r="O311" s="263"/>
    </row>
    <row r="312" spans="1:15" ht="30" x14ac:dyDescent="0.25">
      <c r="A312" s="210">
        <v>8153</v>
      </c>
      <c r="B312" s="211" t="s">
        <v>546</v>
      </c>
      <c r="C312" s="301">
        <v>0</v>
      </c>
      <c r="D312" s="259">
        <v>0</v>
      </c>
      <c r="E312" s="120">
        <v>0</v>
      </c>
      <c r="F312" s="120">
        <v>0</v>
      </c>
      <c r="G312" s="120">
        <v>0</v>
      </c>
      <c r="H312" s="120">
        <v>0</v>
      </c>
      <c r="I312" s="120">
        <v>0</v>
      </c>
      <c r="J312" s="120">
        <v>0</v>
      </c>
      <c r="K312" s="223">
        <f t="shared" si="35"/>
        <v>0</v>
      </c>
      <c r="L312" s="224">
        <f t="shared" si="36"/>
        <v>0</v>
      </c>
      <c r="M312" s="304"/>
      <c r="N312" s="262"/>
      <c r="O312" s="263"/>
    </row>
    <row r="313" spans="1:15" ht="45" customHeight="1" x14ac:dyDescent="0.25">
      <c r="A313" s="210">
        <v>8154</v>
      </c>
      <c r="B313" s="211" t="s">
        <v>547</v>
      </c>
      <c r="C313" s="301">
        <v>0</v>
      </c>
      <c r="D313" s="259">
        <v>0</v>
      </c>
      <c r="E313" s="120">
        <v>0</v>
      </c>
      <c r="F313" s="120">
        <v>0</v>
      </c>
      <c r="G313" s="120">
        <v>0</v>
      </c>
      <c r="H313" s="120">
        <v>0</v>
      </c>
      <c r="I313" s="120">
        <v>0</v>
      </c>
      <c r="J313" s="120">
        <v>0</v>
      </c>
      <c r="K313" s="223">
        <f t="shared" si="35"/>
        <v>0</v>
      </c>
      <c r="L313" s="224">
        <f t="shared" si="36"/>
        <v>0</v>
      </c>
      <c r="M313" s="304"/>
      <c r="N313" s="262"/>
      <c r="O313" s="263"/>
    </row>
    <row r="314" spans="1:15" ht="30" x14ac:dyDescent="0.25">
      <c r="A314" s="210">
        <v>8155</v>
      </c>
      <c r="B314" s="211" t="s">
        <v>548</v>
      </c>
      <c r="C314" s="301">
        <v>3</v>
      </c>
      <c r="D314" s="259">
        <v>0</v>
      </c>
      <c r="E314" s="120">
        <v>0</v>
      </c>
      <c r="F314" s="120">
        <v>0</v>
      </c>
      <c r="G314" s="120">
        <v>0</v>
      </c>
      <c r="H314" s="120">
        <v>0</v>
      </c>
      <c r="I314" s="120">
        <v>0</v>
      </c>
      <c r="J314" s="120">
        <v>0</v>
      </c>
      <c r="K314" s="223">
        <f t="shared" si="35"/>
        <v>3</v>
      </c>
      <c r="L314" s="224">
        <f t="shared" si="36"/>
        <v>0</v>
      </c>
      <c r="M314" s="304"/>
      <c r="N314" s="262"/>
      <c r="O314" s="263"/>
    </row>
    <row r="315" spans="1:15" ht="30" x14ac:dyDescent="0.25">
      <c r="A315" s="210">
        <v>8159</v>
      </c>
      <c r="B315" s="211" t="s">
        <v>549</v>
      </c>
      <c r="C315" s="301">
        <v>0</v>
      </c>
      <c r="D315" s="259">
        <v>0</v>
      </c>
      <c r="E315" s="120">
        <v>0</v>
      </c>
      <c r="F315" s="120">
        <v>0</v>
      </c>
      <c r="G315" s="120">
        <v>0</v>
      </c>
      <c r="H315" s="120">
        <v>0</v>
      </c>
      <c r="I315" s="120">
        <v>0</v>
      </c>
      <c r="J315" s="120">
        <v>0</v>
      </c>
      <c r="K315" s="223">
        <f t="shared" si="35"/>
        <v>0</v>
      </c>
      <c r="L315" s="224">
        <f t="shared" si="36"/>
        <v>0</v>
      </c>
      <c r="M315" s="304"/>
      <c r="N315" s="262"/>
      <c r="O315" s="263"/>
    </row>
    <row r="316" spans="1:15" ht="15" x14ac:dyDescent="0.25">
      <c r="A316" s="210">
        <v>8161</v>
      </c>
      <c r="B316" s="211" t="s">
        <v>550</v>
      </c>
      <c r="C316" s="301">
        <v>1</v>
      </c>
      <c r="D316" s="259">
        <v>0</v>
      </c>
      <c r="E316" s="120">
        <v>0</v>
      </c>
      <c r="F316" s="120">
        <v>0</v>
      </c>
      <c r="G316" s="120">
        <v>0</v>
      </c>
      <c r="H316" s="120">
        <v>0</v>
      </c>
      <c r="I316" s="120">
        <v>0</v>
      </c>
      <c r="J316" s="120">
        <v>0</v>
      </c>
      <c r="K316" s="223">
        <f t="shared" si="35"/>
        <v>1</v>
      </c>
      <c r="L316" s="224">
        <f t="shared" si="36"/>
        <v>0</v>
      </c>
      <c r="M316" s="304"/>
      <c r="N316" s="262"/>
      <c r="O316" s="263"/>
    </row>
    <row r="317" spans="1:15" ht="15" x14ac:dyDescent="0.25">
      <c r="A317" s="210">
        <v>8162</v>
      </c>
      <c r="B317" s="211" t="s">
        <v>551</v>
      </c>
      <c r="C317" s="301">
        <v>0</v>
      </c>
      <c r="D317" s="259">
        <v>0</v>
      </c>
      <c r="E317" s="120">
        <v>0</v>
      </c>
      <c r="F317" s="120">
        <v>0</v>
      </c>
      <c r="G317" s="120">
        <v>0</v>
      </c>
      <c r="H317" s="120">
        <v>0</v>
      </c>
      <c r="I317" s="120">
        <v>0</v>
      </c>
      <c r="J317" s="120">
        <v>0</v>
      </c>
      <c r="K317" s="223">
        <f t="shared" si="35"/>
        <v>0</v>
      </c>
      <c r="L317" s="224">
        <f t="shared" si="36"/>
        <v>0</v>
      </c>
      <c r="M317" s="304"/>
      <c r="N317" s="262"/>
      <c r="O317" s="263"/>
    </row>
    <row r="318" spans="1:15" ht="30" x14ac:dyDescent="0.25">
      <c r="A318" s="210">
        <v>8163</v>
      </c>
      <c r="B318" s="211" t="s">
        <v>552</v>
      </c>
      <c r="C318" s="301">
        <v>0</v>
      </c>
      <c r="D318" s="259">
        <v>0</v>
      </c>
      <c r="E318" s="120">
        <v>0</v>
      </c>
      <c r="F318" s="120">
        <v>0</v>
      </c>
      <c r="G318" s="120">
        <v>0</v>
      </c>
      <c r="H318" s="120">
        <v>0</v>
      </c>
      <c r="I318" s="120">
        <v>0</v>
      </c>
      <c r="J318" s="120">
        <v>0</v>
      </c>
      <c r="K318" s="223">
        <f t="shared" si="35"/>
        <v>0</v>
      </c>
      <c r="L318" s="224">
        <f t="shared" si="36"/>
        <v>0</v>
      </c>
      <c r="M318" s="304"/>
      <c r="N318" s="262"/>
      <c r="O318" s="263"/>
    </row>
    <row r="319" spans="1:15" ht="15" x14ac:dyDescent="0.25">
      <c r="A319" s="210">
        <v>8171</v>
      </c>
      <c r="B319" s="211" t="s">
        <v>553</v>
      </c>
      <c r="C319" s="301">
        <v>0</v>
      </c>
      <c r="D319" s="259">
        <v>0</v>
      </c>
      <c r="E319" s="120">
        <v>0</v>
      </c>
      <c r="F319" s="120">
        <v>0</v>
      </c>
      <c r="G319" s="120">
        <v>0</v>
      </c>
      <c r="H319" s="120">
        <v>0</v>
      </c>
      <c r="I319" s="120">
        <v>0</v>
      </c>
      <c r="J319" s="120">
        <v>0</v>
      </c>
      <c r="K319" s="223">
        <f t="shared" si="35"/>
        <v>0</v>
      </c>
      <c r="L319" s="224">
        <f t="shared" si="36"/>
        <v>0</v>
      </c>
      <c r="M319" s="304"/>
      <c r="N319" s="262"/>
      <c r="O319" s="263"/>
    </row>
    <row r="320" spans="1:15" ht="15" x14ac:dyDescent="0.25">
      <c r="A320" s="210">
        <v>8172</v>
      </c>
      <c r="B320" s="211" t="s">
        <v>554</v>
      </c>
      <c r="C320" s="301">
        <v>0</v>
      </c>
      <c r="D320" s="259">
        <v>0</v>
      </c>
      <c r="E320" s="120">
        <v>0</v>
      </c>
      <c r="F320" s="120">
        <v>0</v>
      </c>
      <c r="G320" s="120">
        <v>0</v>
      </c>
      <c r="H320" s="120">
        <v>0</v>
      </c>
      <c r="I320" s="120">
        <v>0</v>
      </c>
      <c r="J320" s="120">
        <v>0</v>
      </c>
      <c r="K320" s="223">
        <f t="shared" si="35"/>
        <v>0</v>
      </c>
      <c r="L320" s="224">
        <f t="shared" si="36"/>
        <v>0</v>
      </c>
      <c r="M320" s="304"/>
      <c r="N320" s="262"/>
      <c r="O320" s="263"/>
    </row>
    <row r="321" spans="1:15" ht="15" x14ac:dyDescent="0.25">
      <c r="A321" s="210">
        <v>8211</v>
      </c>
      <c r="B321" s="211" t="s">
        <v>555</v>
      </c>
      <c r="C321" s="301">
        <v>6</v>
      </c>
      <c r="D321" s="259">
        <v>0</v>
      </c>
      <c r="E321" s="120">
        <v>0</v>
      </c>
      <c r="F321" s="120">
        <v>0</v>
      </c>
      <c r="G321" s="120">
        <v>0</v>
      </c>
      <c r="H321" s="120">
        <v>0</v>
      </c>
      <c r="I321" s="120">
        <v>0</v>
      </c>
      <c r="J321" s="120">
        <v>0</v>
      </c>
      <c r="K321" s="223">
        <f t="shared" si="35"/>
        <v>6</v>
      </c>
      <c r="L321" s="224">
        <f t="shared" si="36"/>
        <v>0</v>
      </c>
      <c r="M321" s="304"/>
      <c r="N321" s="262"/>
      <c r="O321" s="263"/>
    </row>
    <row r="322" spans="1:15" ht="30" x14ac:dyDescent="0.25">
      <c r="A322" s="210">
        <v>8212</v>
      </c>
      <c r="B322" s="211" t="s">
        <v>556</v>
      </c>
      <c r="C322" s="301">
        <v>0</v>
      </c>
      <c r="D322" s="259">
        <v>0</v>
      </c>
      <c r="E322" s="120">
        <v>0</v>
      </c>
      <c r="F322" s="120">
        <v>0</v>
      </c>
      <c r="G322" s="120">
        <v>0</v>
      </c>
      <c r="H322" s="120">
        <v>0</v>
      </c>
      <c r="I322" s="120">
        <v>0</v>
      </c>
      <c r="J322" s="120">
        <v>0</v>
      </c>
      <c r="K322" s="223">
        <f t="shared" si="35"/>
        <v>0</v>
      </c>
      <c r="L322" s="224">
        <f t="shared" si="36"/>
        <v>0</v>
      </c>
      <c r="M322" s="304"/>
      <c r="N322" s="262"/>
      <c r="O322" s="263"/>
    </row>
    <row r="323" spans="1:15" ht="30" x14ac:dyDescent="0.25">
      <c r="A323" s="210">
        <v>8221</v>
      </c>
      <c r="B323" s="211" t="s">
        <v>557</v>
      </c>
      <c r="C323" s="301">
        <v>0</v>
      </c>
      <c r="D323" s="259">
        <v>0</v>
      </c>
      <c r="E323" s="120">
        <v>0</v>
      </c>
      <c r="F323" s="120">
        <v>0</v>
      </c>
      <c r="G323" s="120">
        <v>0</v>
      </c>
      <c r="H323" s="120">
        <v>0</v>
      </c>
      <c r="I323" s="120">
        <v>0</v>
      </c>
      <c r="J323" s="120">
        <v>0</v>
      </c>
      <c r="K323" s="223">
        <f t="shared" si="35"/>
        <v>0</v>
      </c>
      <c r="L323" s="224">
        <f t="shared" si="36"/>
        <v>0</v>
      </c>
      <c r="M323" s="304"/>
      <c r="N323" s="262"/>
      <c r="O323" s="263"/>
    </row>
    <row r="324" spans="1:15" ht="30" x14ac:dyDescent="0.25">
      <c r="A324" s="210">
        <v>8222</v>
      </c>
      <c r="B324" s="211" t="s">
        <v>558</v>
      </c>
      <c r="C324" s="301">
        <v>0</v>
      </c>
      <c r="D324" s="259">
        <v>0</v>
      </c>
      <c r="E324" s="120">
        <v>0</v>
      </c>
      <c r="F324" s="120">
        <v>0</v>
      </c>
      <c r="G324" s="120">
        <v>0</v>
      </c>
      <c r="H324" s="120">
        <v>0</v>
      </c>
      <c r="I324" s="120">
        <v>0</v>
      </c>
      <c r="J324" s="120">
        <v>0</v>
      </c>
      <c r="K324" s="223">
        <f t="shared" si="35"/>
        <v>0</v>
      </c>
      <c r="L324" s="224">
        <f t="shared" si="36"/>
        <v>0</v>
      </c>
      <c r="M324" s="304"/>
      <c r="N324" s="262"/>
      <c r="O324" s="263"/>
    </row>
    <row r="325" spans="1:15" ht="30" x14ac:dyDescent="0.25">
      <c r="A325" s="210">
        <v>8223</v>
      </c>
      <c r="B325" s="211" t="s">
        <v>559</v>
      </c>
      <c r="C325" s="301">
        <v>0</v>
      </c>
      <c r="D325" s="259">
        <v>0</v>
      </c>
      <c r="E325" s="120">
        <v>0</v>
      </c>
      <c r="F325" s="120">
        <v>0</v>
      </c>
      <c r="G325" s="120">
        <v>0</v>
      </c>
      <c r="H325" s="120">
        <v>0</v>
      </c>
      <c r="I325" s="120">
        <v>0</v>
      </c>
      <c r="J325" s="120">
        <v>0</v>
      </c>
      <c r="K325" s="223">
        <f t="shared" si="35"/>
        <v>0</v>
      </c>
      <c r="L325" s="224">
        <f t="shared" si="36"/>
        <v>0</v>
      </c>
      <c r="M325" s="304"/>
      <c r="N325" s="262"/>
      <c r="O325" s="263"/>
    </row>
    <row r="326" spans="1:15" ht="30" x14ac:dyDescent="0.25">
      <c r="A326" s="210">
        <v>8224</v>
      </c>
      <c r="B326" s="211" t="s">
        <v>560</v>
      </c>
      <c r="C326" s="301">
        <v>0</v>
      </c>
      <c r="D326" s="259">
        <v>0</v>
      </c>
      <c r="E326" s="120">
        <v>0</v>
      </c>
      <c r="F326" s="120">
        <v>0</v>
      </c>
      <c r="G326" s="120">
        <v>0</v>
      </c>
      <c r="H326" s="120">
        <v>0</v>
      </c>
      <c r="I326" s="120">
        <v>0</v>
      </c>
      <c r="J326" s="120">
        <v>0</v>
      </c>
      <c r="K326" s="223">
        <f t="shared" si="35"/>
        <v>0</v>
      </c>
      <c r="L326" s="224">
        <f t="shared" si="36"/>
        <v>0</v>
      </c>
      <c r="M326" s="304"/>
      <c r="N326" s="262"/>
      <c r="O326" s="263"/>
    </row>
    <row r="327" spans="1:15" ht="15" x14ac:dyDescent="0.25">
      <c r="A327" s="210">
        <v>8229</v>
      </c>
      <c r="B327" s="211" t="s">
        <v>561</v>
      </c>
      <c r="C327" s="301">
        <v>0</v>
      </c>
      <c r="D327" s="259">
        <v>0</v>
      </c>
      <c r="E327" s="120">
        <v>0</v>
      </c>
      <c r="F327" s="120">
        <v>0</v>
      </c>
      <c r="G327" s="120">
        <v>0</v>
      </c>
      <c r="H327" s="120">
        <v>0</v>
      </c>
      <c r="I327" s="120">
        <v>0</v>
      </c>
      <c r="J327" s="120">
        <v>0</v>
      </c>
      <c r="K327" s="223">
        <f t="shared" si="35"/>
        <v>0</v>
      </c>
      <c r="L327" s="224">
        <f t="shared" si="36"/>
        <v>0</v>
      </c>
      <c r="M327" s="304"/>
      <c r="N327" s="262"/>
      <c r="O327" s="263"/>
    </row>
    <row r="328" spans="1:15" ht="15" x14ac:dyDescent="0.25">
      <c r="A328" s="210">
        <v>8231</v>
      </c>
      <c r="B328" s="211" t="s">
        <v>562</v>
      </c>
      <c r="C328" s="301">
        <v>0</v>
      </c>
      <c r="D328" s="259">
        <v>0</v>
      </c>
      <c r="E328" s="120">
        <v>0</v>
      </c>
      <c r="F328" s="120">
        <v>0</v>
      </c>
      <c r="G328" s="120">
        <v>0</v>
      </c>
      <c r="H328" s="120">
        <v>0</v>
      </c>
      <c r="I328" s="120">
        <v>0</v>
      </c>
      <c r="J328" s="120">
        <v>0</v>
      </c>
      <c r="K328" s="223">
        <f t="shared" si="35"/>
        <v>0</v>
      </c>
      <c r="L328" s="224">
        <f t="shared" si="36"/>
        <v>0</v>
      </c>
      <c r="M328" s="304"/>
      <c r="N328" s="262"/>
      <c r="O328" s="263"/>
    </row>
    <row r="329" spans="1:15" ht="30" x14ac:dyDescent="0.25">
      <c r="A329" s="210">
        <v>8232</v>
      </c>
      <c r="B329" s="211" t="s">
        <v>563</v>
      </c>
      <c r="C329" s="301">
        <v>0</v>
      </c>
      <c r="D329" s="259">
        <v>0</v>
      </c>
      <c r="E329" s="120">
        <v>0</v>
      </c>
      <c r="F329" s="120">
        <v>0</v>
      </c>
      <c r="G329" s="120">
        <v>0</v>
      </c>
      <c r="H329" s="120">
        <v>0</v>
      </c>
      <c r="I329" s="120">
        <v>0</v>
      </c>
      <c r="J329" s="120">
        <v>0</v>
      </c>
      <c r="K329" s="223">
        <f t="shared" si="35"/>
        <v>0</v>
      </c>
      <c r="L329" s="224">
        <f t="shared" si="36"/>
        <v>0</v>
      </c>
      <c r="M329" s="304"/>
      <c r="N329" s="262"/>
      <c r="O329" s="263"/>
    </row>
    <row r="330" spans="1:15" ht="15" x14ac:dyDescent="0.25">
      <c r="A330" s="210">
        <v>8240</v>
      </c>
      <c r="B330" s="211" t="s">
        <v>564</v>
      </c>
      <c r="C330" s="301">
        <v>0</v>
      </c>
      <c r="D330" s="259">
        <v>0</v>
      </c>
      <c r="E330" s="120">
        <v>0</v>
      </c>
      <c r="F330" s="120">
        <v>0</v>
      </c>
      <c r="G330" s="120">
        <v>0</v>
      </c>
      <c r="H330" s="120">
        <v>0</v>
      </c>
      <c r="I330" s="120">
        <v>0</v>
      </c>
      <c r="J330" s="120">
        <v>0</v>
      </c>
      <c r="K330" s="223">
        <f t="shared" si="35"/>
        <v>0</v>
      </c>
      <c r="L330" s="224">
        <f t="shared" si="36"/>
        <v>0</v>
      </c>
      <c r="M330" s="304"/>
      <c r="N330" s="262"/>
      <c r="O330" s="263"/>
    </row>
    <row r="331" spans="1:15" ht="15" x14ac:dyDescent="0.25">
      <c r="A331" s="210">
        <v>8251</v>
      </c>
      <c r="B331" s="211" t="s">
        <v>565</v>
      </c>
      <c r="C331" s="301">
        <v>0</v>
      </c>
      <c r="D331" s="259">
        <v>0</v>
      </c>
      <c r="E331" s="120">
        <v>0</v>
      </c>
      <c r="F331" s="120">
        <v>0</v>
      </c>
      <c r="G331" s="120">
        <v>0</v>
      </c>
      <c r="H331" s="120">
        <v>0</v>
      </c>
      <c r="I331" s="120">
        <v>0</v>
      </c>
      <c r="J331" s="120">
        <v>0</v>
      </c>
      <c r="K331" s="223">
        <f t="shared" si="35"/>
        <v>0</v>
      </c>
      <c r="L331" s="224">
        <f t="shared" si="36"/>
        <v>0</v>
      </c>
      <c r="M331" s="304"/>
      <c r="N331" s="262"/>
      <c r="O331" s="263"/>
    </row>
    <row r="332" spans="1:15" ht="15" x14ac:dyDescent="0.25">
      <c r="A332" s="210">
        <v>8252</v>
      </c>
      <c r="B332" s="211" t="s">
        <v>566</v>
      </c>
      <c r="C332" s="301">
        <v>0</v>
      </c>
      <c r="D332" s="259">
        <v>0</v>
      </c>
      <c r="E332" s="120">
        <v>0</v>
      </c>
      <c r="F332" s="120">
        <v>0</v>
      </c>
      <c r="G332" s="120">
        <v>0</v>
      </c>
      <c r="H332" s="120">
        <v>0</v>
      </c>
      <c r="I332" s="120">
        <v>0</v>
      </c>
      <c r="J332" s="120">
        <v>0</v>
      </c>
      <c r="K332" s="223">
        <f t="shared" si="35"/>
        <v>0</v>
      </c>
      <c r="L332" s="224">
        <f t="shared" si="36"/>
        <v>0</v>
      </c>
      <c r="M332" s="304"/>
      <c r="N332" s="262"/>
      <c r="O332" s="263"/>
    </row>
    <row r="333" spans="1:15" ht="30" x14ac:dyDescent="0.25">
      <c r="A333" s="210">
        <v>8253</v>
      </c>
      <c r="B333" s="211" t="s">
        <v>567</v>
      </c>
      <c r="C333" s="301">
        <v>0</v>
      </c>
      <c r="D333" s="259">
        <v>0</v>
      </c>
      <c r="E333" s="120">
        <v>0</v>
      </c>
      <c r="F333" s="120">
        <v>0</v>
      </c>
      <c r="G333" s="120">
        <v>0</v>
      </c>
      <c r="H333" s="120">
        <v>0</v>
      </c>
      <c r="I333" s="120">
        <v>0</v>
      </c>
      <c r="J333" s="120">
        <v>0</v>
      </c>
      <c r="K333" s="223">
        <f t="shared" si="35"/>
        <v>0</v>
      </c>
      <c r="L333" s="224">
        <f t="shared" si="36"/>
        <v>0</v>
      </c>
      <c r="M333" s="304"/>
      <c r="N333" s="262"/>
      <c r="O333" s="263"/>
    </row>
    <row r="334" spans="1:15" ht="30" x14ac:dyDescent="0.25">
      <c r="A334" s="210">
        <v>8261</v>
      </c>
      <c r="B334" s="211" t="s">
        <v>568</v>
      </c>
      <c r="C334" s="301">
        <v>0</v>
      </c>
      <c r="D334" s="259">
        <v>0</v>
      </c>
      <c r="E334" s="120">
        <v>0</v>
      </c>
      <c r="F334" s="120">
        <v>0</v>
      </c>
      <c r="G334" s="120">
        <v>0</v>
      </c>
      <c r="H334" s="120">
        <v>0</v>
      </c>
      <c r="I334" s="120">
        <v>0</v>
      </c>
      <c r="J334" s="120">
        <v>0</v>
      </c>
      <c r="K334" s="223">
        <f t="shared" si="35"/>
        <v>0</v>
      </c>
      <c r="L334" s="224">
        <f t="shared" si="36"/>
        <v>0</v>
      </c>
      <c r="M334" s="304"/>
      <c r="N334" s="262"/>
      <c r="O334" s="263"/>
    </row>
    <row r="335" spans="1:15" ht="15" x14ac:dyDescent="0.25">
      <c r="A335" s="210">
        <v>8262</v>
      </c>
      <c r="B335" s="211" t="s">
        <v>569</v>
      </c>
      <c r="C335" s="301">
        <v>0</v>
      </c>
      <c r="D335" s="259">
        <v>0</v>
      </c>
      <c r="E335" s="120">
        <v>0</v>
      </c>
      <c r="F335" s="120">
        <v>0</v>
      </c>
      <c r="G335" s="120">
        <v>0</v>
      </c>
      <c r="H335" s="120">
        <v>0</v>
      </c>
      <c r="I335" s="120">
        <v>0</v>
      </c>
      <c r="J335" s="120">
        <v>0</v>
      </c>
      <c r="K335" s="223">
        <f t="shared" si="35"/>
        <v>0</v>
      </c>
      <c r="L335" s="224">
        <f t="shared" si="36"/>
        <v>0</v>
      </c>
      <c r="M335" s="304"/>
      <c r="N335" s="262"/>
      <c r="O335" s="263"/>
    </row>
    <row r="336" spans="1:15" ht="15" x14ac:dyDescent="0.25">
      <c r="A336" s="210">
        <v>8263</v>
      </c>
      <c r="B336" s="211" t="s">
        <v>570</v>
      </c>
      <c r="C336" s="301">
        <v>0</v>
      </c>
      <c r="D336" s="259">
        <v>0</v>
      </c>
      <c r="E336" s="120">
        <v>0</v>
      </c>
      <c r="F336" s="120">
        <v>0</v>
      </c>
      <c r="G336" s="120">
        <v>0</v>
      </c>
      <c r="H336" s="120">
        <v>0</v>
      </c>
      <c r="I336" s="120">
        <v>0</v>
      </c>
      <c r="J336" s="120">
        <v>0</v>
      </c>
      <c r="K336" s="223">
        <f t="shared" si="35"/>
        <v>0</v>
      </c>
      <c r="L336" s="224">
        <f t="shared" si="36"/>
        <v>0</v>
      </c>
      <c r="M336" s="304"/>
      <c r="N336" s="262"/>
      <c r="O336" s="263"/>
    </row>
    <row r="337" spans="1:15" ht="30" x14ac:dyDescent="0.25">
      <c r="A337" s="210">
        <v>8264</v>
      </c>
      <c r="B337" s="211" t="s">
        <v>571</v>
      </c>
      <c r="C337" s="301">
        <v>0</v>
      </c>
      <c r="D337" s="259">
        <v>0</v>
      </c>
      <c r="E337" s="120">
        <v>0</v>
      </c>
      <c r="F337" s="120">
        <v>0</v>
      </c>
      <c r="G337" s="120">
        <v>0</v>
      </c>
      <c r="H337" s="120">
        <v>0</v>
      </c>
      <c r="I337" s="120">
        <v>0</v>
      </c>
      <c r="J337" s="120">
        <v>0</v>
      </c>
      <c r="K337" s="223">
        <f t="shared" ref="K337:K367" si="37">C337+E337-G337-I337</f>
        <v>0</v>
      </c>
      <c r="L337" s="224">
        <f t="shared" ref="L337:L367" si="38">D337+F337-H337-J337</f>
        <v>0</v>
      </c>
      <c r="M337" s="304"/>
      <c r="N337" s="262"/>
      <c r="O337" s="263"/>
    </row>
    <row r="338" spans="1:15" ht="30" x14ac:dyDescent="0.25">
      <c r="A338" s="210">
        <v>8265</v>
      </c>
      <c r="B338" s="211" t="s">
        <v>572</v>
      </c>
      <c r="C338" s="301">
        <v>0</v>
      </c>
      <c r="D338" s="259">
        <v>0</v>
      </c>
      <c r="E338" s="120">
        <v>0</v>
      </c>
      <c r="F338" s="120">
        <v>0</v>
      </c>
      <c r="G338" s="120">
        <v>0</v>
      </c>
      <c r="H338" s="120">
        <v>0</v>
      </c>
      <c r="I338" s="120">
        <v>0</v>
      </c>
      <c r="J338" s="120">
        <v>0</v>
      </c>
      <c r="K338" s="223">
        <f t="shared" si="37"/>
        <v>0</v>
      </c>
      <c r="L338" s="224">
        <f t="shared" si="38"/>
        <v>0</v>
      </c>
      <c r="M338" s="304"/>
      <c r="N338" s="262"/>
      <c r="O338" s="263"/>
    </row>
    <row r="339" spans="1:15" ht="15" x14ac:dyDescent="0.25">
      <c r="A339" s="210">
        <v>8266</v>
      </c>
      <c r="B339" s="211" t="s">
        <v>573</v>
      </c>
      <c r="C339" s="301">
        <v>0</v>
      </c>
      <c r="D339" s="259">
        <v>0</v>
      </c>
      <c r="E339" s="120">
        <v>0</v>
      </c>
      <c r="F339" s="120">
        <v>0</v>
      </c>
      <c r="G339" s="120">
        <v>0</v>
      </c>
      <c r="H339" s="120">
        <v>0</v>
      </c>
      <c r="I339" s="120">
        <v>0</v>
      </c>
      <c r="J339" s="120">
        <v>0</v>
      </c>
      <c r="K339" s="223">
        <f t="shared" si="37"/>
        <v>0</v>
      </c>
      <c r="L339" s="224">
        <f t="shared" si="38"/>
        <v>0</v>
      </c>
      <c r="M339" s="304"/>
      <c r="N339" s="262"/>
      <c r="O339" s="263"/>
    </row>
    <row r="340" spans="1:15" ht="30" x14ac:dyDescent="0.25">
      <c r="A340" s="210">
        <v>8269</v>
      </c>
      <c r="B340" s="211" t="s">
        <v>574</v>
      </c>
      <c r="C340" s="301">
        <v>0</v>
      </c>
      <c r="D340" s="259">
        <v>0</v>
      </c>
      <c r="E340" s="120">
        <v>0</v>
      </c>
      <c r="F340" s="120">
        <v>0</v>
      </c>
      <c r="G340" s="120">
        <v>0</v>
      </c>
      <c r="H340" s="120">
        <v>0</v>
      </c>
      <c r="I340" s="120">
        <v>0</v>
      </c>
      <c r="J340" s="120">
        <v>0</v>
      </c>
      <c r="K340" s="223">
        <f t="shared" si="37"/>
        <v>0</v>
      </c>
      <c r="L340" s="224">
        <f t="shared" si="38"/>
        <v>0</v>
      </c>
      <c r="M340" s="304"/>
      <c r="N340" s="262"/>
      <c r="O340" s="263"/>
    </row>
    <row r="341" spans="1:15" ht="15" x14ac:dyDescent="0.25">
      <c r="A341" s="210">
        <v>8271</v>
      </c>
      <c r="B341" s="211" t="s">
        <v>575</v>
      </c>
      <c r="C341" s="301">
        <v>0</v>
      </c>
      <c r="D341" s="259">
        <v>0</v>
      </c>
      <c r="E341" s="120">
        <v>0</v>
      </c>
      <c r="F341" s="120">
        <v>0</v>
      </c>
      <c r="G341" s="120">
        <v>0</v>
      </c>
      <c r="H341" s="120">
        <v>0</v>
      </c>
      <c r="I341" s="120">
        <v>0</v>
      </c>
      <c r="J341" s="120">
        <v>0</v>
      </c>
      <c r="K341" s="223">
        <f t="shared" si="37"/>
        <v>0</v>
      </c>
      <c r="L341" s="224">
        <f t="shared" si="38"/>
        <v>0</v>
      </c>
      <c r="M341" s="304"/>
      <c r="N341" s="262"/>
      <c r="O341" s="263"/>
    </row>
    <row r="342" spans="1:15" ht="15" x14ac:dyDescent="0.25">
      <c r="A342" s="210">
        <v>8272</v>
      </c>
      <c r="B342" s="211" t="s">
        <v>576</v>
      </c>
      <c r="C342" s="301">
        <v>0</v>
      </c>
      <c r="D342" s="259">
        <v>0</v>
      </c>
      <c r="E342" s="120">
        <v>0</v>
      </c>
      <c r="F342" s="120">
        <v>0</v>
      </c>
      <c r="G342" s="120">
        <v>0</v>
      </c>
      <c r="H342" s="120">
        <v>0</v>
      </c>
      <c r="I342" s="120">
        <v>0</v>
      </c>
      <c r="J342" s="120">
        <v>0</v>
      </c>
      <c r="K342" s="223">
        <f t="shared" si="37"/>
        <v>0</v>
      </c>
      <c r="L342" s="224">
        <f t="shared" si="38"/>
        <v>0</v>
      </c>
      <c r="M342" s="304"/>
      <c r="N342" s="262"/>
      <c r="O342" s="263"/>
    </row>
    <row r="343" spans="1:15" ht="30" x14ac:dyDescent="0.25">
      <c r="A343" s="210">
        <v>8273</v>
      </c>
      <c r="B343" s="211" t="s">
        <v>577</v>
      </c>
      <c r="C343" s="301">
        <v>0</v>
      </c>
      <c r="D343" s="259">
        <v>0</v>
      </c>
      <c r="E343" s="120">
        <v>0</v>
      </c>
      <c r="F343" s="120">
        <v>0</v>
      </c>
      <c r="G343" s="120">
        <v>0</v>
      </c>
      <c r="H343" s="120">
        <v>0</v>
      </c>
      <c r="I343" s="120">
        <v>0</v>
      </c>
      <c r="J343" s="120">
        <v>0</v>
      </c>
      <c r="K343" s="223">
        <f t="shared" si="37"/>
        <v>0</v>
      </c>
      <c r="L343" s="224">
        <f t="shared" si="38"/>
        <v>0</v>
      </c>
      <c r="M343" s="304"/>
      <c r="N343" s="262"/>
      <c r="O343" s="263"/>
    </row>
    <row r="344" spans="1:15" ht="30" x14ac:dyDescent="0.25">
      <c r="A344" s="210">
        <v>8274</v>
      </c>
      <c r="B344" s="211" t="s">
        <v>578</v>
      </c>
      <c r="C344" s="301">
        <v>0</v>
      </c>
      <c r="D344" s="259">
        <v>0</v>
      </c>
      <c r="E344" s="120">
        <v>0</v>
      </c>
      <c r="F344" s="120">
        <v>0</v>
      </c>
      <c r="G344" s="120">
        <v>0</v>
      </c>
      <c r="H344" s="120">
        <v>0</v>
      </c>
      <c r="I344" s="120">
        <v>0</v>
      </c>
      <c r="J344" s="120">
        <v>0</v>
      </c>
      <c r="K344" s="223">
        <f t="shared" si="37"/>
        <v>0</v>
      </c>
      <c r="L344" s="224">
        <f t="shared" si="38"/>
        <v>0</v>
      </c>
      <c r="M344" s="304"/>
      <c r="N344" s="262"/>
      <c r="O344" s="263"/>
    </row>
    <row r="345" spans="1:15" ht="45" x14ac:dyDescent="0.25">
      <c r="A345" s="210">
        <v>8275</v>
      </c>
      <c r="B345" s="211" t="s">
        <v>579</v>
      </c>
      <c r="C345" s="301">
        <v>0</v>
      </c>
      <c r="D345" s="259">
        <v>0</v>
      </c>
      <c r="E345" s="120">
        <v>0</v>
      </c>
      <c r="F345" s="120">
        <v>0</v>
      </c>
      <c r="G345" s="120">
        <v>0</v>
      </c>
      <c r="H345" s="120">
        <v>0</v>
      </c>
      <c r="I345" s="120">
        <v>0</v>
      </c>
      <c r="J345" s="120">
        <v>0</v>
      </c>
      <c r="K345" s="223">
        <f t="shared" si="37"/>
        <v>0</v>
      </c>
      <c r="L345" s="224">
        <f t="shared" si="38"/>
        <v>0</v>
      </c>
      <c r="M345" s="304"/>
      <c r="N345" s="262"/>
      <c r="O345" s="263"/>
    </row>
    <row r="346" spans="1:15" ht="15" x14ac:dyDescent="0.25">
      <c r="A346" s="210">
        <v>8276</v>
      </c>
      <c r="B346" s="211" t="s">
        <v>580</v>
      </c>
      <c r="C346" s="301">
        <v>0</v>
      </c>
      <c r="D346" s="259">
        <v>0</v>
      </c>
      <c r="E346" s="120">
        <v>0</v>
      </c>
      <c r="F346" s="120">
        <v>0</v>
      </c>
      <c r="G346" s="120">
        <v>0</v>
      </c>
      <c r="H346" s="120">
        <v>0</v>
      </c>
      <c r="I346" s="120">
        <v>0</v>
      </c>
      <c r="J346" s="120">
        <v>0</v>
      </c>
      <c r="K346" s="223">
        <f t="shared" si="37"/>
        <v>0</v>
      </c>
      <c r="L346" s="224">
        <f t="shared" si="38"/>
        <v>0</v>
      </c>
      <c r="M346" s="304"/>
      <c r="N346" s="262"/>
      <c r="O346" s="263"/>
    </row>
    <row r="347" spans="1:15" ht="30" x14ac:dyDescent="0.25">
      <c r="A347" s="210">
        <v>8277</v>
      </c>
      <c r="B347" s="211" t="s">
        <v>581</v>
      </c>
      <c r="C347" s="301">
        <v>0</v>
      </c>
      <c r="D347" s="259">
        <v>0</v>
      </c>
      <c r="E347" s="120">
        <v>0</v>
      </c>
      <c r="F347" s="120">
        <v>0</v>
      </c>
      <c r="G347" s="120">
        <v>0</v>
      </c>
      <c r="H347" s="120">
        <v>0</v>
      </c>
      <c r="I347" s="120">
        <v>0</v>
      </c>
      <c r="J347" s="120">
        <v>0</v>
      </c>
      <c r="K347" s="223">
        <f t="shared" si="37"/>
        <v>0</v>
      </c>
      <c r="L347" s="224">
        <f t="shared" si="38"/>
        <v>0</v>
      </c>
      <c r="M347" s="304"/>
      <c r="N347" s="262"/>
      <c r="O347" s="263"/>
    </row>
    <row r="348" spans="1:15" ht="30" x14ac:dyDescent="0.25">
      <c r="A348" s="210">
        <v>8278</v>
      </c>
      <c r="B348" s="211" t="s">
        <v>582</v>
      </c>
      <c r="C348" s="301">
        <v>0</v>
      </c>
      <c r="D348" s="259">
        <v>0</v>
      </c>
      <c r="E348" s="120">
        <v>0</v>
      </c>
      <c r="F348" s="120">
        <v>0</v>
      </c>
      <c r="G348" s="120">
        <v>0</v>
      </c>
      <c r="H348" s="120">
        <v>0</v>
      </c>
      <c r="I348" s="120">
        <v>0</v>
      </c>
      <c r="J348" s="120">
        <v>0</v>
      </c>
      <c r="K348" s="223">
        <f t="shared" si="37"/>
        <v>0</v>
      </c>
      <c r="L348" s="224">
        <f t="shared" si="38"/>
        <v>0</v>
      </c>
      <c r="M348" s="304"/>
      <c r="N348" s="262"/>
      <c r="O348" s="263"/>
    </row>
    <row r="349" spans="1:15" ht="15" x14ac:dyDescent="0.25">
      <c r="A349" s="210">
        <v>8279</v>
      </c>
      <c r="B349" s="211" t="s">
        <v>583</v>
      </c>
      <c r="C349" s="301">
        <v>0</v>
      </c>
      <c r="D349" s="259">
        <v>0</v>
      </c>
      <c r="E349" s="120">
        <v>0</v>
      </c>
      <c r="F349" s="120">
        <v>0</v>
      </c>
      <c r="G349" s="120">
        <v>0</v>
      </c>
      <c r="H349" s="120">
        <v>0</v>
      </c>
      <c r="I349" s="120">
        <v>0</v>
      </c>
      <c r="J349" s="120">
        <v>0</v>
      </c>
      <c r="K349" s="223">
        <f t="shared" si="37"/>
        <v>0</v>
      </c>
      <c r="L349" s="224">
        <f t="shared" si="38"/>
        <v>0</v>
      </c>
      <c r="M349" s="304"/>
      <c r="N349" s="262"/>
      <c r="O349" s="263"/>
    </row>
    <row r="350" spans="1:15" ht="15" x14ac:dyDescent="0.25">
      <c r="A350" s="210">
        <v>8281</v>
      </c>
      <c r="B350" s="211" t="s">
        <v>584</v>
      </c>
      <c r="C350" s="301">
        <v>353</v>
      </c>
      <c r="D350" s="259">
        <v>0</v>
      </c>
      <c r="E350" s="120">
        <v>0</v>
      </c>
      <c r="F350" s="120">
        <v>0</v>
      </c>
      <c r="G350" s="120">
        <v>0</v>
      </c>
      <c r="H350" s="120">
        <v>0</v>
      </c>
      <c r="I350" s="120">
        <v>0</v>
      </c>
      <c r="J350" s="120">
        <v>0</v>
      </c>
      <c r="K350" s="223">
        <f t="shared" si="37"/>
        <v>353</v>
      </c>
      <c r="L350" s="224">
        <f t="shared" si="38"/>
        <v>0</v>
      </c>
      <c r="M350" s="304"/>
      <c r="N350" s="262"/>
      <c r="O350" s="263"/>
    </row>
    <row r="351" spans="1:15" ht="15" x14ac:dyDescent="0.25">
      <c r="A351" s="210">
        <v>8282</v>
      </c>
      <c r="B351" s="211" t="s">
        <v>585</v>
      </c>
      <c r="C351" s="301">
        <v>2</v>
      </c>
      <c r="D351" s="259">
        <v>0</v>
      </c>
      <c r="E351" s="120">
        <v>0</v>
      </c>
      <c r="F351" s="120">
        <v>0</v>
      </c>
      <c r="G351" s="120">
        <v>0</v>
      </c>
      <c r="H351" s="120">
        <v>0</v>
      </c>
      <c r="I351" s="120">
        <v>0</v>
      </c>
      <c r="J351" s="120">
        <v>0</v>
      </c>
      <c r="K351" s="223">
        <f t="shared" si="37"/>
        <v>2</v>
      </c>
      <c r="L351" s="224">
        <f t="shared" si="38"/>
        <v>0</v>
      </c>
      <c r="M351" s="304"/>
      <c r="N351" s="262"/>
      <c r="O351" s="263"/>
    </row>
    <row r="352" spans="1:15" ht="15" x14ac:dyDescent="0.25">
      <c r="A352" s="210">
        <v>8283</v>
      </c>
      <c r="B352" s="211" t="s">
        <v>586</v>
      </c>
      <c r="C352" s="301">
        <v>0</v>
      </c>
      <c r="D352" s="259">
        <v>0</v>
      </c>
      <c r="E352" s="120">
        <v>0</v>
      </c>
      <c r="F352" s="120">
        <v>0</v>
      </c>
      <c r="G352" s="120">
        <v>0</v>
      </c>
      <c r="H352" s="120">
        <v>0</v>
      </c>
      <c r="I352" s="120">
        <v>0</v>
      </c>
      <c r="J352" s="120">
        <v>0</v>
      </c>
      <c r="K352" s="223">
        <f t="shared" si="37"/>
        <v>0</v>
      </c>
      <c r="L352" s="224">
        <f t="shared" si="38"/>
        <v>0</v>
      </c>
      <c r="M352" s="304"/>
      <c r="N352" s="262"/>
      <c r="O352" s="263"/>
    </row>
    <row r="353" spans="1:15" ht="15" x14ac:dyDescent="0.25">
      <c r="A353" s="210">
        <v>8284</v>
      </c>
      <c r="B353" s="211" t="s">
        <v>587</v>
      </c>
      <c r="C353" s="301">
        <v>0</v>
      </c>
      <c r="D353" s="259">
        <v>0</v>
      </c>
      <c r="E353" s="120">
        <v>0</v>
      </c>
      <c r="F353" s="120">
        <v>0</v>
      </c>
      <c r="G353" s="120">
        <v>0</v>
      </c>
      <c r="H353" s="120">
        <v>0</v>
      </c>
      <c r="I353" s="120">
        <v>0</v>
      </c>
      <c r="J353" s="120">
        <v>0</v>
      </c>
      <c r="K353" s="223">
        <f t="shared" si="37"/>
        <v>0</v>
      </c>
      <c r="L353" s="224">
        <f t="shared" si="38"/>
        <v>0</v>
      </c>
      <c r="M353" s="304"/>
      <c r="N353" s="262"/>
      <c r="O353" s="263"/>
    </row>
    <row r="354" spans="1:15" ht="30" x14ac:dyDescent="0.25">
      <c r="A354" s="210">
        <v>8285</v>
      </c>
      <c r="B354" s="211" t="s">
        <v>588</v>
      </c>
      <c r="C354" s="301">
        <v>0</v>
      </c>
      <c r="D354" s="259">
        <v>0</v>
      </c>
      <c r="E354" s="120">
        <v>0</v>
      </c>
      <c r="F354" s="120">
        <v>0</v>
      </c>
      <c r="G354" s="120">
        <v>0</v>
      </c>
      <c r="H354" s="120">
        <v>0</v>
      </c>
      <c r="I354" s="120">
        <v>0</v>
      </c>
      <c r="J354" s="120">
        <v>0</v>
      </c>
      <c r="K354" s="223">
        <f t="shared" si="37"/>
        <v>0</v>
      </c>
      <c r="L354" s="224">
        <f t="shared" si="38"/>
        <v>0</v>
      </c>
      <c r="M354" s="304"/>
      <c r="N354" s="262"/>
      <c r="O354" s="263"/>
    </row>
    <row r="355" spans="1:15" ht="30" x14ac:dyDescent="0.25">
      <c r="A355" s="210">
        <v>8286</v>
      </c>
      <c r="B355" s="211" t="s">
        <v>589</v>
      </c>
      <c r="C355" s="301">
        <v>0</v>
      </c>
      <c r="D355" s="259">
        <v>0</v>
      </c>
      <c r="E355" s="120">
        <v>0</v>
      </c>
      <c r="F355" s="120">
        <v>0</v>
      </c>
      <c r="G355" s="120">
        <v>0</v>
      </c>
      <c r="H355" s="120">
        <v>0</v>
      </c>
      <c r="I355" s="120">
        <v>0</v>
      </c>
      <c r="J355" s="120">
        <v>0</v>
      </c>
      <c r="K355" s="223">
        <f t="shared" si="37"/>
        <v>0</v>
      </c>
      <c r="L355" s="224">
        <f t="shared" si="38"/>
        <v>0</v>
      </c>
      <c r="M355" s="304"/>
      <c r="N355" s="262"/>
      <c r="O355" s="263"/>
    </row>
    <row r="356" spans="1:15" ht="15" x14ac:dyDescent="0.25">
      <c r="A356" s="210">
        <v>8290</v>
      </c>
      <c r="B356" s="211" t="s">
        <v>590</v>
      </c>
      <c r="C356" s="301">
        <v>95</v>
      </c>
      <c r="D356" s="259">
        <v>0</v>
      </c>
      <c r="E356" s="120">
        <v>0</v>
      </c>
      <c r="F356" s="120">
        <v>0</v>
      </c>
      <c r="G356" s="120">
        <v>0</v>
      </c>
      <c r="H356" s="120">
        <v>0</v>
      </c>
      <c r="I356" s="120">
        <v>0</v>
      </c>
      <c r="J356" s="120">
        <v>0</v>
      </c>
      <c r="K356" s="223">
        <f t="shared" si="37"/>
        <v>95</v>
      </c>
      <c r="L356" s="224">
        <f t="shared" si="38"/>
        <v>0</v>
      </c>
      <c r="M356" s="304"/>
      <c r="N356" s="262"/>
      <c r="O356" s="263"/>
    </row>
    <row r="357" spans="1:15" ht="15" x14ac:dyDescent="0.25">
      <c r="A357" s="210">
        <v>8311</v>
      </c>
      <c r="B357" s="211" t="s">
        <v>591</v>
      </c>
      <c r="C357" s="301">
        <v>0</v>
      </c>
      <c r="D357" s="259">
        <v>0</v>
      </c>
      <c r="E357" s="120">
        <v>0</v>
      </c>
      <c r="F357" s="120">
        <v>0</v>
      </c>
      <c r="G357" s="120">
        <v>0</v>
      </c>
      <c r="H357" s="120">
        <v>0</v>
      </c>
      <c r="I357" s="120">
        <v>0</v>
      </c>
      <c r="J357" s="120">
        <v>0</v>
      </c>
      <c r="K357" s="223">
        <f t="shared" si="37"/>
        <v>0</v>
      </c>
      <c r="L357" s="224">
        <f t="shared" si="38"/>
        <v>0</v>
      </c>
      <c r="M357" s="304"/>
      <c r="N357" s="262"/>
      <c r="O357" s="263"/>
    </row>
    <row r="358" spans="1:15" ht="30" x14ac:dyDescent="0.25">
      <c r="A358" s="210">
        <v>8312</v>
      </c>
      <c r="B358" s="211" t="s">
        <v>592</v>
      </c>
      <c r="C358" s="301">
        <v>0</v>
      </c>
      <c r="D358" s="259">
        <v>0</v>
      </c>
      <c r="E358" s="120">
        <v>0</v>
      </c>
      <c r="F358" s="120">
        <v>0</v>
      </c>
      <c r="G358" s="120">
        <v>0</v>
      </c>
      <c r="H358" s="120">
        <v>0</v>
      </c>
      <c r="I358" s="120">
        <v>0</v>
      </c>
      <c r="J358" s="120">
        <v>0</v>
      </c>
      <c r="K358" s="223">
        <f t="shared" si="37"/>
        <v>0</v>
      </c>
      <c r="L358" s="224">
        <f t="shared" si="38"/>
        <v>0</v>
      </c>
      <c r="M358" s="304"/>
      <c r="N358" s="262"/>
      <c r="O358" s="263"/>
    </row>
    <row r="359" spans="1:15" ht="15" x14ac:dyDescent="0.25">
      <c r="A359" s="210">
        <v>8321</v>
      </c>
      <c r="B359" s="211" t="s">
        <v>593</v>
      </c>
      <c r="C359" s="301">
        <v>0</v>
      </c>
      <c r="D359" s="259">
        <v>0</v>
      </c>
      <c r="E359" s="120">
        <v>0</v>
      </c>
      <c r="F359" s="120">
        <v>0</v>
      </c>
      <c r="G359" s="120">
        <v>0</v>
      </c>
      <c r="H359" s="120">
        <v>0</v>
      </c>
      <c r="I359" s="120">
        <v>0</v>
      </c>
      <c r="J359" s="120">
        <v>0</v>
      </c>
      <c r="K359" s="223">
        <f t="shared" si="37"/>
        <v>0</v>
      </c>
      <c r="L359" s="224">
        <f t="shared" si="38"/>
        <v>0</v>
      </c>
      <c r="M359" s="304"/>
      <c r="N359" s="262"/>
      <c r="O359" s="263"/>
    </row>
    <row r="360" spans="1:15" ht="15" x14ac:dyDescent="0.25">
      <c r="A360" s="210">
        <v>8322</v>
      </c>
      <c r="B360" s="211" t="s">
        <v>594</v>
      </c>
      <c r="C360" s="301">
        <v>69</v>
      </c>
      <c r="D360" s="259">
        <v>0</v>
      </c>
      <c r="E360" s="120">
        <v>0</v>
      </c>
      <c r="F360" s="120">
        <v>0</v>
      </c>
      <c r="G360" s="120">
        <v>0</v>
      </c>
      <c r="H360" s="120">
        <v>0</v>
      </c>
      <c r="I360" s="120">
        <v>0</v>
      </c>
      <c r="J360" s="120">
        <v>0</v>
      </c>
      <c r="K360" s="223">
        <f t="shared" si="37"/>
        <v>69</v>
      </c>
      <c r="L360" s="224">
        <f t="shared" si="38"/>
        <v>0</v>
      </c>
      <c r="M360" s="304"/>
      <c r="N360" s="262"/>
      <c r="O360" s="263"/>
    </row>
    <row r="361" spans="1:15" ht="15" x14ac:dyDescent="0.25">
      <c r="A361" s="210">
        <v>8323</v>
      </c>
      <c r="B361" s="211" t="s">
        <v>595</v>
      </c>
      <c r="C361" s="301">
        <v>0</v>
      </c>
      <c r="D361" s="259">
        <v>0</v>
      </c>
      <c r="E361" s="120">
        <v>0</v>
      </c>
      <c r="F361" s="120">
        <v>0</v>
      </c>
      <c r="G361" s="120">
        <v>0</v>
      </c>
      <c r="H361" s="120">
        <v>0</v>
      </c>
      <c r="I361" s="120">
        <v>0</v>
      </c>
      <c r="J361" s="120">
        <v>0</v>
      </c>
      <c r="K361" s="223">
        <f t="shared" si="37"/>
        <v>0</v>
      </c>
      <c r="L361" s="224">
        <f t="shared" si="38"/>
        <v>0</v>
      </c>
      <c r="M361" s="304"/>
      <c r="N361" s="262"/>
      <c r="O361" s="263"/>
    </row>
    <row r="362" spans="1:15" ht="30" x14ac:dyDescent="0.25">
      <c r="A362" s="210">
        <v>8324</v>
      </c>
      <c r="B362" s="211" t="s">
        <v>596</v>
      </c>
      <c r="C362" s="301">
        <v>57</v>
      </c>
      <c r="D362" s="259">
        <v>0</v>
      </c>
      <c r="E362" s="120">
        <v>0</v>
      </c>
      <c r="F362" s="120">
        <v>0</v>
      </c>
      <c r="G362" s="120">
        <v>0</v>
      </c>
      <c r="H362" s="120">
        <v>0</v>
      </c>
      <c r="I362" s="120">
        <v>0</v>
      </c>
      <c r="J362" s="120">
        <v>0</v>
      </c>
      <c r="K362" s="223">
        <f t="shared" si="37"/>
        <v>57</v>
      </c>
      <c r="L362" s="224">
        <f t="shared" si="38"/>
        <v>0</v>
      </c>
      <c r="M362" s="304"/>
      <c r="N362" s="262"/>
      <c r="O362" s="263"/>
    </row>
    <row r="363" spans="1:15" ht="30" x14ac:dyDescent="0.25">
      <c r="A363" s="210">
        <v>8331</v>
      </c>
      <c r="B363" s="211" t="s">
        <v>597</v>
      </c>
      <c r="C363" s="301">
        <v>1</v>
      </c>
      <c r="D363" s="259">
        <v>1</v>
      </c>
      <c r="E363" s="120">
        <v>0</v>
      </c>
      <c r="F363" s="120">
        <v>0</v>
      </c>
      <c r="G363" s="120">
        <v>0</v>
      </c>
      <c r="H363" s="120">
        <v>0</v>
      </c>
      <c r="I363" s="120">
        <v>0</v>
      </c>
      <c r="J363" s="120">
        <v>0</v>
      </c>
      <c r="K363" s="223">
        <f t="shared" si="37"/>
        <v>1</v>
      </c>
      <c r="L363" s="224">
        <f t="shared" si="38"/>
        <v>1</v>
      </c>
      <c r="M363" s="304"/>
      <c r="N363" s="262"/>
      <c r="O363" s="263"/>
    </row>
    <row r="364" spans="1:15" ht="30" x14ac:dyDescent="0.25">
      <c r="A364" s="210">
        <v>8332</v>
      </c>
      <c r="B364" s="211" t="s">
        <v>598</v>
      </c>
      <c r="C364" s="301">
        <v>434</v>
      </c>
      <c r="D364" s="259">
        <v>0</v>
      </c>
      <c r="E364" s="120">
        <v>0</v>
      </c>
      <c r="F364" s="120">
        <v>0</v>
      </c>
      <c r="G364" s="120">
        <v>0</v>
      </c>
      <c r="H364" s="120">
        <v>0</v>
      </c>
      <c r="I364" s="120">
        <v>0</v>
      </c>
      <c r="J364" s="120">
        <v>0</v>
      </c>
      <c r="K364" s="223">
        <f t="shared" si="37"/>
        <v>434</v>
      </c>
      <c r="L364" s="224">
        <f t="shared" si="38"/>
        <v>0</v>
      </c>
      <c r="M364" s="304"/>
      <c r="N364" s="262"/>
      <c r="O364" s="263"/>
    </row>
    <row r="365" spans="1:15" ht="30" x14ac:dyDescent="0.25">
      <c r="A365" s="210">
        <v>8333</v>
      </c>
      <c r="B365" s="211" t="s">
        <v>599</v>
      </c>
      <c r="C365" s="301">
        <v>1</v>
      </c>
      <c r="D365" s="259">
        <v>0</v>
      </c>
      <c r="E365" s="120">
        <v>0</v>
      </c>
      <c r="F365" s="120">
        <v>0</v>
      </c>
      <c r="G365" s="120">
        <v>0</v>
      </c>
      <c r="H365" s="120">
        <v>0</v>
      </c>
      <c r="I365" s="120">
        <v>0</v>
      </c>
      <c r="J365" s="120">
        <v>0</v>
      </c>
      <c r="K365" s="223">
        <f t="shared" si="37"/>
        <v>1</v>
      </c>
      <c r="L365" s="224">
        <f t="shared" si="38"/>
        <v>0</v>
      </c>
      <c r="M365" s="304"/>
      <c r="N365" s="262"/>
      <c r="O365" s="263"/>
    </row>
    <row r="366" spans="1:15" ht="15" x14ac:dyDescent="0.25">
      <c r="A366" s="210">
        <v>8334</v>
      </c>
      <c r="B366" s="211" t="s">
        <v>600</v>
      </c>
      <c r="C366" s="301">
        <v>567</v>
      </c>
      <c r="D366" s="259">
        <v>0</v>
      </c>
      <c r="E366" s="120">
        <v>0</v>
      </c>
      <c r="F366" s="120">
        <v>0</v>
      </c>
      <c r="G366" s="120">
        <v>0</v>
      </c>
      <c r="H366" s="120">
        <v>0</v>
      </c>
      <c r="I366" s="120">
        <v>0</v>
      </c>
      <c r="J366" s="120">
        <v>0</v>
      </c>
      <c r="K366" s="223">
        <f t="shared" si="37"/>
        <v>567</v>
      </c>
      <c r="L366" s="224">
        <f t="shared" si="38"/>
        <v>0</v>
      </c>
      <c r="M366" s="304"/>
      <c r="N366" s="262"/>
      <c r="O366" s="263"/>
    </row>
    <row r="367" spans="1:15" ht="15.75" thickBot="1" x14ac:dyDescent="0.3">
      <c r="A367" s="204">
        <v>8340</v>
      </c>
      <c r="B367" s="205" t="s">
        <v>601</v>
      </c>
      <c r="C367" s="300">
        <v>0</v>
      </c>
      <c r="D367" s="257">
        <v>0</v>
      </c>
      <c r="E367" s="209">
        <v>0</v>
      </c>
      <c r="F367" s="209">
        <v>0</v>
      </c>
      <c r="G367" s="120">
        <v>0</v>
      </c>
      <c r="H367" s="120">
        <v>0</v>
      </c>
      <c r="I367" s="209">
        <v>0</v>
      </c>
      <c r="J367" s="209">
        <v>0</v>
      </c>
      <c r="K367" s="221">
        <f t="shared" si="37"/>
        <v>0</v>
      </c>
      <c r="L367" s="225">
        <f t="shared" si="38"/>
        <v>0</v>
      </c>
      <c r="M367" s="304"/>
      <c r="N367" s="262"/>
      <c r="O367" s="263"/>
    </row>
    <row r="368" spans="1:15" ht="15.75" thickBot="1" x14ac:dyDescent="0.3">
      <c r="A368" s="254">
        <v>9</v>
      </c>
      <c r="B368" s="255" t="s">
        <v>602</v>
      </c>
      <c r="C368" s="218"/>
      <c r="D368" s="299"/>
      <c r="E368" s="218"/>
      <c r="F368" s="218"/>
      <c r="G368" s="218"/>
      <c r="H368" s="218"/>
      <c r="I368" s="218"/>
      <c r="J368" s="218"/>
      <c r="K368" s="226"/>
      <c r="L368" s="227"/>
      <c r="M368" s="304"/>
      <c r="N368" s="262"/>
      <c r="O368" s="263"/>
    </row>
    <row r="369" spans="1:15" ht="15" x14ac:dyDescent="0.25">
      <c r="A369" s="204">
        <v>9111</v>
      </c>
      <c r="B369" s="205" t="s">
        <v>603</v>
      </c>
      <c r="C369" s="300">
        <v>0</v>
      </c>
      <c r="D369" s="257">
        <v>0</v>
      </c>
      <c r="E369" s="209">
        <v>0</v>
      </c>
      <c r="F369" s="209">
        <v>0</v>
      </c>
      <c r="G369" s="209">
        <v>0</v>
      </c>
      <c r="H369" s="209">
        <v>0</v>
      </c>
      <c r="I369" s="209">
        <v>0</v>
      </c>
      <c r="J369" s="209">
        <v>0</v>
      </c>
      <c r="K369" s="221">
        <f>C369+E369-G369-I369</f>
        <v>0</v>
      </c>
      <c r="L369" s="225">
        <f>D369+F369-H369-J369</f>
        <v>0</v>
      </c>
      <c r="M369" s="304"/>
      <c r="N369" s="262"/>
      <c r="O369" s="263"/>
    </row>
    <row r="370" spans="1:15" ht="30" x14ac:dyDescent="0.25">
      <c r="A370" s="210">
        <v>9112</v>
      </c>
      <c r="B370" s="211" t="s">
        <v>604</v>
      </c>
      <c r="C370" s="301">
        <v>0</v>
      </c>
      <c r="D370" s="259">
        <v>0</v>
      </c>
      <c r="E370" s="120">
        <v>0</v>
      </c>
      <c r="F370" s="120">
        <v>0</v>
      </c>
      <c r="G370" s="120">
        <v>0</v>
      </c>
      <c r="H370" s="120">
        <v>0</v>
      </c>
      <c r="I370" s="120">
        <v>0</v>
      </c>
      <c r="J370" s="120">
        <v>0</v>
      </c>
      <c r="K370" s="223">
        <f t="shared" ref="K370:K378" si="39">C370+E370-G370-I370</f>
        <v>0</v>
      </c>
      <c r="L370" s="224">
        <f t="shared" ref="L370:L378" si="40">D370+F370-H370-J370</f>
        <v>0</v>
      </c>
      <c r="M370" s="304"/>
      <c r="N370" s="262"/>
      <c r="O370" s="263"/>
    </row>
    <row r="371" spans="1:15" ht="30" x14ac:dyDescent="0.25">
      <c r="A371" s="210">
        <v>9113</v>
      </c>
      <c r="B371" s="211" t="s">
        <v>605</v>
      </c>
      <c r="C371" s="301">
        <v>0</v>
      </c>
      <c r="D371" s="259">
        <v>0</v>
      </c>
      <c r="E371" s="120">
        <v>0</v>
      </c>
      <c r="F371" s="120">
        <v>0</v>
      </c>
      <c r="G371" s="120">
        <v>0</v>
      </c>
      <c r="H371" s="120">
        <v>0</v>
      </c>
      <c r="I371" s="120">
        <v>0</v>
      </c>
      <c r="J371" s="120">
        <v>0</v>
      </c>
      <c r="K371" s="223">
        <f t="shared" si="39"/>
        <v>0</v>
      </c>
      <c r="L371" s="224">
        <f t="shared" si="40"/>
        <v>0</v>
      </c>
      <c r="M371" s="304"/>
      <c r="N371" s="262"/>
      <c r="O371" s="263"/>
    </row>
    <row r="372" spans="1:15" ht="30" x14ac:dyDescent="0.25">
      <c r="A372" s="210">
        <v>9120</v>
      </c>
      <c r="B372" s="211" t="s">
        <v>606</v>
      </c>
      <c r="C372" s="301">
        <v>0</v>
      </c>
      <c r="D372" s="259">
        <v>0</v>
      </c>
      <c r="E372" s="120">
        <v>0</v>
      </c>
      <c r="F372" s="120">
        <v>0</v>
      </c>
      <c r="G372" s="120">
        <v>0</v>
      </c>
      <c r="H372" s="120">
        <v>0</v>
      </c>
      <c r="I372" s="120">
        <v>0</v>
      </c>
      <c r="J372" s="120">
        <v>0</v>
      </c>
      <c r="K372" s="223">
        <f t="shared" si="39"/>
        <v>0</v>
      </c>
      <c r="L372" s="224">
        <f t="shared" si="40"/>
        <v>0</v>
      </c>
      <c r="M372" s="304"/>
      <c r="N372" s="262"/>
      <c r="O372" s="263"/>
    </row>
    <row r="373" spans="1:15" ht="15" x14ac:dyDescent="0.25">
      <c r="A373" s="210">
        <v>9131</v>
      </c>
      <c r="B373" s="211" t="s">
        <v>607</v>
      </c>
      <c r="C373" s="301">
        <v>0</v>
      </c>
      <c r="D373" s="259">
        <v>0</v>
      </c>
      <c r="E373" s="120">
        <v>0</v>
      </c>
      <c r="F373" s="120">
        <v>0</v>
      </c>
      <c r="G373" s="120">
        <v>0</v>
      </c>
      <c r="H373" s="120">
        <v>0</v>
      </c>
      <c r="I373" s="120">
        <v>0</v>
      </c>
      <c r="J373" s="120">
        <v>0</v>
      </c>
      <c r="K373" s="223">
        <f t="shared" si="39"/>
        <v>0</v>
      </c>
      <c r="L373" s="224">
        <f t="shared" si="40"/>
        <v>0</v>
      </c>
      <c r="M373" s="304"/>
      <c r="N373" s="262"/>
      <c r="O373" s="263"/>
    </row>
    <row r="374" spans="1:15" ht="30" customHeight="1" x14ac:dyDescent="0.25">
      <c r="A374" s="210">
        <v>9132</v>
      </c>
      <c r="B374" s="211" t="s">
        <v>608</v>
      </c>
      <c r="C374" s="301">
        <v>10</v>
      </c>
      <c r="D374" s="259">
        <v>6</v>
      </c>
      <c r="E374" s="120">
        <v>0</v>
      </c>
      <c r="F374" s="120">
        <v>0</v>
      </c>
      <c r="G374" s="120">
        <v>0</v>
      </c>
      <c r="H374" s="120">
        <v>0</v>
      </c>
      <c r="I374" s="120">
        <v>0</v>
      </c>
      <c r="J374" s="120">
        <v>0</v>
      </c>
      <c r="K374" s="223">
        <f t="shared" si="39"/>
        <v>10</v>
      </c>
      <c r="L374" s="224">
        <f t="shared" si="40"/>
        <v>6</v>
      </c>
      <c r="M374" s="304"/>
      <c r="N374" s="262"/>
      <c r="O374" s="263"/>
    </row>
    <row r="375" spans="1:15" ht="15" x14ac:dyDescent="0.25">
      <c r="A375" s="210">
        <v>9133</v>
      </c>
      <c r="B375" s="211" t="s">
        <v>609</v>
      </c>
      <c r="C375" s="301">
        <v>7</v>
      </c>
      <c r="D375" s="259">
        <v>6</v>
      </c>
      <c r="E375" s="120">
        <v>0</v>
      </c>
      <c r="F375" s="120">
        <v>0</v>
      </c>
      <c r="G375" s="120">
        <v>0</v>
      </c>
      <c r="H375" s="120">
        <v>0</v>
      </c>
      <c r="I375" s="120">
        <v>0</v>
      </c>
      <c r="J375" s="120">
        <v>0</v>
      </c>
      <c r="K375" s="223">
        <f t="shared" si="39"/>
        <v>7</v>
      </c>
      <c r="L375" s="224">
        <f t="shared" si="40"/>
        <v>6</v>
      </c>
      <c r="M375" s="304"/>
      <c r="N375" s="262"/>
      <c r="O375" s="263"/>
    </row>
    <row r="376" spans="1:15" ht="15" x14ac:dyDescent="0.25">
      <c r="A376" s="210">
        <v>9141</v>
      </c>
      <c r="B376" s="211" t="s">
        <v>610</v>
      </c>
      <c r="C376" s="301">
        <v>0</v>
      </c>
      <c r="D376" s="259">
        <v>0</v>
      </c>
      <c r="E376" s="120">
        <v>0</v>
      </c>
      <c r="F376" s="120">
        <v>0</v>
      </c>
      <c r="G376" s="120">
        <v>0</v>
      </c>
      <c r="H376" s="120">
        <v>0</v>
      </c>
      <c r="I376" s="120">
        <v>0</v>
      </c>
      <c r="J376" s="120">
        <v>0</v>
      </c>
      <c r="K376" s="223">
        <f t="shared" si="39"/>
        <v>0</v>
      </c>
      <c r="L376" s="224">
        <f t="shared" si="40"/>
        <v>0</v>
      </c>
      <c r="M376" s="304"/>
      <c r="N376" s="262"/>
      <c r="O376" s="263"/>
    </row>
    <row r="377" spans="1:15" ht="30" x14ac:dyDescent="0.25">
      <c r="A377" s="210">
        <v>9142</v>
      </c>
      <c r="B377" s="211" t="s">
        <v>611</v>
      </c>
      <c r="C377" s="301">
        <v>0</v>
      </c>
      <c r="D377" s="259">
        <v>0</v>
      </c>
      <c r="E377" s="120">
        <v>0</v>
      </c>
      <c r="F377" s="120">
        <v>0</v>
      </c>
      <c r="G377" s="120">
        <v>0</v>
      </c>
      <c r="H377" s="120">
        <v>0</v>
      </c>
      <c r="I377" s="120">
        <v>0</v>
      </c>
      <c r="J377" s="120">
        <v>0</v>
      </c>
      <c r="K377" s="223">
        <f t="shared" si="39"/>
        <v>0</v>
      </c>
      <c r="L377" s="224">
        <f t="shared" si="40"/>
        <v>0</v>
      </c>
      <c r="M377" s="304"/>
      <c r="N377" s="262"/>
      <c r="O377" s="263"/>
    </row>
    <row r="378" spans="1:15" ht="30" x14ac:dyDescent="0.25">
      <c r="A378" s="210">
        <v>9151</v>
      </c>
      <c r="B378" s="211" t="s">
        <v>612</v>
      </c>
      <c r="C378" s="301">
        <v>0</v>
      </c>
      <c r="D378" s="259">
        <v>0</v>
      </c>
      <c r="E378" s="120">
        <v>0</v>
      </c>
      <c r="F378" s="120">
        <v>0</v>
      </c>
      <c r="G378" s="120">
        <v>0</v>
      </c>
      <c r="H378" s="120">
        <v>0</v>
      </c>
      <c r="I378" s="120">
        <v>0</v>
      </c>
      <c r="J378" s="120">
        <v>0</v>
      </c>
      <c r="K378" s="223">
        <f t="shared" si="39"/>
        <v>0</v>
      </c>
      <c r="L378" s="224">
        <f t="shared" si="40"/>
        <v>0</v>
      </c>
      <c r="M378" s="304"/>
      <c r="N378" s="262"/>
      <c r="O378" s="263"/>
    </row>
    <row r="379" spans="1:15" ht="30" x14ac:dyDescent="0.25">
      <c r="A379" s="210">
        <v>9152</v>
      </c>
      <c r="B379" s="211" t="s">
        <v>613</v>
      </c>
      <c r="C379" s="301">
        <v>160</v>
      </c>
      <c r="D379" s="259">
        <v>10</v>
      </c>
      <c r="E379" s="120">
        <v>0</v>
      </c>
      <c r="F379" s="120">
        <v>0</v>
      </c>
      <c r="G379" s="120">
        <v>0</v>
      </c>
      <c r="H379" s="120">
        <v>0</v>
      </c>
      <c r="I379" s="120">
        <v>0</v>
      </c>
      <c r="J379" s="120">
        <v>0</v>
      </c>
      <c r="K379" s="223">
        <f t="shared" ref="K379:K392" si="41">C379+E379-G379-I379</f>
        <v>160</v>
      </c>
      <c r="L379" s="224">
        <f t="shared" ref="L379:L392" si="42">D379+F379-H379-J379</f>
        <v>10</v>
      </c>
      <c r="M379" s="304"/>
      <c r="N379" s="262"/>
      <c r="O379" s="263"/>
    </row>
    <row r="380" spans="1:15" ht="30" x14ac:dyDescent="0.25">
      <c r="A380" s="210">
        <v>9153</v>
      </c>
      <c r="B380" s="211" t="s">
        <v>614</v>
      </c>
      <c r="C380" s="301">
        <v>0</v>
      </c>
      <c r="D380" s="259">
        <v>0</v>
      </c>
      <c r="E380" s="120">
        <v>0</v>
      </c>
      <c r="F380" s="120">
        <v>0</v>
      </c>
      <c r="G380" s="120">
        <v>0</v>
      </c>
      <c r="H380" s="120">
        <v>0</v>
      </c>
      <c r="I380" s="120">
        <v>0</v>
      </c>
      <c r="J380" s="120">
        <v>0</v>
      </c>
      <c r="K380" s="223">
        <f t="shared" si="41"/>
        <v>0</v>
      </c>
      <c r="L380" s="224">
        <f t="shared" si="42"/>
        <v>0</v>
      </c>
      <c r="M380" s="304"/>
      <c r="N380" s="262"/>
      <c r="O380" s="263"/>
    </row>
    <row r="381" spans="1:15" ht="15" x14ac:dyDescent="0.25">
      <c r="A381" s="210">
        <v>9162</v>
      </c>
      <c r="B381" s="211" t="s">
        <v>615</v>
      </c>
      <c r="C381" s="301">
        <v>2</v>
      </c>
      <c r="D381" s="259">
        <v>0</v>
      </c>
      <c r="E381" s="120">
        <v>0</v>
      </c>
      <c r="F381" s="120">
        <v>0</v>
      </c>
      <c r="G381" s="120">
        <v>0</v>
      </c>
      <c r="H381" s="120">
        <v>0</v>
      </c>
      <c r="I381" s="120">
        <v>0</v>
      </c>
      <c r="J381" s="120">
        <v>0</v>
      </c>
      <c r="K381" s="223">
        <f t="shared" si="41"/>
        <v>2</v>
      </c>
      <c r="L381" s="224">
        <f t="shared" si="42"/>
        <v>0</v>
      </c>
      <c r="M381" s="304"/>
      <c r="N381" s="262"/>
      <c r="O381" s="263"/>
    </row>
    <row r="382" spans="1:15" ht="15" x14ac:dyDescent="0.25">
      <c r="A382" s="210">
        <v>9211</v>
      </c>
      <c r="B382" s="211" t="s">
        <v>616</v>
      </c>
      <c r="C382" s="301">
        <v>0</v>
      </c>
      <c r="D382" s="259">
        <v>0</v>
      </c>
      <c r="E382" s="120">
        <v>0</v>
      </c>
      <c r="F382" s="120">
        <v>0</v>
      </c>
      <c r="G382" s="120">
        <v>0</v>
      </c>
      <c r="H382" s="120">
        <v>0</v>
      </c>
      <c r="I382" s="120">
        <v>0</v>
      </c>
      <c r="J382" s="120">
        <v>0</v>
      </c>
      <c r="K382" s="223">
        <f t="shared" si="41"/>
        <v>0</v>
      </c>
      <c r="L382" s="224">
        <f t="shared" si="42"/>
        <v>0</v>
      </c>
      <c r="M382" s="304"/>
      <c r="N382" s="262"/>
      <c r="O382" s="263"/>
    </row>
    <row r="383" spans="1:15" ht="15" x14ac:dyDescent="0.25">
      <c r="A383" s="210">
        <v>9212</v>
      </c>
      <c r="B383" s="211" t="s">
        <v>617</v>
      </c>
      <c r="C383" s="301">
        <v>7</v>
      </c>
      <c r="D383" s="259">
        <v>4</v>
      </c>
      <c r="E383" s="120">
        <v>0</v>
      </c>
      <c r="F383" s="120">
        <v>0</v>
      </c>
      <c r="G383" s="120">
        <v>0</v>
      </c>
      <c r="H383" s="120">
        <v>0</v>
      </c>
      <c r="I383" s="120">
        <v>0</v>
      </c>
      <c r="J383" s="120">
        <v>0</v>
      </c>
      <c r="K383" s="223">
        <f t="shared" si="41"/>
        <v>7</v>
      </c>
      <c r="L383" s="224">
        <f t="shared" si="42"/>
        <v>4</v>
      </c>
      <c r="M383" s="304"/>
      <c r="N383" s="262"/>
      <c r="O383" s="263"/>
    </row>
    <row r="384" spans="1:15" ht="30" x14ac:dyDescent="0.25">
      <c r="A384" s="210">
        <v>9213</v>
      </c>
      <c r="B384" s="211" t="s">
        <v>618</v>
      </c>
      <c r="C384" s="301">
        <v>0</v>
      </c>
      <c r="D384" s="259">
        <v>0</v>
      </c>
      <c r="E384" s="120">
        <v>0</v>
      </c>
      <c r="F384" s="120">
        <v>0</v>
      </c>
      <c r="G384" s="120">
        <v>0</v>
      </c>
      <c r="H384" s="120">
        <v>0</v>
      </c>
      <c r="I384" s="120">
        <v>0</v>
      </c>
      <c r="J384" s="120">
        <v>0</v>
      </c>
      <c r="K384" s="223">
        <f t="shared" si="41"/>
        <v>0</v>
      </c>
      <c r="L384" s="224">
        <f t="shared" si="42"/>
        <v>0</v>
      </c>
      <c r="M384" s="304"/>
      <c r="N384" s="262"/>
      <c r="O384" s="263"/>
    </row>
    <row r="385" spans="1:15" ht="15" x14ac:dyDescent="0.25">
      <c r="A385" s="210">
        <v>9311</v>
      </c>
      <c r="B385" s="211" t="s">
        <v>619</v>
      </c>
      <c r="C385" s="301">
        <v>350</v>
      </c>
      <c r="D385" s="259">
        <v>0</v>
      </c>
      <c r="E385" s="120">
        <v>0</v>
      </c>
      <c r="F385" s="120">
        <v>0</v>
      </c>
      <c r="G385" s="120">
        <v>0</v>
      </c>
      <c r="H385" s="120">
        <v>0</v>
      </c>
      <c r="I385" s="120">
        <v>0</v>
      </c>
      <c r="J385" s="120">
        <v>0</v>
      </c>
      <c r="K385" s="223">
        <f t="shared" si="41"/>
        <v>350</v>
      </c>
      <c r="L385" s="224">
        <f t="shared" si="42"/>
        <v>0</v>
      </c>
      <c r="M385" s="304"/>
      <c r="N385" s="262"/>
      <c r="O385" s="263"/>
    </row>
    <row r="386" spans="1:15" ht="30" x14ac:dyDescent="0.25">
      <c r="A386" s="210">
        <v>9312</v>
      </c>
      <c r="B386" s="211" t="s">
        <v>620</v>
      </c>
      <c r="C386" s="301">
        <v>1</v>
      </c>
      <c r="D386" s="259">
        <v>0</v>
      </c>
      <c r="E386" s="120">
        <v>0</v>
      </c>
      <c r="F386" s="120">
        <v>0</v>
      </c>
      <c r="G386" s="120">
        <v>0</v>
      </c>
      <c r="H386" s="120">
        <v>0</v>
      </c>
      <c r="I386" s="120">
        <v>0</v>
      </c>
      <c r="J386" s="120">
        <v>0</v>
      </c>
      <c r="K386" s="223">
        <f t="shared" si="41"/>
        <v>1</v>
      </c>
      <c r="L386" s="224">
        <f t="shared" si="42"/>
        <v>0</v>
      </c>
      <c r="M386" s="304"/>
      <c r="N386" s="262"/>
      <c r="O386" s="263"/>
    </row>
    <row r="387" spans="1:15" ht="15" x14ac:dyDescent="0.25">
      <c r="A387" s="210">
        <v>9313</v>
      </c>
      <c r="B387" s="211" t="s">
        <v>621</v>
      </c>
      <c r="C387" s="301">
        <v>4</v>
      </c>
      <c r="D387" s="259">
        <v>0</v>
      </c>
      <c r="E387" s="120">
        <v>0</v>
      </c>
      <c r="F387" s="120">
        <v>0</v>
      </c>
      <c r="G387" s="120">
        <v>0</v>
      </c>
      <c r="H387" s="120">
        <v>0</v>
      </c>
      <c r="I387" s="120">
        <v>0</v>
      </c>
      <c r="J387" s="120">
        <v>0</v>
      </c>
      <c r="K387" s="223">
        <f t="shared" si="41"/>
        <v>4</v>
      </c>
      <c r="L387" s="224">
        <f t="shared" si="42"/>
        <v>0</v>
      </c>
      <c r="M387" s="304"/>
      <c r="N387" s="262"/>
      <c r="O387" s="263"/>
    </row>
    <row r="388" spans="1:15" ht="15" x14ac:dyDescent="0.25">
      <c r="A388" s="210">
        <v>9321</v>
      </c>
      <c r="B388" s="211" t="s">
        <v>622</v>
      </c>
      <c r="C388" s="301">
        <v>0</v>
      </c>
      <c r="D388" s="259">
        <v>0</v>
      </c>
      <c r="E388" s="120">
        <v>0</v>
      </c>
      <c r="F388" s="120">
        <v>0</v>
      </c>
      <c r="G388" s="120">
        <v>0</v>
      </c>
      <c r="H388" s="120">
        <v>0</v>
      </c>
      <c r="I388" s="120">
        <v>0</v>
      </c>
      <c r="J388" s="120">
        <v>0</v>
      </c>
      <c r="K388" s="223">
        <f t="shared" si="41"/>
        <v>0</v>
      </c>
      <c r="L388" s="224">
        <f t="shared" si="42"/>
        <v>0</v>
      </c>
      <c r="M388" s="304"/>
      <c r="N388" s="262"/>
      <c r="O388" s="263"/>
    </row>
    <row r="389" spans="1:15" ht="30" x14ac:dyDescent="0.25">
      <c r="A389" s="210">
        <v>9322</v>
      </c>
      <c r="B389" s="211" t="s">
        <v>623</v>
      </c>
      <c r="C389" s="301">
        <v>0</v>
      </c>
      <c r="D389" s="259">
        <v>0</v>
      </c>
      <c r="E389" s="120">
        <v>0</v>
      </c>
      <c r="F389" s="120">
        <v>0</v>
      </c>
      <c r="G389" s="120">
        <v>0</v>
      </c>
      <c r="H389" s="120">
        <v>0</v>
      </c>
      <c r="I389" s="120">
        <v>0</v>
      </c>
      <c r="J389" s="120">
        <v>0</v>
      </c>
      <c r="K389" s="223">
        <f t="shared" si="41"/>
        <v>0</v>
      </c>
      <c r="L389" s="224">
        <f t="shared" si="42"/>
        <v>0</v>
      </c>
      <c r="M389" s="304"/>
      <c r="N389" s="262"/>
      <c r="O389" s="263"/>
    </row>
    <row r="390" spans="1:15" ht="30" x14ac:dyDescent="0.25">
      <c r="A390" s="210">
        <v>9331</v>
      </c>
      <c r="B390" s="211" t="s">
        <v>624</v>
      </c>
      <c r="C390" s="301">
        <v>0</v>
      </c>
      <c r="D390" s="259">
        <v>0</v>
      </c>
      <c r="E390" s="120">
        <v>0</v>
      </c>
      <c r="F390" s="120">
        <v>0</v>
      </c>
      <c r="G390" s="120">
        <v>0</v>
      </c>
      <c r="H390" s="120">
        <v>0</v>
      </c>
      <c r="I390" s="120">
        <v>0</v>
      </c>
      <c r="J390" s="120">
        <v>0</v>
      </c>
      <c r="K390" s="223">
        <f t="shared" si="41"/>
        <v>0</v>
      </c>
      <c r="L390" s="224">
        <f t="shared" si="42"/>
        <v>0</v>
      </c>
      <c r="M390" s="304"/>
      <c r="N390" s="262"/>
      <c r="O390" s="263"/>
    </row>
    <row r="391" spans="1:15" ht="30" x14ac:dyDescent="0.25">
      <c r="A391" s="210">
        <v>9332</v>
      </c>
      <c r="B391" s="211" t="s">
        <v>625</v>
      </c>
      <c r="C391" s="301">
        <v>0</v>
      </c>
      <c r="D391" s="259">
        <v>0</v>
      </c>
      <c r="E391" s="120">
        <v>0</v>
      </c>
      <c r="F391" s="120">
        <v>0</v>
      </c>
      <c r="G391" s="120">
        <v>0</v>
      </c>
      <c r="H391" s="120">
        <v>0</v>
      </c>
      <c r="I391" s="120">
        <v>0</v>
      </c>
      <c r="J391" s="120">
        <v>0</v>
      </c>
      <c r="K391" s="223">
        <f t="shared" si="41"/>
        <v>0</v>
      </c>
      <c r="L391" s="224">
        <f t="shared" si="42"/>
        <v>0</v>
      </c>
      <c r="M391" s="304"/>
      <c r="N391" s="262"/>
      <c r="O391" s="263"/>
    </row>
    <row r="392" spans="1:15" ht="15.75" thickBot="1" x14ac:dyDescent="0.3">
      <c r="A392" s="204">
        <v>9333</v>
      </c>
      <c r="B392" s="205" t="s">
        <v>626</v>
      </c>
      <c r="C392" s="300">
        <v>1</v>
      </c>
      <c r="D392" s="257">
        <v>0</v>
      </c>
      <c r="E392" s="209">
        <v>0</v>
      </c>
      <c r="F392" s="209">
        <v>0</v>
      </c>
      <c r="G392" s="209">
        <v>0</v>
      </c>
      <c r="H392" s="209">
        <v>0</v>
      </c>
      <c r="I392" s="209">
        <v>0</v>
      </c>
      <c r="J392" s="209">
        <v>0</v>
      </c>
      <c r="K392" s="221">
        <f t="shared" si="41"/>
        <v>1</v>
      </c>
      <c r="L392" s="306">
        <f t="shared" si="42"/>
        <v>0</v>
      </c>
      <c r="M392" s="304"/>
      <c r="N392" s="262"/>
      <c r="O392" s="263"/>
    </row>
    <row r="393" spans="1:15" ht="22.5" customHeight="1" thickBot="1" x14ac:dyDescent="0.3">
      <c r="A393" s="456" t="s">
        <v>3</v>
      </c>
      <c r="B393" s="465"/>
      <c r="C393" s="196">
        <f>SUM(C11:C392)</f>
        <v>7043</v>
      </c>
      <c r="D393" s="315">
        <f t="shared" ref="D393:L393" si="43">SUM(D11:D392)</f>
        <v>2846</v>
      </c>
      <c r="E393" s="316">
        <f t="shared" si="43"/>
        <v>0</v>
      </c>
      <c r="F393" s="316">
        <f t="shared" si="43"/>
        <v>0</v>
      </c>
      <c r="G393" s="316">
        <f t="shared" si="43"/>
        <v>0</v>
      </c>
      <c r="H393" s="316">
        <f t="shared" si="43"/>
        <v>0</v>
      </c>
      <c r="I393" s="317">
        <f>SUM(I9:I392)</f>
        <v>0</v>
      </c>
      <c r="J393" s="317">
        <f t="shared" si="43"/>
        <v>0</v>
      </c>
      <c r="K393" s="316">
        <f t="shared" si="43"/>
        <v>7043</v>
      </c>
      <c r="L393" s="318">
        <f t="shared" si="43"/>
        <v>2846</v>
      </c>
      <c r="M393" s="319"/>
      <c r="N393" s="320"/>
    </row>
    <row r="394" spans="1:15" ht="5.65" customHeight="1" x14ac:dyDescent="0.25">
      <c r="I394" s="321"/>
      <c r="J394" s="321"/>
    </row>
    <row r="395" spans="1:15" ht="15" x14ac:dyDescent="0.25">
      <c r="I395" s="321"/>
      <c r="J395" s="321"/>
    </row>
    <row r="396" spans="1:15" ht="18.95" customHeight="1" x14ac:dyDescent="0.25">
      <c r="I396" s="321"/>
      <c r="J396" s="321"/>
    </row>
    <row r="397" spans="1:15" ht="33.950000000000003" customHeight="1" x14ac:dyDescent="0.25">
      <c r="I397" s="263"/>
      <c r="J397" s="263"/>
    </row>
    <row r="406" ht="24" customHeight="1" x14ac:dyDescent="0.25"/>
  </sheetData>
  <mergeCells count="13">
    <mergeCell ref="A7:B7"/>
    <mergeCell ref="A393:B393"/>
    <mergeCell ref="A5:A6"/>
    <mergeCell ref="B5:B6"/>
    <mergeCell ref="A1:L1"/>
    <mergeCell ref="A2:L2"/>
    <mergeCell ref="A3:L3"/>
    <mergeCell ref="A4:L4"/>
    <mergeCell ref="C5:D5"/>
    <mergeCell ref="E5:F5"/>
    <mergeCell ref="G5:H5"/>
    <mergeCell ref="I5:J5"/>
    <mergeCell ref="K5:L5"/>
  </mergeCells>
  <conditionalFormatting sqref="M371">
    <cfRule type="cellIs" dxfId="1" priority="2" stopIfTrue="1" operator="between">
      <formula>-1000</formula>
      <formula>-1</formula>
    </cfRule>
  </conditionalFormatting>
  <conditionalFormatting sqref="N13">
    <cfRule type="cellIs" dxfId="0" priority="1" stopIfTrue="1" operator="between">
      <formula>-1000</formula>
      <formula>-1</formula>
    </cfRule>
  </conditionalFormatting>
  <printOptions horizontalCentered="1"/>
  <pageMargins left="0.235416666666667" right="0" top="0.35416666666666702" bottom="0.39305555555555599" header="0.31388888888888899" footer="0.31388888888888899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94"/>
  <sheetViews>
    <sheetView view="pageBreakPreview" topLeftCell="A472" zoomScaleNormal="100" workbookViewId="0">
      <selection activeCell="I493" sqref="I493"/>
    </sheetView>
  </sheetViews>
  <sheetFormatPr defaultColWidth="9" defaultRowHeight="15" x14ac:dyDescent="0.25"/>
  <cols>
    <col min="1" max="1" width="8.5703125" customWidth="1"/>
    <col min="2" max="2" width="36.5703125" customWidth="1"/>
    <col min="3" max="12" width="7.28515625" customWidth="1"/>
  </cols>
  <sheetData>
    <row r="1" spans="1:15" ht="19.5" x14ac:dyDescent="0.3">
      <c r="A1" s="462" t="s">
        <v>627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</row>
    <row r="2" spans="1:15" ht="19.5" x14ac:dyDescent="0.3">
      <c r="A2" s="462" t="s">
        <v>30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5" ht="18.75" customHeight="1" x14ac:dyDescent="0.3">
      <c r="A3" s="474" t="str">
        <f>'ipk3.3'!A3</f>
        <v>PADA TANGGAL : 1 AGUSTUS 2025 s/d  31 AGUSTUS 2025</v>
      </c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  <c r="M3" s="283"/>
      <c r="N3" s="283"/>
    </row>
    <row r="4" spans="1:15" x14ac:dyDescent="0.25">
      <c r="A4" s="464"/>
      <c r="B4" s="464"/>
      <c r="C4" s="464"/>
      <c r="D4" s="464"/>
      <c r="E4" s="464"/>
      <c r="F4" s="464"/>
      <c r="G4" s="464"/>
      <c r="H4" s="464"/>
      <c r="I4" s="464"/>
      <c r="J4" s="464"/>
      <c r="K4" s="464"/>
      <c r="L4" s="464"/>
    </row>
    <row r="5" spans="1:15" ht="38.25" customHeight="1" x14ac:dyDescent="0.25">
      <c r="A5" s="453" t="s">
        <v>31</v>
      </c>
      <c r="B5" s="453" t="s">
        <v>32</v>
      </c>
      <c r="C5" s="456" t="s">
        <v>33</v>
      </c>
      <c r="D5" s="457"/>
      <c r="E5" s="456" t="s">
        <v>34</v>
      </c>
      <c r="F5" s="457"/>
      <c r="G5" s="456" t="s">
        <v>35</v>
      </c>
      <c r="H5" s="457"/>
      <c r="I5" s="456" t="s">
        <v>243</v>
      </c>
      <c r="J5" s="457"/>
      <c r="K5" s="456" t="s">
        <v>37</v>
      </c>
      <c r="L5" s="475"/>
    </row>
    <row r="6" spans="1:15" x14ac:dyDescent="0.25">
      <c r="A6" s="455"/>
      <c r="B6" s="455"/>
      <c r="C6" s="198" t="s">
        <v>9</v>
      </c>
      <c r="D6" s="198" t="s">
        <v>20</v>
      </c>
      <c r="E6" s="198" t="s">
        <v>9</v>
      </c>
      <c r="F6" s="198" t="s">
        <v>20</v>
      </c>
      <c r="G6" s="198" t="s">
        <v>9</v>
      </c>
      <c r="H6" s="198" t="s">
        <v>20</v>
      </c>
      <c r="I6" s="198" t="s">
        <v>9</v>
      </c>
      <c r="J6" s="198" t="s">
        <v>20</v>
      </c>
      <c r="K6" s="198" t="s">
        <v>9</v>
      </c>
      <c r="L6" s="284" t="s">
        <v>20</v>
      </c>
    </row>
    <row r="7" spans="1:15" x14ac:dyDescent="0.25">
      <c r="A7" s="476">
        <v>1</v>
      </c>
      <c r="B7" s="478"/>
      <c r="C7" s="199">
        <v>2</v>
      </c>
      <c r="D7" s="199">
        <v>3</v>
      </c>
      <c r="E7" s="199">
        <v>4</v>
      </c>
      <c r="F7" s="199">
        <v>5</v>
      </c>
      <c r="G7" s="199">
        <v>6</v>
      </c>
      <c r="H7" s="199">
        <v>7</v>
      </c>
      <c r="I7" s="199">
        <v>8</v>
      </c>
      <c r="J7" s="199">
        <v>9</v>
      </c>
      <c r="K7" s="199">
        <v>10</v>
      </c>
      <c r="L7" s="285">
        <v>11</v>
      </c>
    </row>
    <row r="8" spans="1:15" x14ac:dyDescent="0.25">
      <c r="A8" s="200">
        <v>1000</v>
      </c>
      <c r="B8" s="201" t="s">
        <v>38</v>
      </c>
      <c r="C8" s="274"/>
      <c r="D8" s="227"/>
      <c r="E8" s="203"/>
      <c r="F8" s="203"/>
      <c r="G8" s="203"/>
      <c r="H8" s="203"/>
      <c r="I8" s="203"/>
      <c r="J8" s="203"/>
      <c r="K8" s="203"/>
      <c r="L8" s="286"/>
    </row>
    <row r="9" spans="1:15" x14ac:dyDescent="0.25">
      <c r="A9" s="204">
        <v>1101</v>
      </c>
      <c r="B9" s="205" t="s">
        <v>39</v>
      </c>
      <c r="C9" s="268">
        <v>0</v>
      </c>
      <c r="D9" s="209">
        <v>0</v>
      </c>
      <c r="E9" s="209">
        <v>0</v>
      </c>
      <c r="F9" s="275">
        <v>0</v>
      </c>
      <c r="G9" s="275">
        <v>0</v>
      </c>
      <c r="H9" s="275">
        <v>0</v>
      </c>
      <c r="I9" s="209">
        <v>0</v>
      </c>
      <c r="J9" s="440">
        <v>0</v>
      </c>
      <c r="K9" s="209">
        <f t="shared" ref="K9:K12" si="0">C9+E9-G9-I9</f>
        <v>0</v>
      </c>
      <c r="L9" s="287">
        <f t="shared" ref="L9:L12" si="1">D9+F9-H9-J9</f>
        <v>0</v>
      </c>
      <c r="M9" s="262"/>
      <c r="N9" s="262"/>
      <c r="O9" s="262"/>
    </row>
    <row r="10" spans="1:15" x14ac:dyDescent="0.25">
      <c r="A10" s="210">
        <v>1102</v>
      </c>
      <c r="B10" s="211" t="s">
        <v>40</v>
      </c>
      <c r="C10" s="266">
        <v>122</v>
      </c>
      <c r="D10" s="120">
        <v>0</v>
      </c>
      <c r="E10" s="120">
        <v>0</v>
      </c>
      <c r="F10" s="276">
        <v>0</v>
      </c>
      <c r="G10" s="276">
        <v>0</v>
      </c>
      <c r="H10" s="276">
        <v>0</v>
      </c>
      <c r="I10" s="120">
        <v>0</v>
      </c>
      <c r="J10" s="441">
        <v>0</v>
      </c>
      <c r="K10" s="120">
        <f t="shared" si="0"/>
        <v>122</v>
      </c>
      <c r="L10" s="288">
        <f t="shared" si="1"/>
        <v>0</v>
      </c>
      <c r="M10" s="262"/>
      <c r="N10" s="262"/>
      <c r="O10" s="262"/>
    </row>
    <row r="11" spans="1:15" x14ac:dyDescent="0.25">
      <c r="A11" s="210">
        <v>1103</v>
      </c>
      <c r="B11" s="211" t="s">
        <v>41</v>
      </c>
      <c r="C11" s="266">
        <v>0</v>
      </c>
      <c r="D11" s="120">
        <v>0</v>
      </c>
      <c r="E11" s="120">
        <v>0</v>
      </c>
      <c r="F11" s="276">
        <v>0</v>
      </c>
      <c r="G11" s="276">
        <v>0</v>
      </c>
      <c r="H11" s="276">
        <v>0</v>
      </c>
      <c r="I11" s="120">
        <v>0</v>
      </c>
      <c r="J11" s="441">
        <v>0</v>
      </c>
      <c r="K11" s="120">
        <f t="shared" si="0"/>
        <v>0</v>
      </c>
      <c r="L11" s="288">
        <f t="shared" si="1"/>
        <v>0</v>
      </c>
      <c r="M11" s="262"/>
      <c r="N11" s="262"/>
    </row>
    <row r="12" spans="1:15" x14ac:dyDescent="0.25">
      <c r="A12" s="204">
        <v>1199</v>
      </c>
      <c r="B12" s="205" t="s">
        <v>42</v>
      </c>
      <c r="C12" s="268">
        <v>0</v>
      </c>
      <c r="D12" s="209">
        <v>0</v>
      </c>
      <c r="E12" s="209">
        <v>0</v>
      </c>
      <c r="F12" s="275">
        <v>0</v>
      </c>
      <c r="G12" s="275">
        <v>0</v>
      </c>
      <c r="H12" s="275">
        <v>0</v>
      </c>
      <c r="I12" s="209">
        <v>0</v>
      </c>
      <c r="J12" s="440">
        <v>0</v>
      </c>
      <c r="K12" s="209">
        <f t="shared" si="0"/>
        <v>0</v>
      </c>
      <c r="L12" s="287">
        <f t="shared" si="1"/>
        <v>0</v>
      </c>
      <c r="M12" s="262"/>
      <c r="N12" s="262"/>
    </row>
    <row r="13" spans="1:15" x14ac:dyDescent="0.25">
      <c r="A13" s="254">
        <v>2000</v>
      </c>
      <c r="B13" s="255" t="s">
        <v>43</v>
      </c>
      <c r="C13" s="277"/>
      <c r="D13" s="218"/>
      <c r="E13" s="218"/>
      <c r="F13" s="278"/>
      <c r="G13" s="278"/>
      <c r="H13" s="278"/>
      <c r="I13" s="218"/>
      <c r="J13" s="442"/>
      <c r="K13" s="226"/>
      <c r="L13" s="227"/>
      <c r="M13" s="262"/>
      <c r="N13" s="1"/>
    </row>
    <row r="14" spans="1:15" x14ac:dyDescent="0.25">
      <c r="A14" s="204">
        <v>2101</v>
      </c>
      <c r="B14" s="205" t="s">
        <v>44</v>
      </c>
      <c r="C14" s="268">
        <v>2</v>
      </c>
      <c r="D14" s="209">
        <v>0</v>
      </c>
      <c r="E14" s="209">
        <v>0</v>
      </c>
      <c r="F14" s="275">
        <v>0</v>
      </c>
      <c r="G14" s="275">
        <v>0</v>
      </c>
      <c r="H14" s="275">
        <v>0</v>
      </c>
      <c r="I14" s="209">
        <v>0</v>
      </c>
      <c r="J14" s="440">
        <v>0</v>
      </c>
      <c r="K14" s="209">
        <f t="shared" ref="K14:K18" si="2">C14+E14-G14-I14</f>
        <v>2</v>
      </c>
      <c r="L14" s="287">
        <f t="shared" ref="L14:L18" si="3">D14+F14-H14-J14</f>
        <v>0</v>
      </c>
      <c r="M14" s="262"/>
      <c r="N14" s="262"/>
      <c r="O14" s="262"/>
    </row>
    <row r="15" spans="1:15" x14ac:dyDescent="0.25">
      <c r="A15" s="210">
        <v>2102</v>
      </c>
      <c r="B15" s="211" t="s">
        <v>45</v>
      </c>
      <c r="C15" s="266">
        <v>0</v>
      </c>
      <c r="D15" s="120">
        <v>0</v>
      </c>
      <c r="E15" s="120">
        <v>0</v>
      </c>
      <c r="F15" s="276">
        <v>0</v>
      </c>
      <c r="G15" s="276">
        <v>0</v>
      </c>
      <c r="H15" s="276">
        <v>0</v>
      </c>
      <c r="I15" s="120">
        <v>0</v>
      </c>
      <c r="J15" s="441">
        <v>0</v>
      </c>
      <c r="K15" s="120">
        <f t="shared" si="2"/>
        <v>0</v>
      </c>
      <c r="L15" s="288">
        <f t="shared" si="3"/>
        <v>0</v>
      </c>
      <c r="M15" s="262"/>
      <c r="N15" s="262"/>
    </row>
    <row r="16" spans="1:15" x14ac:dyDescent="0.25">
      <c r="A16" s="210">
        <v>2103</v>
      </c>
      <c r="B16" s="211" t="s">
        <v>628</v>
      </c>
      <c r="C16" s="266">
        <v>0</v>
      </c>
      <c r="D16" s="120">
        <v>0</v>
      </c>
      <c r="E16" s="120">
        <v>0</v>
      </c>
      <c r="F16" s="276">
        <v>0</v>
      </c>
      <c r="G16" s="276">
        <v>0</v>
      </c>
      <c r="H16" s="276">
        <v>0</v>
      </c>
      <c r="I16" s="120">
        <v>0</v>
      </c>
      <c r="J16" s="441">
        <v>0</v>
      </c>
      <c r="K16" s="120">
        <f t="shared" si="2"/>
        <v>0</v>
      </c>
      <c r="L16" s="288">
        <f t="shared" si="3"/>
        <v>0</v>
      </c>
      <c r="M16" s="262"/>
      <c r="N16" s="262"/>
    </row>
    <row r="17" spans="1:14" x14ac:dyDescent="0.25">
      <c r="A17" s="210">
        <v>2104</v>
      </c>
      <c r="B17" s="211" t="s">
        <v>47</v>
      </c>
      <c r="C17" s="266">
        <v>0</v>
      </c>
      <c r="D17" s="120">
        <v>0</v>
      </c>
      <c r="E17" s="120">
        <v>0</v>
      </c>
      <c r="F17" s="276">
        <v>0</v>
      </c>
      <c r="G17" s="276">
        <v>0</v>
      </c>
      <c r="H17" s="276">
        <v>0</v>
      </c>
      <c r="I17" s="120">
        <v>0</v>
      </c>
      <c r="J17" s="441">
        <v>0</v>
      </c>
      <c r="K17" s="120">
        <f t="shared" si="2"/>
        <v>0</v>
      </c>
      <c r="L17" s="288">
        <f t="shared" si="3"/>
        <v>0</v>
      </c>
      <c r="M17" s="262"/>
      <c r="N17" s="262"/>
    </row>
    <row r="18" spans="1:14" x14ac:dyDescent="0.25">
      <c r="A18" s="204">
        <v>2199</v>
      </c>
      <c r="B18" s="205" t="s">
        <v>48</v>
      </c>
      <c r="C18" s="268">
        <v>0</v>
      </c>
      <c r="D18" s="209">
        <v>0</v>
      </c>
      <c r="E18" s="209">
        <v>0</v>
      </c>
      <c r="F18" s="275">
        <v>0</v>
      </c>
      <c r="G18" s="275">
        <v>0</v>
      </c>
      <c r="H18" s="276">
        <v>0</v>
      </c>
      <c r="I18" s="209">
        <v>0</v>
      </c>
      <c r="J18" s="440">
        <v>0</v>
      </c>
      <c r="K18" s="209">
        <f t="shared" si="2"/>
        <v>0</v>
      </c>
      <c r="L18" s="287">
        <f t="shared" si="3"/>
        <v>0</v>
      </c>
      <c r="M18" s="262"/>
      <c r="N18" s="262"/>
    </row>
    <row r="19" spans="1:14" x14ac:dyDescent="0.25">
      <c r="A19" s="254">
        <v>3000</v>
      </c>
      <c r="B19" s="255" t="s">
        <v>49</v>
      </c>
      <c r="C19" s="277"/>
      <c r="D19" s="218"/>
      <c r="E19" s="218"/>
      <c r="F19" s="278"/>
      <c r="G19" s="278"/>
      <c r="H19" s="279"/>
      <c r="I19" s="218"/>
      <c r="J19" s="442"/>
      <c r="K19" s="226"/>
      <c r="L19" s="227"/>
      <c r="M19" s="262"/>
      <c r="N19" s="1"/>
    </row>
    <row r="20" spans="1:14" x14ac:dyDescent="0.25">
      <c r="A20" s="204">
        <v>3101</v>
      </c>
      <c r="B20" s="205" t="s">
        <v>50</v>
      </c>
      <c r="C20" s="268">
        <v>1</v>
      </c>
      <c r="D20" s="209">
        <v>0</v>
      </c>
      <c r="E20" s="209">
        <v>0</v>
      </c>
      <c r="F20" s="209">
        <v>0</v>
      </c>
      <c r="G20" s="275">
        <v>0</v>
      </c>
      <c r="H20" s="275">
        <v>0</v>
      </c>
      <c r="I20" s="209">
        <v>0</v>
      </c>
      <c r="J20" s="209">
        <v>0</v>
      </c>
      <c r="K20" s="209">
        <f t="shared" ref="K20:K63" si="4">C20+E20-G20-I20</f>
        <v>1</v>
      </c>
      <c r="L20" s="287">
        <f t="shared" ref="L20:L63" si="5">D20+F20-H20-J20</f>
        <v>0</v>
      </c>
      <c r="M20" s="262"/>
      <c r="N20" s="262"/>
    </row>
    <row r="21" spans="1:14" x14ac:dyDescent="0.25">
      <c r="A21" s="210">
        <v>3102</v>
      </c>
      <c r="B21" s="211" t="s">
        <v>51</v>
      </c>
      <c r="C21" s="266">
        <v>0</v>
      </c>
      <c r="D21" s="120">
        <v>0</v>
      </c>
      <c r="E21" s="120">
        <v>0</v>
      </c>
      <c r="F21" s="120">
        <v>0</v>
      </c>
      <c r="G21" s="421">
        <v>0</v>
      </c>
      <c r="H21" s="421">
        <v>0</v>
      </c>
      <c r="I21" s="120">
        <v>0</v>
      </c>
      <c r="J21" s="120">
        <v>0</v>
      </c>
      <c r="K21" s="120">
        <f t="shared" si="4"/>
        <v>0</v>
      </c>
      <c r="L21" s="288">
        <f t="shared" si="5"/>
        <v>0</v>
      </c>
      <c r="M21" s="262"/>
      <c r="N21" s="262"/>
    </row>
    <row r="22" spans="1:14" x14ac:dyDescent="0.25">
      <c r="A22" s="210">
        <v>3103</v>
      </c>
      <c r="B22" s="211" t="s">
        <v>52</v>
      </c>
      <c r="C22" s="266">
        <v>0</v>
      </c>
      <c r="D22" s="120">
        <v>0</v>
      </c>
      <c r="E22" s="120">
        <v>0</v>
      </c>
      <c r="F22" s="120">
        <v>0</v>
      </c>
      <c r="G22" s="421">
        <v>0</v>
      </c>
      <c r="H22" s="421">
        <v>0</v>
      </c>
      <c r="I22" s="120">
        <v>0</v>
      </c>
      <c r="J22" s="120">
        <v>0</v>
      </c>
      <c r="K22" s="120">
        <f t="shared" si="4"/>
        <v>0</v>
      </c>
      <c r="L22" s="288">
        <f t="shared" si="5"/>
        <v>0</v>
      </c>
      <c r="M22" s="262"/>
      <c r="N22" s="262"/>
    </row>
    <row r="23" spans="1:14" x14ac:dyDescent="0.25">
      <c r="A23" s="210">
        <v>3104</v>
      </c>
      <c r="B23" s="211" t="s">
        <v>53</v>
      </c>
      <c r="C23" s="266">
        <v>19</v>
      </c>
      <c r="D23" s="120">
        <v>0</v>
      </c>
      <c r="E23" s="120">
        <v>0</v>
      </c>
      <c r="F23" s="120">
        <v>0</v>
      </c>
      <c r="G23" s="421">
        <v>0</v>
      </c>
      <c r="H23" s="421">
        <v>0</v>
      </c>
      <c r="I23" s="120">
        <v>0</v>
      </c>
      <c r="J23" s="120">
        <v>0</v>
      </c>
      <c r="K23" s="120">
        <f t="shared" si="4"/>
        <v>19</v>
      </c>
      <c r="L23" s="288">
        <f t="shared" si="5"/>
        <v>0</v>
      </c>
      <c r="M23" s="262"/>
      <c r="N23" s="262"/>
    </row>
    <row r="24" spans="1:14" ht="18" customHeight="1" x14ac:dyDescent="0.25">
      <c r="A24" s="210">
        <v>3105</v>
      </c>
      <c r="B24" s="211" t="s">
        <v>54</v>
      </c>
      <c r="C24" s="266">
        <v>1</v>
      </c>
      <c r="D24" s="120">
        <v>0</v>
      </c>
      <c r="E24" s="120">
        <v>0</v>
      </c>
      <c r="F24" s="120">
        <v>0</v>
      </c>
      <c r="G24" s="421">
        <v>0</v>
      </c>
      <c r="H24" s="421">
        <v>0</v>
      </c>
      <c r="I24" s="120">
        <v>0</v>
      </c>
      <c r="J24" s="120">
        <v>0</v>
      </c>
      <c r="K24" s="120">
        <f t="shared" si="4"/>
        <v>1</v>
      </c>
      <c r="L24" s="288">
        <f t="shared" si="5"/>
        <v>0</v>
      </c>
      <c r="M24" s="262"/>
      <c r="N24" s="262"/>
    </row>
    <row r="25" spans="1:14" x14ac:dyDescent="0.25">
      <c r="A25" s="210">
        <v>3106</v>
      </c>
      <c r="B25" s="211" t="s">
        <v>55</v>
      </c>
      <c r="C25" s="266">
        <v>41</v>
      </c>
      <c r="D25" s="120">
        <v>0</v>
      </c>
      <c r="E25" s="120">
        <v>0</v>
      </c>
      <c r="F25" s="120">
        <v>0</v>
      </c>
      <c r="G25" s="421">
        <v>0</v>
      </c>
      <c r="H25" s="421">
        <v>0</v>
      </c>
      <c r="I25" s="120">
        <v>0</v>
      </c>
      <c r="J25" s="120">
        <v>0</v>
      </c>
      <c r="K25" s="120">
        <f t="shared" si="4"/>
        <v>41</v>
      </c>
      <c r="L25" s="288">
        <f t="shared" si="5"/>
        <v>0</v>
      </c>
      <c r="M25" s="262"/>
      <c r="N25" s="262"/>
    </row>
    <row r="26" spans="1:14" x14ac:dyDescent="0.25">
      <c r="A26" s="210">
        <v>3107</v>
      </c>
      <c r="B26" s="211" t="s">
        <v>56</v>
      </c>
      <c r="C26" s="266">
        <v>57</v>
      </c>
      <c r="D26" s="120">
        <v>0</v>
      </c>
      <c r="E26" s="120">
        <v>0</v>
      </c>
      <c r="F26" s="120">
        <v>0</v>
      </c>
      <c r="G26" s="421">
        <v>0</v>
      </c>
      <c r="H26" s="421">
        <v>0</v>
      </c>
      <c r="I26" s="120">
        <v>0</v>
      </c>
      <c r="J26" s="120">
        <v>0</v>
      </c>
      <c r="K26" s="120">
        <f t="shared" si="4"/>
        <v>57</v>
      </c>
      <c r="L26" s="288">
        <f t="shared" si="5"/>
        <v>0</v>
      </c>
      <c r="M26" s="262"/>
      <c r="N26" s="262"/>
    </row>
    <row r="27" spans="1:14" x14ac:dyDescent="0.25">
      <c r="A27" s="210">
        <v>3108</v>
      </c>
      <c r="B27" s="211" t="s">
        <v>57</v>
      </c>
      <c r="C27" s="266">
        <v>1</v>
      </c>
      <c r="D27" s="120">
        <v>0</v>
      </c>
      <c r="E27" s="120">
        <v>0</v>
      </c>
      <c r="F27" s="120">
        <v>0</v>
      </c>
      <c r="G27" s="421">
        <v>0</v>
      </c>
      <c r="H27" s="421">
        <v>0</v>
      </c>
      <c r="I27" s="120">
        <v>0</v>
      </c>
      <c r="J27" s="120">
        <v>0</v>
      </c>
      <c r="K27" s="120">
        <f t="shared" si="4"/>
        <v>1</v>
      </c>
      <c r="L27" s="288">
        <f t="shared" si="5"/>
        <v>0</v>
      </c>
      <c r="M27" s="262"/>
      <c r="N27" s="262"/>
    </row>
    <row r="28" spans="1:14" x14ac:dyDescent="0.25">
      <c r="A28" s="210">
        <v>3109</v>
      </c>
      <c r="B28" s="211" t="s">
        <v>58</v>
      </c>
      <c r="C28" s="266">
        <v>0</v>
      </c>
      <c r="D28" s="120">
        <v>0</v>
      </c>
      <c r="E28" s="120">
        <v>0</v>
      </c>
      <c r="F28" s="120">
        <v>0</v>
      </c>
      <c r="G28" s="421">
        <v>0</v>
      </c>
      <c r="H28" s="421">
        <v>0</v>
      </c>
      <c r="I28" s="120">
        <v>0</v>
      </c>
      <c r="J28" s="120">
        <v>0</v>
      </c>
      <c r="K28" s="120">
        <f t="shared" si="4"/>
        <v>0</v>
      </c>
      <c r="L28" s="288">
        <f t="shared" si="5"/>
        <v>0</v>
      </c>
      <c r="M28" s="262"/>
      <c r="N28" s="262"/>
    </row>
    <row r="29" spans="1:14" x14ac:dyDescent="0.25">
      <c r="A29" s="210">
        <v>3110</v>
      </c>
      <c r="B29" s="211" t="s">
        <v>59</v>
      </c>
      <c r="C29" s="266">
        <v>0</v>
      </c>
      <c r="D29" s="120">
        <v>0</v>
      </c>
      <c r="E29" s="120">
        <v>0</v>
      </c>
      <c r="F29" s="120">
        <v>0</v>
      </c>
      <c r="G29" s="421">
        <v>0</v>
      </c>
      <c r="H29" s="421">
        <v>0</v>
      </c>
      <c r="I29" s="120">
        <v>0</v>
      </c>
      <c r="J29" s="120">
        <v>0</v>
      </c>
      <c r="K29" s="120">
        <f t="shared" si="4"/>
        <v>0</v>
      </c>
      <c r="L29" s="288">
        <f t="shared" si="5"/>
        <v>0</v>
      </c>
      <c r="M29" s="262"/>
      <c r="N29" s="262"/>
    </row>
    <row r="30" spans="1:14" x14ac:dyDescent="0.25">
      <c r="A30" s="210">
        <v>3111</v>
      </c>
      <c r="B30" s="211" t="s">
        <v>60</v>
      </c>
      <c r="C30" s="266">
        <v>0</v>
      </c>
      <c r="D30" s="120">
        <v>0</v>
      </c>
      <c r="E30" s="120">
        <v>0</v>
      </c>
      <c r="F30" s="120">
        <v>0</v>
      </c>
      <c r="G30" s="421">
        <v>0</v>
      </c>
      <c r="H30" s="421">
        <v>0</v>
      </c>
      <c r="I30" s="120">
        <v>0</v>
      </c>
      <c r="J30" s="120">
        <v>0</v>
      </c>
      <c r="K30" s="120">
        <f t="shared" si="4"/>
        <v>0</v>
      </c>
      <c r="L30" s="288">
        <f t="shared" si="5"/>
        <v>0</v>
      </c>
      <c r="M30" s="262"/>
      <c r="N30" s="262"/>
    </row>
    <row r="31" spans="1:14" x14ac:dyDescent="0.25">
      <c r="A31" s="210">
        <v>3112</v>
      </c>
      <c r="B31" s="211" t="s">
        <v>61</v>
      </c>
      <c r="C31" s="266">
        <v>2</v>
      </c>
      <c r="D31" s="120">
        <v>0</v>
      </c>
      <c r="E31" s="120">
        <v>0</v>
      </c>
      <c r="F31" s="120">
        <v>0</v>
      </c>
      <c r="G31" s="421">
        <v>0</v>
      </c>
      <c r="H31" s="421">
        <v>0</v>
      </c>
      <c r="I31" s="120">
        <v>0</v>
      </c>
      <c r="J31" s="120">
        <v>0</v>
      </c>
      <c r="K31" s="120">
        <f t="shared" si="4"/>
        <v>2</v>
      </c>
      <c r="L31" s="288">
        <f t="shared" si="5"/>
        <v>0</v>
      </c>
      <c r="M31" s="262"/>
      <c r="N31" s="262"/>
    </row>
    <row r="32" spans="1:14" x14ac:dyDescent="0.25">
      <c r="A32" s="210">
        <v>3113</v>
      </c>
      <c r="B32" s="211" t="s">
        <v>62</v>
      </c>
      <c r="C32" s="266">
        <v>0</v>
      </c>
      <c r="D32" s="120">
        <v>0</v>
      </c>
      <c r="E32" s="120">
        <v>0</v>
      </c>
      <c r="F32" s="120">
        <v>0</v>
      </c>
      <c r="G32" s="421">
        <v>0</v>
      </c>
      <c r="H32" s="421">
        <v>0</v>
      </c>
      <c r="I32" s="120">
        <v>0</v>
      </c>
      <c r="J32" s="120">
        <v>0</v>
      </c>
      <c r="K32" s="120">
        <f t="shared" si="4"/>
        <v>0</v>
      </c>
      <c r="L32" s="288">
        <f t="shared" si="5"/>
        <v>0</v>
      </c>
      <c r="M32" s="262"/>
      <c r="N32" s="262"/>
    </row>
    <row r="33" spans="1:14" x14ac:dyDescent="0.25">
      <c r="A33" s="210">
        <v>3114</v>
      </c>
      <c r="B33" s="211" t="s">
        <v>63</v>
      </c>
      <c r="C33" s="266">
        <v>2</v>
      </c>
      <c r="D33" s="120">
        <v>1</v>
      </c>
      <c r="E33" s="120">
        <v>0</v>
      </c>
      <c r="F33" s="120">
        <v>0</v>
      </c>
      <c r="G33" s="421">
        <v>0</v>
      </c>
      <c r="H33" s="421">
        <v>0</v>
      </c>
      <c r="I33" s="120">
        <v>0</v>
      </c>
      <c r="J33" s="120">
        <v>0</v>
      </c>
      <c r="K33" s="120">
        <f t="shared" si="4"/>
        <v>2</v>
      </c>
      <c r="L33" s="288">
        <f t="shared" si="5"/>
        <v>1</v>
      </c>
      <c r="M33" s="262"/>
      <c r="N33" s="262"/>
    </row>
    <row r="34" spans="1:14" x14ac:dyDescent="0.25">
      <c r="A34" s="210">
        <v>3115</v>
      </c>
      <c r="B34" s="211" t="s">
        <v>64</v>
      </c>
      <c r="C34" s="266">
        <v>0</v>
      </c>
      <c r="D34" s="120">
        <v>0</v>
      </c>
      <c r="E34" s="120">
        <v>0</v>
      </c>
      <c r="F34" s="120">
        <v>0</v>
      </c>
      <c r="G34" s="421">
        <v>0</v>
      </c>
      <c r="H34" s="421">
        <v>0</v>
      </c>
      <c r="I34" s="120">
        <v>0</v>
      </c>
      <c r="J34" s="120">
        <v>0</v>
      </c>
      <c r="K34" s="120">
        <f t="shared" si="4"/>
        <v>0</v>
      </c>
      <c r="L34" s="288">
        <f t="shared" si="5"/>
        <v>0</v>
      </c>
      <c r="M34" s="262"/>
      <c r="N34" s="262"/>
    </row>
    <row r="35" spans="1:14" x14ac:dyDescent="0.25">
      <c r="A35" s="210">
        <v>3116</v>
      </c>
      <c r="B35" s="211" t="s">
        <v>65</v>
      </c>
      <c r="C35" s="266">
        <v>0</v>
      </c>
      <c r="D35" s="120">
        <v>0</v>
      </c>
      <c r="E35" s="120">
        <v>0</v>
      </c>
      <c r="F35" s="120">
        <v>0</v>
      </c>
      <c r="G35" s="421">
        <v>0</v>
      </c>
      <c r="H35" s="421">
        <v>0</v>
      </c>
      <c r="I35" s="120">
        <v>0</v>
      </c>
      <c r="J35" s="120">
        <v>0</v>
      </c>
      <c r="K35" s="120">
        <f t="shared" si="4"/>
        <v>0</v>
      </c>
      <c r="L35" s="288">
        <f t="shared" si="5"/>
        <v>0</v>
      </c>
      <c r="M35" s="262"/>
      <c r="N35" s="262"/>
    </row>
    <row r="36" spans="1:14" x14ac:dyDescent="0.25">
      <c r="A36" s="210">
        <v>3117</v>
      </c>
      <c r="B36" s="211" t="s">
        <v>66</v>
      </c>
      <c r="C36" s="266">
        <v>0</v>
      </c>
      <c r="D36" s="120">
        <v>0</v>
      </c>
      <c r="E36" s="120">
        <v>0</v>
      </c>
      <c r="F36" s="120">
        <v>0</v>
      </c>
      <c r="G36" s="421">
        <v>0</v>
      </c>
      <c r="H36" s="421">
        <v>0</v>
      </c>
      <c r="I36" s="120">
        <v>0</v>
      </c>
      <c r="J36" s="120">
        <v>0</v>
      </c>
      <c r="K36" s="120">
        <f t="shared" si="4"/>
        <v>0</v>
      </c>
      <c r="L36" s="288">
        <f t="shared" si="5"/>
        <v>0</v>
      </c>
      <c r="M36" s="262"/>
      <c r="N36" s="262"/>
    </row>
    <row r="37" spans="1:14" x14ac:dyDescent="0.25">
      <c r="A37" s="210">
        <v>3118</v>
      </c>
      <c r="B37" s="211" t="s">
        <v>67</v>
      </c>
      <c r="C37" s="266">
        <v>16</v>
      </c>
      <c r="D37" s="120">
        <v>0</v>
      </c>
      <c r="E37" s="120">
        <v>0</v>
      </c>
      <c r="F37" s="120">
        <v>0</v>
      </c>
      <c r="G37" s="421">
        <v>0</v>
      </c>
      <c r="H37" s="421">
        <v>0</v>
      </c>
      <c r="I37" s="120">
        <v>0</v>
      </c>
      <c r="J37" s="120">
        <v>0</v>
      </c>
      <c r="K37" s="120">
        <f t="shared" si="4"/>
        <v>16</v>
      </c>
      <c r="L37" s="288">
        <f t="shared" si="5"/>
        <v>0</v>
      </c>
      <c r="M37" s="262"/>
      <c r="N37" s="262"/>
    </row>
    <row r="38" spans="1:14" x14ac:dyDescent="0.25">
      <c r="A38" s="210">
        <v>3201</v>
      </c>
      <c r="B38" s="211" t="s">
        <v>68</v>
      </c>
      <c r="C38" s="266">
        <v>12</v>
      </c>
      <c r="D38" s="120">
        <v>0</v>
      </c>
      <c r="E38" s="120">
        <v>0</v>
      </c>
      <c r="F38" s="120">
        <v>0</v>
      </c>
      <c r="G38" s="421">
        <v>0</v>
      </c>
      <c r="H38" s="421">
        <v>0</v>
      </c>
      <c r="I38" s="120">
        <v>0</v>
      </c>
      <c r="J38" s="120">
        <v>0</v>
      </c>
      <c r="K38" s="120">
        <f t="shared" si="4"/>
        <v>12</v>
      </c>
      <c r="L38" s="288">
        <f t="shared" si="5"/>
        <v>0</v>
      </c>
      <c r="M38" s="262"/>
      <c r="N38" s="262"/>
    </row>
    <row r="39" spans="1:14" x14ac:dyDescent="0.25">
      <c r="A39" s="210">
        <v>3202</v>
      </c>
      <c r="B39" s="211" t="s">
        <v>69</v>
      </c>
      <c r="C39" s="266">
        <v>9</v>
      </c>
      <c r="D39" s="120">
        <v>0</v>
      </c>
      <c r="E39" s="120">
        <v>0</v>
      </c>
      <c r="F39" s="120">
        <v>0</v>
      </c>
      <c r="G39" s="421">
        <v>0</v>
      </c>
      <c r="H39" s="421">
        <v>0</v>
      </c>
      <c r="I39" s="120">
        <v>0</v>
      </c>
      <c r="J39" s="120">
        <v>0</v>
      </c>
      <c r="K39" s="120">
        <f t="shared" si="4"/>
        <v>9</v>
      </c>
      <c r="L39" s="288">
        <f t="shared" si="5"/>
        <v>0</v>
      </c>
      <c r="M39" s="262"/>
      <c r="N39" s="262"/>
    </row>
    <row r="40" spans="1:14" x14ac:dyDescent="0.25">
      <c r="A40" s="210">
        <v>3203</v>
      </c>
      <c r="B40" s="211" t="s">
        <v>70</v>
      </c>
      <c r="C40" s="266">
        <v>0</v>
      </c>
      <c r="D40" s="120">
        <v>0</v>
      </c>
      <c r="E40" s="120">
        <v>0</v>
      </c>
      <c r="F40" s="120">
        <v>0</v>
      </c>
      <c r="G40" s="421">
        <v>0</v>
      </c>
      <c r="H40" s="421">
        <v>0</v>
      </c>
      <c r="I40" s="120">
        <v>0</v>
      </c>
      <c r="J40" s="120">
        <v>0</v>
      </c>
      <c r="K40" s="120">
        <f t="shared" si="4"/>
        <v>0</v>
      </c>
      <c r="L40" s="288">
        <f t="shared" si="5"/>
        <v>0</v>
      </c>
      <c r="M40" s="262"/>
      <c r="N40" s="262"/>
    </row>
    <row r="41" spans="1:14" x14ac:dyDescent="0.25">
      <c r="A41" s="210">
        <v>3301</v>
      </c>
      <c r="B41" s="211" t="s">
        <v>71</v>
      </c>
      <c r="C41" s="266">
        <v>0</v>
      </c>
      <c r="D41" s="120">
        <v>0</v>
      </c>
      <c r="E41" s="120">
        <v>0</v>
      </c>
      <c r="F41" s="120">
        <v>0</v>
      </c>
      <c r="G41" s="421">
        <v>0</v>
      </c>
      <c r="H41" s="421">
        <v>0</v>
      </c>
      <c r="I41" s="120">
        <v>0</v>
      </c>
      <c r="J41" s="120">
        <v>0</v>
      </c>
      <c r="K41" s="120">
        <f t="shared" si="4"/>
        <v>0</v>
      </c>
      <c r="L41" s="288">
        <f t="shared" si="5"/>
        <v>0</v>
      </c>
      <c r="M41" s="262"/>
      <c r="N41" s="262"/>
    </row>
    <row r="42" spans="1:14" x14ac:dyDescent="0.25">
      <c r="A42" s="210">
        <v>3302</v>
      </c>
      <c r="B42" s="211" t="s">
        <v>72</v>
      </c>
      <c r="C42" s="266">
        <v>0</v>
      </c>
      <c r="D42" s="120">
        <v>0</v>
      </c>
      <c r="E42" s="120">
        <v>0</v>
      </c>
      <c r="F42" s="120">
        <v>0</v>
      </c>
      <c r="G42" s="421">
        <v>0</v>
      </c>
      <c r="H42" s="421">
        <v>0</v>
      </c>
      <c r="I42" s="120">
        <v>0</v>
      </c>
      <c r="J42" s="120">
        <v>0</v>
      </c>
      <c r="K42" s="120">
        <f t="shared" si="4"/>
        <v>0</v>
      </c>
      <c r="L42" s="288">
        <f t="shared" si="5"/>
        <v>0</v>
      </c>
      <c r="M42" s="262"/>
      <c r="N42" s="262"/>
    </row>
    <row r="43" spans="1:14" x14ac:dyDescent="0.25">
      <c r="A43" s="210">
        <v>3401</v>
      </c>
      <c r="B43" s="211" t="s">
        <v>73</v>
      </c>
      <c r="C43" s="266">
        <v>0</v>
      </c>
      <c r="D43" s="120">
        <v>0</v>
      </c>
      <c r="E43" s="120">
        <v>0</v>
      </c>
      <c r="F43" s="120">
        <v>0</v>
      </c>
      <c r="G43" s="421">
        <v>0</v>
      </c>
      <c r="H43" s="421">
        <v>0</v>
      </c>
      <c r="I43" s="120">
        <v>0</v>
      </c>
      <c r="J43" s="120">
        <v>0</v>
      </c>
      <c r="K43" s="120">
        <f t="shared" si="4"/>
        <v>0</v>
      </c>
      <c r="L43" s="288">
        <f t="shared" si="5"/>
        <v>0</v>
      </c>
      <c r="M43" s="262"/>
      <c r="N43" s="262"/>
    </row>
    <row r="44" spans="1:14" x14ac:dyDescent="0.25">
      <c r="A44" s="210">
        <v>3402</v>
      </c>
      <c r="B44" s="211" t="s">
        <v>74</v>
      </c>
      <c r="C44" s="266">
        <v>0</v>
      </c>
      <c r="D44" s="120">
        <v>0</v>
      </c>
      <c r="E44" s="120">
        <v>0</v>
      </c>
      <c r="F44" s="120">
        <v>0</v>
      </c>
      <c r="G44" s="421">
        <v>0</v>
      </c>
      <c r="H44" s="421">
        <v>0</v>
      </c>
      <c r="I44" s="120">
        <v>0</v>
      </c>
      <c r="J44" s="120">
        <v>0</v>
      </c>
      <c r="K44" s="120">
        <f t="shared" si="4"/>
        <v>0</v>
      </c>
      <c r="L44" s="288">
        <f t="shared" si="5"/>
        <v>0</v>
      </c>
      <c r="M44" s="262"/>
      <c r="N44" s="262"/>
    </row>
    <row r="45" spans="1:14" x14ac:dyDescent="0.25">
      <c r="A45" s="210">
        <v>3403</v>
      </c>
      <c r="B45" s="211" t="s">
        <v>75</v>
      </c>
      <c r="C45" s="266">
        <v>0</v>
      </c>
      <c r="D45" s="120">
        <v>0</v>
      </c>
      <c r="E45" s="120">
        <v>0</v>
      </c>
      <c r="F45" s="120">
        <v>0</v>
      </c>
      <c r="G45" s="421">
        <v>0</v>
      </c>
      <c r="H45" s="421">
        <v>0</v>
      </c>
      <c r="I45" s="120">
        <v>0</v>
      </c>
      <c r="J45" s="120">
        <v>0</v>
      </c>
      <c r="K45" s="120">
        <f t="shared" si="4"/>
        <v>0</v>
      </c>
      <c r="L45" s="288">
        <f t="shared" si="5"/>
        <v>0</v>
      </c>
      <c r="M45" s="262"/>
      <c r="N45" s="262"/>
    </row>
    <row r="46" spans="1:14" x14ac:dyDescent="0.25">
      <c r="A46" s="210">
        <v>3404</v>
      </c>
      <c r="B46" s="211" t="s">
        <v>76</v>
      </c>
      <c r="C46" s="266">
        <v>4</v>
      </c>
      <c r="D46" s="120">
        <v>0</v>
      </c>
      <c r="E46" s="120">
        <v>0</v>
      </c>
      <c r="F46" s="120">
        <v>0</v>
      </c>
      <c r="G46" s="421">
        <v>0</v>
      </c>
      <c r="H46" s="421">
        <v>0</v>
      </c>
      <c r="I46" s="120">
        <v>0</v>
      </c>
      <c r="J46" s="120">
        <v>0</v>
      </c>
      <c r="K46" s="120">
        <f t="shared" si="4"/>
        <v>4</v>
      </c>
      <c r="L46" s="288">
        <f t="shared" si="5"/>
        <v>0</v>
      </c>
      <c r="M46" s="262"/>
      <c r="N46" s="262"/>
    </row>
    <row r="47" spans="1:14" x14ac:dyDescent="0.25">
      <c r="A47" s="210">
        <v>3405</v>
      </c>
      <c r="B47" s="211" t="s">
        <v>77</v>
      </c>
      <c r="C47" s="266">
        <v>2</v>
      </c>
      <c r="D47" s="120">
        <v>0</v>
      </c>
      <c r="E47" s="120">
        <v>0</v>
      </c>
      <c r="F47" s="120">
        <v>0</v>
      </c>
      <c r="G47" s="421">
        <v>0</v>
      </c>
      <c r="H47" s="421">
        <v>0</v>
      </c>
      <c r="I47" s="120">
        <v>0</v>
      </c>
      <c r="J47" s="120">
        <v>0</v>
      </c>
      <c r="K47" s="120">
        <f t="shared" si="4"/>
        <v>2</v>
      </c>
      <c r="L47" s="288">
        <f t="shared" si="5"/>
        <v>0</v>
      </c>
      <c r="M47" s="262"/>
      <c r="N47" s="262"/>
    </row>
    <row r="48" spans="1:14" x14ac:dyDescent="0.25">
      <c r="A48" s="210">
        <v>3406</v>
      </c>
      <c r="B48" s="211" t="s">
        <v>78</v>
      </c>
      <c r="C48" s="266">
        <v>0</v>
      </c>
      <c r="D48" s="120">
        <v>0</v>
      </c>
      <c r="E48" s="120">
        <v>0</v>
      </c>
      <c r="F48" s="120">
        <v>0</v>
      </c>
      <c r="G48" s="421">
        <v>0</v>
      </c>
      <c r="H48" s="421">
        <v>0</v>
      </c>
      <c r="I48" s="120">
        <v>0</v>
      </c>
      <c r="J48" s="120">
        <v>0</v>
      </c>
      <c r="K48" s="120">
        <f t="shared" si="4"/>
        <v>0</v>
      </c>
      <c r="L48" s="288">
        <f t="shared" si="5"/>
        <v>0</v>
      </c>
      <c r="M48" s="262"/>
      <c r="N48" s="262"/>
    </row>
    <row r="49" spans="1:14" x14ac:dyDescent="0.25">
      <c r="A49" s="210">
        <v>3407</v>
      </c>
      <c r="B49" s="211" t="s">
        <v>79</v>
      </c>
      <c r="C49" s="266">
        <v>0</v>
      </c>
      <c r="D49" s="120">
        <v>0</v>
      </c>
      <c r="E49" s="120">
        <v>0</v>
      </c>
      <c r="F49" s="120">
        <v>0</v>
      </c>
      <c r="G49" s="421">
        <v>0</v>
      </c>
      <c r="H49" s="421">
        <v>0</v>
      </c>
      <c r="I49" s="120">
        <v>0</v>
      </c>
      <c r="J49" s="120">
        <v>0</v>
      </c>
      <c r="K49" s="120">
        <f t="shared" si="4"/>
        <v>0</v>
      </c>
      <c r="L49" s="288">
        <f t="shared" si="5"/>
        <v>0</v>
      </c>
      <c r="M49" s="262"/>
      <c r="N49" s="262"/>
    </row>
    <row r="50" spans="1:14" x14ac:dyDescent="0.25">
      <c r="A50" s="210">
        <v>3501</v>
      </c>
      <c r="B50" s="211" t="s">
        <v>80</v>
      </c>
      <c r="C50" s="266">
        <v>13</v>
      </c>
      <c r="D50" s="120">
        <v>0</v>
      </c>
      <c r="E50" s="120">
        <v>0</v>
      </c>
      <c r="F50" s="120">
        <v>0</v>
      </c>
      <c r="G50" s="421">
        <v>0</v>
      </c>
      <c r="H50" s="421">
        <v>0</v>
      </c>
      <c r="I50" s="120">
        <v>0</v>
      </c>
      <c r="J50" s="120">
        <v>0</v>
      </c>
      <c r="K50" s="120">
        <f t="shared" si="4"/>
        <v>13</v>
      </c>
      <c r="L50" s="288">
        <f t="shared" si="5"/>
        <v>0</v>
      </c>
      <c r="M50" s="262"/>
      <c r="N50" s="262"/>
    </row>
    <row r="51" spans="1:14" x14ac:dyDescent="0.25">
      <c r="A51" s="210">
        <v>3502</v>
      </c>
      <c r="B51" s="211" t="s">
        <v>81</v>
      </c>
      <c r="C51" s="266">
        <v>11</v>
      </c>
      <c r="D51" s="120">
        <v>0</v>
      </c>
      <c r="E51" s="120">
        <v>0</v>
      </c>
      <c r="F51" s="120">
        <v>0</v>
      </c>
      <c r="G51" s="421">
        <v>0</v>
      </c>
      <c r="H51" s="421">
        <v>0</v>
      </c>
      <c r="I51" s="120">
        <v>0</v>
      </c>
      <c r="J51" s="120">
        <v>0</v>
      </c>
      <c r="K51" s="120">
        <f t="shared" si="4"/>
        <v>11</v>
      </c>
      <c r="L51" s="288">
        <f t="shared" si="5"/>
        <v>0</v>
      </c>
      <c r="M51" s="262"/>
      <c r="N51" s="262"/>
    </row>
    <row r="52" spans="1:14" ht="30" x14ac:dyDescent="0.25">
      <c r="A52" s="210">
        <v>3503</v>
      </c>
      <c r="B52" s="211" t="s">
        <v>82</v>
      </c>
      <c r="C52" s="266">
        <v>16</v>
      </c>
      <c r="D52" s="120">
        <v>0</v>
      </c>
      <c r="E52" s="120">
        <v>0</v>
      </c>
      <c r="F52" s="120">
        <v>0</v>
      </c>
      <c r="G52" s="421">
        <v>0</v>
      </c>
      <c r="H52" s="421">
        <v>0</v>
      </c>
      <c r="I52" s="120">
        <v>0</v>
      </c>
      <c r="J52" s="120">
        <v>0</v>
      </c>
      <c r="K52" s="120">
        <f t="shared" si="4"/>
        <v>16</v>
      </c>
      <c r="L52" s="288">
        <f t="shared" si="5"/>
        <v>0</v>
      </c>
      <c r="M52" s="262"/>
      <c r="N52" s="262"/>
    </row>
    <row r="53" spans="1:14" x14ac:dyDescent="0.25">
      <c r="A53" s="210">
        <v>3504</v>
      </c>
      <c r="B53" s="211" t="s">
        <v>83</v>
      </c>
      <c r="C53" s="266">
        <v>5</v>
      </c>
      <c r="D53" s="120">
        <v>0</v>
      </c>
      <c r="E53" s="120">
        <v>0</v>
      </c>
      <c r="F53" s="120">
        <v>0</v>
      </c>
      <c r="G53" s="421">
        <v>0</v>
      </c>
      <c r="H53" s="421">
        <v>0</v>
      </c>
      <c r="I53" s="120">
        <v>0</v>
      </c>
      <c r="J53" s="120">
        <v>0</v>
      </c>
      <c r="K53" s="120">
        <f t="shared" si="4"/>
        <v>5</v>
      </c>
      <c r="L53" s="288">
        <f t="shared" si="5"/>
        <v>0</v>
      </c>
      <c r="M53" s="262"/>
      <c r="N53" s="262"/>
    </row>
    <row r="54" spans="1:14" x14ac:dyDescent="0.25">
      <c r="A54" s="210">
        <v>3505</v>
      </c>
      <c r="B54" s="211" t="s">
        <v>84</v>
      </c>
      <c r="C54" s="266">
        <v>5</v>
      </c>
      <c r="D54" s="120">
        <v>0</v>
      </c>
      <c r="E54" s="120">
        <v>0</v>
      </c>
      <c r="F54" s="120">
        <v>0</v>
      </c>
      <c r="G54" s="421">
        <v>0</v>
      </c>
      <c r="H54" s="421">
        <v>0</v>
      </c>
      <c r="I54" s="120">
        <v>0</v>
      </c>
      <c r="J54" s="120">
        <v>0</v>
      </c>
      <c r="K54" s="120">
        <f t="shared" si="4"/>
        <v>5</v>
      </c>
      <c r="L54" s="288">
        <f t="shared" si="5"/>
        <v>0</v>
      </c>
      <c r="M54" s="262"/>
      <c r="N54" s="262"/>
    </row>
    <row r="55" spans="1:14" x14ac:dyDescent="0.25">
      <c r="A55" s="210">
        <v>3506</v>
      </c>
      <c r="B55" s="211" t="s">
        <v>85</v>
      </c>
      <c r="C55" s="266">
        <v>5</v>
      </c>
      <c r="D55" s="120">
        <v>0</v>
      </c>
      <c r="E55" s="120">
        <v>0</v>
      </c>
      <c r="F55" s="120">
        <v>0</v>
      </c>
      <c r="G55" s="421">
        <v>0</v>
      </c>
      <c r="H55" s="421">
        <v>0</v>
      </c>
      <c r="I55" s="120">
        <v>0</v>
      </c>
      <c r="J55" s="120">
        <v>0</v>
      </c>
      <c r="K55" s="120">
        <f t="shared" si="4"/>
        <v>5</v>
      </c>
      <c r="L55" s="288">
        <f t="shared" si="5"/>
        <v>0</v>
      </c>
      <c r="M55" s="262"/>
      <c r="N55" s="262"/>
    </row>
    <row r="56" spans="1:14" x14ac:dyDescent="0.25">
      <c r="A56" s="210">
        <v>3507</v>
      </c>
      <c r="B56" s="211" t="s">
        <v>86</v>
      </c>
      <c r="C56" s="266">
        <v>0</v>
      </c>
      <c r="D56" s="120">
        <v>0</v>
      </c>
      <c r="E56" s="120">
        <v>0</v>
      </c>
      <c r="F56" s="120">
        <v>0</v>
      </c>
      <c r="G56" s="421">
        <v>0</v>
      </c>
      <c r="H56" s="421">
        <v>0</v>
      </c>
      <c r="I56" s="120">
        <v>0</v>
      </c>
      <c r="J56" s="120">
        <v>0</v>
      </c>
      <c r="K56" s="120">
        <f t="shared" si="4"/>
        <v>0</v>
      </c>
      <c r="L56" s="288">
        <f t="shared" si="5"/>
        <v>0</v>
      </c>
      <c r="M56" s="262"/>
      <c r="N56" s="262"/>
    </row>
    <row r="57" spans="1:14" x14ac:dyDescent="0.25">
      <c r="A57" s="210">
        <v>3601</v>
      </c>
      <c r="B57" s="211" t="s">
        <v>87</v>
      </c>
      <c r="C57" s="266">
        <v>6</v>
      </c>
      <c r="D57" s="120">
        <v>0</v>
      </c>
      <c r="E57" s="120">
        <v>0</v>
      </c>
      <c r="F57" s="120">
        <v>0</v>
      </c>
      <c r="G57" s="421">
        <v>0</v>
      </c>
      <c r="H57" s="421">
        <v>0</v>
      </c>
      <c r="I57" s="120">
        <v>0</v>
      </c>
      <c r="J57" s="120">
        <v>0</v>
      </c>
      <c r="K57" s="120">
        <f t="shared" si="4"/>
        <v>6</v>
      </c>
      <c r="L57" s="288">
        <f t="shared" si="5"/>
        <v>0</v>
      </c>
      <c r="M57" s="262"/>
      <c r="N57" s="262"/>
    </row>
    <row r="58" spans="1:14" x14ac:dyDescent="0.25">
      <c r="A58" s="210">
        <v>3602</v>
      </c>
      <c r="B58" s="211" t="s">
        <v>88</v>
      </c>
      <c r="C58" s="266">
        <v>41</v>
      </c>
      <c r="D58" s="120">
        <v>0</v>
      </c>
      <c r="E58" s="120">
        <v>0</v>
      </c>
      <c r="F58" s="120">
        <v>0</v>
      </c>
      <c r="G58" s="421">
        <v>0</v>
      </c>
      <c r="H58" s="421">
        <v>0</v>
      </c>
      <c r="I58" s="120">
        <v>0</v>
      </c>
      <c r="J58" s="120">
        <v>0</v>
      </c>
      <c r="K58" s="120">
        <f t="shared" si="4"/>
        <v>41</v>
      </c>
      <c r="L58" s="288">
        <f t="shared" si="5"/>
        <v>0</v>
      </c>
      <c r="M58" s="262"/>
      <c r="N58" s="262"/>
    </row>
    <row r="59" spans="1:14" x14ac:dyDescent="0.25">
      <c r="A59" s="210">
        <v>3603</v>
      </c>
      <c r="B59" s="211" t="s">
        <v>89</v>
      </c>
      <c r="C59" s="266">
        <v>31</v>
      </c>
      <c r="D59" s="120">
        <v>0</v>
      </c>
      <c r="E59" s="120">
        <v>0</v>
      </c>
      <c r="F59" s="120">
        <v>0</v>
      </c>
      <c r="G59" s="421">
        <v>0</v>
      </c>
      <c r="H59" s="421">
        <v>0</v>
      </c>
      <c r="I59" s="120">
        <v>0</v>
      </c>
      <c r="J59" s="120">
        <v>0</v>
      </c>
      <c r="K59" s="120">
        <f t="shared" si="4"/>
        <v>31</v>
      </c>
      <c r="L59" s="288">
        <f t="shared" si="5"/>
        <v>0</v>
      </c>
      <c r="M59" s="262"/>
      <c r="N59" s="262"/>
    </row>
    <row r="60" spans="1:14" x14ac:dyDescent="0.25">
      <c r="A60" s="210">
        <v>3701</v>
      </c>
      <c r="B60" s="211" t="s">
        <v>90</v>
      </c>
      <c r="C60" s="266">
        <v>22</v>
      </c>
      <c r="D60" s="120">
        <v>0</v>
      </c>
      <c r="E60" s="120">
        <v>0</v>
      </c>
      <c r="F60" s="120">
        <v>0</v>
      </c>
      <c r="G60" s="421">
        <v>0</v>
      </c>
      <c r="H60" s="421">
        <v>0</v>
      </c>
      <c r="I60" s="120">
        <v>0</v>
      </c>
      <c r="J60" s="120">
        <v>0</v>
      </c>
      <c r="K60" s="120">
        <f t="shared" si="4"/>
        <v>22</v>
      </c>
      <c r="L60" s="288">
        <f t="shared" si="5"/>
        <v>0</v>
      </c>
      <c r="M60" s="262"/>
      <c r="N60" s="262"/>
    </row>
    <row r="61" spans="1:14" x14ac:dyDescent="0.25">
      <c r="A61" s="210">
        <v>3702</v>
      </c>
      <c r="B61" s="211" t="s">
        <v>91</v>
      </c>
      <c r="C61" s="266">
        <v>0</v>
      </c>
      <c r="D61" s="120">
        <v>0</v>
      </c>
      <c r="E61" s="120">
        <v>0</v>
      </c>
      <c r="F61" s="120">
        <v>0</v>
      </c>
      <c r="G61" s="421">
        <v>0</v>
      </c>
      <c r="H61" s="421">
        <v>0</v>
      </c>
      <c r="I61" s="120">
        <v>0</v>
      </c>
      <c r="J61" s="120">
        <v>0</v>
      </c>
      <c r="K61" s="120">
        <f t="shared" si="4"/>
        <v>0</v>
      </c>
      <c r="L61" s="288">
        <f t="shared" si="5"/>
        <v>0</v>
      </c>
      <c r="M61" s="262"/>
      <c r="N61" s="262"/>
    </row>
    <row r="62" spans="1:14" x14ac:dyDescent="0.25">
      <c r="A62" s="210">
        <v>3801</v>
      </c>
      <c r="B62" s="211" t="s">
        <v>92</v>
      </c>
      <c r="C62" s="266">
        <v>11</v>
      </c>
      <c r="D62" s="120">
        <v>2</v>
      </c>
      <c r="E62" s="120">
        <v>0</v>
      </c>
      <c r="F62" s="120">
        <v>0</v>
      </c>
      <c r="G62" s="421">
        <v>0</v>
      </c>
      <c r="H62" s="421">
        <v>0</v>
      </c>
      <c r="I62" s="120">
        <v>0</v>
      </c>
      <c r="J62" s="120">
        <v>0</v>
      </c>
      <c r="K62" s="120">
        <f t="shared" si="4"/>
        <v>11</v>
      </c>
      <c r="L62" s="288">
        <f t="shared" si="5"/>
        <v>2</v>
      </c>
      <c r="M62" s="262"/>
      <c r="N62" s="262"/>
    </row>
    <row r="63" spans="1:14" x14ac:dyDescent="0.25">
      <c r="A63" s="204">
        <v>3802</v>
      </c>
      <c r="B63" s="205" t="s">
        <v>93</v>
      </c>
      <c r="C63" s="266">
        <v>25</v>
      </c>
      <c r="D63" s="120">
        <v>1</v>
      </c>
      <c r="E63" s="120">
        <v>0</v>
      </c>
      <c r="F63" s="120">
        <v>0</v>
      </c>
      <c r="G63" s="421">
        <v>0</v>
      </c>
      <c r="H63" s="421">
        <v>0</v>
      </c>
      <c r="I63" s="120">
        <v>0</v>
      </c>
      <c r="J63" s="120">
        <v>0</v>
      </c>
      <c r="K63" s="209">
        <f t="shared" si="4"/>
        <v>25</v>
      </c>
      <c r="L63" s="287">
        <f t="shared" si="5"/>
        <v>1</v>
      </c>
      <c r="M63" s="262"/>
      <c r="N63" s="262"/>
    </row>
    <row r="64" spans="1:14" x14ac:dyDescent="0.25">
      <c r="A64" s="216">
        <v>4000</v>
      </c>
      <c r="B64" s="217" t="s">
        <v>94</v>
      </c>
      <c r="C64" s="280"/>
      <c r="D64" s="281"/>
      <c r="E64" s="282"/>
      <c r="F64" s="282"/>
      <c r="G64" s="282"/>
      <c r="H64" s="282"/>
      <c r="I64" s="443"/>
      <c r="J64" s="443"/>
      <c r="K64" s="203"/>
      <c r="L64" s="286"/>
      <c r="M64" s="262"/>
      <c r="N64" s="1"/>
    </row>
    <row r="65" spans="1:14" x14ac:dyDescent="0.25">
      <c r="A65" s="204">
        <v>4101</v>
      </c>
      <c r="B65" s="205" t="s">
        <v>95</v>
      </c>
      <c r="C65" s="268">
        <v>0</v>
      </c>
      <c r="D65" s="209">
        <v>0</v>
      </c>
      <c r="E65" s="275">
        <v>0</v>
      </c>
      <c r="F65" s="275">
        <v>0</v>
      </c>
      <c r="G65" s="275">
        <v>0</v>
      </c>
      <c r="H65" s="275">
        <v>0</v>
      </c>
      <c r="I65" s="440">
        <v>0</v>
      </c>
      <c r="J65" s="440">
        <v>0</v>
      </c>
      <c r="K65" s="209">
        <f t="shared" ref="K65:K94" si="6">C65+E65-G65-I65</f>
        <v>0</v>
      </c>
      <c r="L65" s="287">
        <f t="shared" ref="L65:L94" si="7">D65+F65-H65-J65</f>
        <v>0</v>
      </c>
      <c r="M65" s="262"/>
      <c r="N65" s="262"/>
    </row>
    <row r="66" spans="1:14" x14ac:dyDescent="0.25">
      <c r="A66" s="210">
        <v>4102</v>
      </c>
      <c r="B66" s="211" t="s">
        <v>96</v>
      </c>
      <c r="C66" s="266">
        <v>0</v>
      </c>
      <c r="D66" s="120">
        <v>0</v>
      </c>
      <c r="E66" s="276">
        <v>0</v>
      </c>
      <c r="F66" s="276">
        <v>0</v>
      </c>
      <c r="G66" s="276">
        <v>0</v>
      </c>
      <c r="H66" s="276">
        <v>0</v>
      </c>
      <c r="I66" s="441">
        <v>0</v>
      </c>
      <c r="J66" s="441">
        <v>0</v>
      </c>
      <c r="K66" s="120">
        <f t="shared" si="6"/>
        <v>0</v>
      </c>
      <c r="L66" s="288">
        <f t="shared" si="7"/>
        <v>0</v>
      </c>
      <c r="M66" s="262"/>
      <c r="N66" s="262"/>
    </row>
    <row r="67" spans="1:14" x14ac:dyDescent="0.25">
      <c r="A67" s="210">
        <v>4103</v>
      </c>
      <c r="B67" s="211" t="s">
        <v>97</v>
      </c>
      <c r="C67" s="266">
        <v>0</v>
      </c>
      <c r="D67" s="120">
        <v>0</v>
      </c>
      <c r="E67" s="276">
        <v>0</v>
      </c>
      <c r="F67" s="276">
        <v>0</v>
      </c>
      <c r="G67" s="276">
        <v>0</v>
      </c>
      <c r="H67" s="276">
        <v>0</v>
      </c>
      <c r="I67" s="441">
        <v>0</v>
      </c>
      <c r="J67" s="441">
        <v>0</v>
      </c>
      <c r="K67" s="120">
        <f t="shared" si="6"/>
        <v>0</v>
      </c>
      <c r="L67" s="288">
        <f t="shared" si="7"/>
        <v>0</v>
      </c>
      <c r="M67" s="262"/>
      <c r="N67" s="262"/>
    </row>
    <row r="68" spans="1:14" x14ac:dyDescent="0.25">
      <c r="A68" s="210">
        <v>4104</v>
      </c>
      <c r="B68" s="211" t="s">
        <v>98</v>
      </c>
      <c r="C68" s="266">
        <v>0</v>
      </c>
      <c r="D68" s="120">
        <v>0</v>
      </c>
      <c r="E68" s="276">
        <v>0</v>
      </c>
      <c r="F68" s="276">
        <v>0</v>
      </c>
      <c r="G68" s="276">
        <v>0</v>
      </c>
      <c r="H68" s="276">
        <v>0</v>
      </c>
      <c r="I68" s="441">
        <v>0</v>
      </c>
      <c r="J68" s="441">
        <v>0</v>
      </c>
      <c r="K68" s="120">
        <f t="shared" si="6"/>
        <v>0</v>
      </c>
      <c r="L68" s="288">
        <f t="shared" si="7"/>
        <v>0</v>
      </c>
      <c r="M68" s="262"/>
      <c r="N68" s="262"/>
    </row>
    <row r="69" spans="1:14" x14ac:dyDescent="0.25">
      <c r="A69" s="210">
        <v>4105</v>
      </c>
      <c r="B69" s="211" t="s">
        <v>99</v>
      </c>
      <c r="C69" s="266">
        <v>0</v>
      </c>
      <c r="D69" s="120">
        <v>0</v>
      </c>
      <c r="E69" s="276">
        <v>0</v>
      </c>
      <c r="F69" s="276">
        <v>0</v>
      </c>
      <c r="G69" s="276">
        <v>0</v>
      </c>
      <c r="H69" s="276">
        <v>0</v>
      </c>
      <c r="I69" s="441">
        <v>0</v>
      </c>
      <c r="J69" s="441">
        <v>0</v>
      </c>
      <c r="K69" s="120">
        <f t="shared" si="6"/>
        <v>0</v>
      </c>
      <c r="L69" s="288">
        <f t="shared" si="7"/>
        <v>0</v>
      </c>
      <c r="M69" s="262"/>
      <c r="N69" s="262"/>
    </row>
    <row r="70" spans="1:14" x14ac:dyDescent="0.25">
      <c r="A70" s="210">
        <v>4106</v>
      </c>
      <c r="B70" s="211" t="s">
        <v>100</v>
      </c>
      <c r="C70" s="266">
        <v>0</v>
      </c>
      <c r="D70" s="120">
        <v>0</v>
      </c>
      <c r="E70" s="276">
        <v>0</v>
      </c>
      <c r="F70" s="276">
        <v>0</v>
      </c>
      <c r="G70" s="276">
        <v>0</v>
      </c>
      <c r="H70" s="276">
        <v>0</v>
      </c>
      <c r="I70" s="441">
        <v>0</v>
      </c>
      <c r="J70" s="441">
        <v>0</v>
      </c>
      <c r="K70" s="120">
        <f t="shared" si="6"/>
        <v>0</v>
      </c>
      <c r="L70" s="288">
        <f t="shared" si="7"/>
        <v>0</v>
      </c>
      <c r="M70" s="262"/>
      <c r="N70" s="262"/>
    </row>
    <row r="71" spans="1:14" x14ac:dyDescent="0.25">
      <c r="A71" s="210">
        <v>4107</v>
      </c>
      <c r="B71" s="211" t="s">
        <v>101</v>
      </c>
      <c r="C71" s="266">
        <v>0</v>
      </c>
      <c r="D71" s="120">
        <v>0</v>
      </c>
      <c r="E71" s="276">
        <v>0</v>
      </c>
      <c r="F71" s="276">
        <v>0</v>
      </c>
      <c r="G71" s="276">
        <v>0</v>
      </c>
      <c r="H71" s="276">
        <v>0</v>
      </c>
      <c r="I71" s="441">
        <v>0</v>
      </c>
      <c r="J71" s="441">
        <v>0</v>
      </c>
      <c r="K71" s="120">
        <f t="shared" si="6"/>
        <v>0</v>
      </c>
      <c r="L71" s="288">
        <f t="shared" si="7"/>
        <v>0</v>
      </c>
      <c r="M71" s="262"/>
      <c r="N71" s="262"/>
    </row>
    <row r="72" spans="1:14" x14ac:dyDescent="0.25">
      <c r="A72" s="210">
        <v>4108</v>
      </c>
      <c r="B72" s="211" t="s">
        <v>102</v>
      </c>
      <c r="C72" s="266">
        <v>0</v>
      </c>
      <c r="D72" s="120">
        <v>0</v>
      </c>
      <c r="E72" s="276">
        <v>0</v>
      </c>
      <c r="F72" s="276">
        <v>0</v>
      </c>
      <c r="G72" s="276">
        <v>0</v>
      </c>
      <c r="H72" s="276">
        <v>0</v>
      </c>
      <c r="I72" s="441">
        <v>0</v>
      </c>
      <c r="J72" s="441">
        <v>0</v>
      </c>
      <c r="K72" s="120">
        <f t="shared" si="6"/>
        <v>0</v>
      </c>
      <c r="L72" s="288">
        <f t="shared" si="7"/>
        <v>0</v>
      </c>
      <c r="M72" s="262"/>
      <c r="N72" s="262"/>
    </row>
    <row r="73" spans="1:14" x14ac:dyDescent="0.25">
      <c r="A73" s="210">
        <v>4109</v>
      </c>
      <c r="B73" s="211" t="s">
        <v>103</v>
      </c>
      <c r="C73" s="266">
        <v>0</v>
      </c>
      <c r="D73" s="120">
        <v>0</v>
      </c>
      <c r="E73" s="276">
        <v>0</v>
      </c>
      <c r="F73" s="276">
        <v>0</v>
      </c>
      <c r="G73" s="276">
        <v>0</v>
      </c>
      <c r="H73" s="276">
        <v>0</v>
      </c>
      <c r="I73" s="441">
        <v>0</v>
      </c>
      <c r="J73" s="441">
        <v>0</v>
      </c>
      <c r="K73" s="120">
        <f t="shared" si="6"/>
        <v>0</v>
      </c>
      <c r="L73" s="288">
        <f t="shared" si="7"/>
        <v>0</v>
      </c>
      <c r="M73" s="262"/>
      <c r="N73" s="262"/>
    </row>
    <row r="74" spans="1:14" x14ac:dyDescent="0.25">
      <c r="A74" s="210">
        <v>4110</v>
      </c>
      <c r="B74" s="211" t="s">
        <v>104</v>
      </c>
      <c r="C74" s="266">
        <v>0</v>
      </c>
      <c r="D74" s="120">
        <v>0</v>
      </c>
      <c r="E74" s="276">
        <v>0</v>
      </c>
      <c r="F74" s="276">
        <v>0</v>
      </c>
      <c r="G74" s="276">
        <v>0</v>
      </c>
      <c r="H74" s="276">
        <v>0</v>
      </c>
      <c r="I74" s="441">
        <v>0</v>
      </c>
      <c r="J74" s="441">
        <v>0</v>
      </c>
      <c r="K74" s="120">
        <f t="shared" si="6"/>
        <v>0</v>
      </c>
      <c r="L74" s="288">
        <f t="shared" si="7"/>
        <v>0</v>
      </c>
      <c r="M74" s="262"/>
      <c r="N74" s="262"/>
    </row>
    <row r="75" spans="1:14" x14ac:dyDescent="0.25">
      <c r="A75" s="210">
        <v>4111</v>
      </c>
      <c r="B75" s="211" t="s">
        <v>105</v>
      </c>
      <c r="C75" s="266">
        <v>0</v>
      </c>
      <c r="D75" s="120">
        <v>0</v>
      </c>
      <c r="E75" s="276">
        <v>0</v>
      </c>
      <c r="F75" s="276">
        <v>0</v>
      </c>
      <c r="G75" s="276">
        <v>0</v>
      </c>
      <c r="H75" s="276">
        <v>0</v>
      </c>
      <c r="I75" s="441">
        <v>0</v>
      </c>
      <c r="J75" s="441">
        <v>0</v>
      </c>
      <c r="K75" s="120">
        <f t="shared" si="6"/>
        <v>0</v>
      </c>
      <c r="L75" s="288">
        <f t="shared" si="7"/>
        <v>0</v>
      </c>
      <c r="M75" s="262"/>
      <c r="N75" s="262"/>
    </row>
    <row r="76" spans="1:14" x14ac:dyDescent="0.25">
      <c r="A76" s="210">
        <v>4112</v>
      </c>
      <c r="B76" s="211" t="s">
        <v>106</v>
      </c>
      <c r="C76" s="266">
        <v>0</v>
      </c>
      <c r="D76" s="120">
        <v>0</v>
      </c>
      <c r="E76" s="276">
        <v>0</v>
      </c>
      <c r="F76" s="276">
        <v>0</v>
      </c>
      <c r="G76" s="276">
        <v>0</v>
      </c>
      <c r="H76" s="276">
        <v>0</v>
      </c>
      <c r="I76" s="441">
        <v>0</v>
      </c>
      <c r="J76" s="441">
        <v>0</v>
      </c>
      <c r="K76" s="120">
        <f t="shared" si="6"/>
        <v>0</v>
      </c>
      <c r="L76" s="288">
        <f t="shared" si="7"/>
        <v>0</v>
      </c>
      <c r="M76" s="262"/>
      <c r="N76" s="262"/>
    </row>
    <row r="77" spans="1:14" x14ac:dyDescent="0.25">
      <c r="A77" s="210">
        <v>4113</v>
      </c>
      <c r="B77" s="211" t="s">
        <v>107</v>
      </c>
      <c r="C77" s="266">
        <v>0</v>
      </c>
      <c r="D77" s="120">
        <v>0</v>
      </c>
      <c r="E77" s="276">
        <v>0</v>
      </c>
      <c r="F77" s="276">
        <v>0</v>
      </c>
      <c r="G77" s="276">
        <v>0</v>
      </c>
      <c r="H77" s="276">
        <v>0</v>
      </c>
      <c r="I77" s="441">
        <v>0</v>
      </c>
      <c r="J77" s="441">
        <v>0</v>
      </c>
      <c r="K77" s="120">
        <f t="shared" si="6"/>
        <v>0</v>
      </c>
      <c r="L77" s="288">
        <f t="shared" si="7"/>
        <v>0</v>
      </c>
      <c r="M77" s="262"/>
      <c r="N77" s="262"/>
    </row>
    <row r="78" spans="1:14" x14ac:dyDescent="0.25">
      <c r="A78" s="210">
        <v>4114</v>
      </c>
      <c r="B78" s="211" t="s">
        <v>108</v>
      </c>
      <c r="C78" s="266">
        <v>0</v>
      </c>
      <c r="D78" s="120">
        <v>0</v>
      </c>
      <c r="E78" s="276">
        <v>0</v>
      </c>
      <c r="F78" s="276">
        <v>0</v>
      </c>
      <c r="G78" s="276">
        <v>0</v>
      </c>
      <c r="H78" s="276">
        <v>0</v>
      </c>
      <c r="I78" s="441">
        <v>0</v>
      </c>
      <c r="J78" s="441">
        <v>0</v>
      </c>
      <c r="K78" s="120">
        <f t="shared" si="6"/>
        <v>0</v>
      </c>
      <c r="L78" s="288">
        <f t="shared" si="7"/>
        <v>0</v>
      </c>
      <c r="M78" s="262"/>
      <c r="N78" s="262"/>
    </row>
    <row r="79" spans="1:14" x14ac:dyDescent="0.25">
      <c r="A79" s="210">
        <v>4115</v>
      </c>
      <c r="B79" s="211" t="s">
        <v>109</v>
      </c>
      <c r="C79" s="266">
        <v>0</v>
      </c>
      <c r="D79" s="120">
        <v>0</v>
      </c>
      <c r="E79" s="276">
        <v>0</v>
      </c>
      <c r="F79" s="276">
        <v>0</v>
      </c>
      <c r="G79" s="276">
        <v>0</v>
      </c>
      <c r="H79" s="276">
        <v>0</v>
      </c>
      <c r="I79" s="441">
        <v>0</v>
      </c>
      <c r="J79" s="441">
        <v>0</v>
      </c>
      <c r="K79" s="120">
        <f t="shared" si="6"/>
        <v>0</v>
      </c>
      <c r="L79" s="288">
        <f t="shared" si="7"/>
        <v>0</v>
      </c>
      <c r="M79" s="262"/>
      <c r="N79" s="262"/>
    </row>
    <row r="80" spans="1:14" x14ac:dyDescent="0.25">
      <c r="A80" s="210">
        <v>4116</v>
      </c>
      <c r="B80" s="211" t="s">
        <v>110</v>
      </c>
      <c r="C80" s="266">
        <v>0</v>
      </c>
      <c r="D80" s="120">
        <v>0</v>
      </c>
      <c r="E80" s="276">
        <v>0</v>
      </c>
      <c r="F80" s="276">
        <v>0</v>
      </c>
      <c r="G80" s="276">
        <v>0</v>
      </c>
      <c r="H80" s="276">
        <v>0</v>
      </c>
      <c r="I80" s="441">
        <v>0</v>
      </c>
      <c r="J80" s="441">
        <v>0</v>
      </c>
      <c r="K80" s="120">
        <f t="shared" si="6"/>
        <v>0</v>
      </c>
      <c r="L80" s="288">
        <f t="shared" si="7"/>
        <v>0</v>
      </c>
      <c r="M80" s="262"/>
      <c r="N80" s="262"/>
    </row>
    <row r="81" spans="1:16" x14ac:dyDescent="0.25">
      <c r="A81" s="210">
        <v>4117</v>
      </c>
      <c r="B81" s="211" t="s">
        <v>111</v>
      </c>
      <c r="C81" s="266">
        <v>0</v>
      </c>
      <c r="D81" s="120">
        <v>0</v>
      </c>
      <c r="E81" s="276">
        <v>0</v>
      </c>
      <c r="F81" s="276">
        <v>0</v>
      </c>
      <c r="G81" s="276">
        <v>0</v>
      </c>
      <c r="H81" s="276">
        <v>0</v>
      </c>
      <c r="I81" s="441">
        <v>0</v>
      </c>
      <c r="J81" s="441">
        <v>0</v>
      </c>
      <c r="K81" s="120">
        <f t="shared" si="6"/>
        <v>0</v>
      </c>
      <c r="L81" s="288">
        <f t="shared" si="7"/>
        <v>0</v>
      </c>
      <c r="M81" s="262"/>
      <c r="N81" s="262"/>
    </row>
    <row r="82" spans="1:16" x14ac:dyDescent="0.25">
      <c r="A82" s="210">
        <v>4118</v>
      </c>
      <c r="B82" s="211" t="s">
        <v>112</v>
      </c>
      <c r="C82" s="266">
        <v>0</v>
      </c>
      <c r="D82" s="120">
        <v>0</v>
      </c>
      <c r="E82" s="276">
        <v>0</v>
      </c>
      <c r="F82" s="276">
        <v>0</v>
      </c>
      <c r="G82" s="276">
        <v>0</v>
      </c>
      <c r="H82" s="276">
        <v>0</v>
      </c>
      <c r="I82" s="441">
        <v>0</v>
      </c>
      <c r="J82" s="441">
        <v>0</v>
      </c>
      <c r="K82" s="120">
        <f t="shared" si="6"/>
        <v>0</v>
      </c>
      <c r="L82" s="288">
        <f t="shared" si="7"/>
        <v>0</v>
      </c>
      <c r="M82" s="262"/>
      <c r="N82" s="262"/>
    </row>
    <row r="83" spans="1:16" x14ac:dyDescent="0.25">
      <c r="A83" s="210">
        <v>4119</v>
      </c>
      <c r="B83" s="211" t="s">
        <v>113</v>
      </c>
      <c r="C83" s="266">
        <v>0</v>
      </c>
      <c r="D83" s="120">
        <v>0</v>
      </c>
      <c r="E83" s="276">
        <v>0</v>
      </c>
      <c r="F83" s="276">
        <v>0</v>
      </c>
      <c r="G83" s="276">
        <v>0</v>
      </c>
      <c r="H83" s="276">
        <v>0</v>
      </c>
      <c r="I83" s="441">
        <v>0</v>
      </c>
      <c r="J83" s="441">
        <v>0</v>
      </c>
      <c r="K83" s="120">
        <f t="shared" si="6"/>
        <v>0</v>
      </c>
      <c r="L83" s="288">
        <f t="shared" si="7"/>
        <v>0</v>
      </c>
      <c r="M83" s="262"/>
      <c r="N83" s="262"/>
    </row>
    <row r="84" spans="1:16" x14ac:dyDescent="0.25">
      <c r="A84" s="210">
        <v>4120</v>
      </c>
      <c r="B84" s="211" t="s">
        <v>114</v>
      </c>
      <c r="C84" s="266">
        <v>0</v>
      </c>
      <c r="D84" s="120">
        <v>0</v>
      </c>
      <c r="E84" s="276">
        <v>0</v>
      </c>
      <c r="F84" s="276">
        <v>0</v>
      </c>
      <c r="G84" s="276">
        <v>0</v>
      </c>
      <c r="H84" s="276">
        <v>0</v>
      </c>
      <c r="I84" s="441">
        <v>0</v>
      </c>
      <c r="J84" s="441">
        <v>0</v>
      </c>
      <c r="K84" s="120">
        <f t="shared" si="6"/>
        <v>0</v>
      </c>
      <c r="L84" s="288">
        <f t="shared" si="7"/>
        <v>0</v>
      </c>
      <c r="M84" s="262"/>
      <c r="N84" s="262"/>
    </row>
    <row r="85" spans="1:16" x14ac:dyDescent="0.25">
      <c r="A85" s="210">
        <v>4121</v>
      </c>
      <c r="B85" s="211" t="s">
        <v>115</v>
      </c>
      <c r="C85" s="266">
        <v>0</v>
      </c>
      <c r="D85" s="120">
        <v>0</v>
      </c>
      <c r="E85" s="276">
        <v>0</v>
      </c>
      <c r="F85" s="276">
        <v>0</v>
      </c>
      <c r="G85" s="276">
        <v>0</v>
      </c>
      <c r="H85" s="276">
        <v>0</v>
      </c>
      <c r="I85" s="441">
        <v>0</v>
      </c>
      <c r="J85" s="441">
        <v>0</v>
      </c>
      <c r="K85" s="120">
        <f t="shared" si="6"/>
        <v>0</v>
      </c>
      <c r="L85" s="288">
        <f t="shared" si="7"/>
        <v>0</v>
      </c>
      <c r="M85" s="262"/>
      <c r="N85" s="262"/>
    </row>
    <row r="86" spans="1:16" x14ac:dyDescent="0.25">
      <c r="A86" s="210">
        <v>4122</v>
      </c>
      <c r="B86" s="211" t="s">
        <v>116</v>
      </c>
      <c r="C86" s="266">
        <v>0</v>
      </c>
      <c r="D86" s="120">
        <v>0</v>
      </c>
      <c r="E86" s="276">
        <v>0</v>
      </c>
      <c r="F86" s="276">
        <v>0</v>
      </c>
      <c r="G86" s="276">
        <v>0</v>
      </c>
      <c r="H86" s="276">
        <v>0</v>
      </c>
      <c r="I86" s="441">
        <v>0</v>
      </c>
      <c r="J86" s="441">
        <v>0</v>
      </c>
      <c r="K86" s="120">
        <f t="shared" si="6"/>
        <v>0</v>
      </c>
      <c r="L86" s="288">
        <f t="shared" si="7"/>
        <v>0</v>
      </c>
      <c r="M86" s="262"/>
      <c r="N86" s="262"/>
    </row>
    <row r="87" spans="1:16" x14ac:dyDescent="0.25">
      <c r="A87" s="210">
        <v>4123</v>
      </c>
      <c r="B87" s="211" t="s">
        <v>117</v>
      </c>
      <c r="C87" s="266">
        <v>0</v>
      </c>
      <c r="D87" s="120">
        <v>0</v>
      </c>
      <c r="E87" s="276">
        <v>0</v>
      </c>
      <c r="F87" s="276">
        <v>0</v>
      </c>
      <c r="G87" s="276">
        <v>0</v>
      </c>
      <c r="H87" s="276">
        <v>0</v>
      </c>
      <c r="I87" s="441">
        <v>0</v>
      </c>
      <c r="J87" s="441">
        <v>0</v>
      </c>
      <c r="K87" s="120">
        <f t="shared" si="6"/>
        <v>0</v>
      </c>
      <c r="L87" s="288">
        <f t="shared" si="7"/>
        <v>0</v>
      </c>
      <c r="M87" s="262"/>
      <c r="N87" s="262"/>
    </row>
    <row r="88" spans="1:16" x14ac:dyDescent="0.25">
      <c r="A88" s="210">
        <v>4124</v>
      </c>
      <c r="B88" s="211" t="s">
        <v>118</v>
      </c>
      <c r="C88" s="266">
        <v>0</v>
      </c>
      <c r="D88" s="120">
        <v>0</v>
      </c>
      <c r="E88" s="276">
        <v>0</v>
      </c>
      <c r="F88" s="276">
        <v>0</v>
      </c>
      <c r="G88" s="276">
        <v>0</v>
      </c>
      <c r="H88" s="276">
        <v>0</v>
      </c>
      <c r="I88" s="441">
        <v>0</v>
      </c>
      <c r="J88" s="441">
        <v>0</v>
      </c>
      <c r="K88" s="120">
        <f t="shared" si="6"/>
        <v>0</v>
      </c>
      <c r="L88" s="288">
        <f t="shared" si="7"/>
        <v>0</v>
      </c>
      <c r="M88" s="262"/>
      <c r="N88" s="262"/>
    </row>
    <row r="89" spans="1:16" x14ac:dyDescent="0.25">
      <c r="A89" s="210">
        <v>4125</v>
      </c>
      <c r="B89" s="211" t="s">
        <v>55</v>
      </c>
      <c r="C89" s="266">
        <v>0</v>
      </c>
      <c r="D89" s="120">
        <v>0</v>
      </c>
      <c r="E89" s="276">
        <v>0</v>
      </c>
      <c r="F89" s="276">
        <v>0</v>
      </c>
      <c r="G89" s="276">
        <v>0</v>
      </c>
      <c r="H89" s="276">
        <v>0</v>
      </c>
      <c r="I89" s="441">
        <v>0</v>
      </c>
      <c r="J89" s="441">
        <v>0</v>
      </c>
      <c r="K89" s="120">
        <f t="shared" si="6"/>
        <v>0</v>
      </c>
      <c r="L89" s="288">
        <f t="shared" si="7"/>
        <v>0</v>
      </c>
      <c r="M89" s="262"/>
      <c r="N89" s="262"/>
    </row>
    <row r="90" spans="1:16" x14ac:dyDescent="0.25">
      <c r="A90" s="210">
        <v>4126</v>
      </c>
      <c r="B90" s="211" t="s">
        <v>119</v>
      </c>
      <c r="C90" s="266">
        <v>0</v>
      </c>
      <c r="D90" s="120">
        <v>0</v>
      </c>
      <c r="E90" s="276">
        <v>0</v>
      </c>
      <c r="F90" s="276">
        <v>0</v>
      </c>
      <c r="G90" s="276">
        <v>0</v>
      </c>
      <c r="H90" s="276">
        <v>0</v>
      </c>
      <c r="I90" s="441">
        <v>0</v>
      </c>
      <c r="J90" s="441">
        <v>0</v>
      </c>
      <c r="K90" s="120">
        <f t="shared" si="6"/>
        <v>0</v>
      </c>
      <c r="L90" s="288">
        <f t="shared" si="7"/>
        <v>0</v>
      </c>
      <c r="M90" s="262"/>
      <c r="N90" s="262"/>
    </row>
    <row r="91" spans="1:16" x14ac:dyDescent="0.25">
      <c r="A91" s="210">
        <v>4127</v>
      </c>
      <c r="B91" s="211" t="s">
        <v>120</v>
      </c>
      <c r="C91" s="266">
        <v>0</v>
      </c>
      <c r="D91" s="120">
        <v>0</v>
      </c>
      <c r="E91" s="276">
        <v>0</v>
      </c>
      <c r="F91" s="276">
        <v>0</v>
      </c>
      <c r="G91" s="276">
        <v>0</v>
      </c>
      <c r="H91" s="276">
        <v>0</v>
      </c>
      <c r="I91" s="441">
        <v>0</v>
      </c>
      <c r="J91" s="441">
        <v>0</v>
      </c>
      <c r="K91" s="120">
        <f t="shared" si="6"/>
        <v>0</v>
      </c>
      <c r="L91" s="288">
        <f t="shared" si="7"/>
        <v>0</v>
      </c>
      <c r="M91" s="262"/>
      <c r="N91" s="262"/>
    </row>
    <row r="92" spans="1:16" x14ac:dyDescent="0.25">
      <c r="A92" s="210">
        <v>4128</v>
      </c>
      <c r="B92" s="211" t="s">
        <v>121</v>
      </c>
      <c r="C92" s="266">
        <v>0</v>
      </c>
      <c r="D92" s="120">
        <v>0</v>
      </c>
      <c r="E92" s="276">
        <v>0</v>
      </c>
      <c r="F92" s="276">
        <v>0</v>
      </c>
      <c r="G92" s="276">
        <v>0</v>
      </c>
      <c r="H92" s="276">
        <v>0</v>
      </c>
      <c r="I92" s="441">
        <v>0</v>
      </c>
      <c r="J92" s="441">
        <v>0</v>
      </c>
      <c r="K92" s="120">
        <f t="shared" si="6"/>
        <v>0</v>
      </c>
      <c r="L92" s="288">
        <f t="shared" si="7"/>
        <v>0</v>
      </c>
      <c r="M92" s="262"/>
      <c r="N92" s="262"/>
    </row>
    <row r="93" spans="1:16" x14ac:dyDescent="0.25">
      <c r="A93" s="210">
        <v>4129</v>
      </c>
      <c r="B93" s="211" t="s">
        <v>122</v>
      </c>
      <c r="C93" s="266">
        <v>0</v>
      </c>
      <c r="D93" s="120">
        <v>0</v>
      </c>
      <c r="E93" s="276">
        <v>0</v>
      </c>
      <c r="F93" s="276">
        <v>0</v>
      </c>
      <c r="G93" s="276">
        <v>0</v>
      </c>
      <c r="H93" s="276">
        <v>0</v>
      </c>
      <c r="I93" s="441">
        <v>0</v>
      </c>
      <c r="J93" s="441">
        <v>0</v>
      </c>
      <c r="K93" s="120">
        <f t="shared" si="6"/>
        <v>0</v>
      </c>
      <c r="L93" s="288">
        <f t="shared" si="7"/>
        <v>0</v>
      </c>
      <c r="M93" s="262"/>
      <c r="N93" s="262"/>
    </row>
    <row r="94" spans="1:16" x14ac:dyDescent="0.25">
      <c r="A94" s="204">
        <v>4199</v>
      </c>
      <c r="B94" s="205" t="s">
        <v>123</v>
      </c>
      <c r="C94" s="268">
        <v>0</v>
      </c>
      <c r="D94" s="209">
        <v>0</v>
      </c>
      <c r="E94" s="275">
        <v>0</v>
      </c>
      <c r="F94" s="275">
        <v>0</v>
      </c>
      <c r="G94" s="275">
        <v>0</v>
      </c>
      <c r="H94" s="275">
        <v>0</v>
      </c>
      <c r="I94" s="440">
        <v>0</v>
      </c>
      <c r="J94" s="440">
        <v>0</v>
      </c>
      <c r="K94" s="209">
        <f t="shared" si="6"/>
        <v>0</v>
      </c>
      <c r="L94" s="287">
        <f t="shared" si="7"/>
        <v>0</v>
      </c>
      <c r="M94" s="262"/>
      <c r="N94" s="262"/>
    </row>
    <row r="95" spans="1:16" x14ac:dyDescent="0.25">
      <c r="A95" s="289">
        <v>4200</v>
      </c>
      <c r="B95" s="290" t="s">
        <v>629</v>
      </c>
      <c r="C95" s="280"/>
      <c r="D95" s="281"/>
      <c r="E95" s="282"/>
      <c r="F95" s="282"/>
      <c r="G95" s="282"/>
      <c r="H95" s="282"/>
      <c r="I95" s="443"/>
      <c r="J95" s="443"/>
      <c r="K95" s="218"/>
      <c r="L95" s="233"/>
      <c r="M95" s="262"/>
      <c r="N95" s="262"/>
    </row>
    <row r="96" spans="1:16" x14ac:dyDescent="0.25">
      <c r="A96" s="204">
        <v>4201</v>
      </c>
      <c r="B96" s="205" t="s">
        <v>95</v>
      </c>
      <c r="C96" s="268">
        <v>0</v>
      </c>
      <c r="D96" s="209">
        <v>0</v>
      </c>
      <c r="E96" s="275">
        <v>0</v>
      </c>
      <c r="F96" s="275">
        <v>0</v>
      </c>
      <c r="G96" s="275">
        <v>0</v>
      </c>
      <c r="H96" s="275">
        <v>0</v>
      </c>
      <c r="I96" s="440">
        <v>0</v>
      </c>
      <c r="J96" s="440">
        <v>0</v>
      </c>
      <c r="K96" s="209">
        <f t="shared" ref="K96:K126" si="8">C96+E96-G96-I96</f>
        <v>0</v>
      </c>
      <c r="L96" s="287">
        <f t="shared" ref="L96:L126" si="9">D96+F96-H96-J96</f>
        <v>0</v>
      </c>
      <c r="M96" s="262"/>
      <c r="N96" s="262"/>
      <c r="O96" s="262"/>
      <c r="P96" s="262"/>
    </row>
    <row r="97" spans="1:16" x14ac:dyDescent="0.25">
      <c r="A97" s="210">
        <v>4202</v>
      </c>
      <c r="B97" s="211" t="s">
        <v>125</v>
      </c>
      <c r="C97" s="266">
        <v>0</v>
      </c>
      <c r="D97" s="120">
        <v>0</v>
      </c>
      <c r="E97" s="276">
        <v>0</v>
      </c>
      <c r="F97" s="276">
        <v>0</v>
      </c>
      <c r="G97" s="276">
        <v>0</v>
      </c>
      <c r="H97" s="276">
        <v>0</v>
      </c>
      <c r="I97" s="441">
        <v>0</v>
      </c>
      <c r="J97" s="441">
        <v>0</v>
      </c>
      <c r="K97" s="120">
        <f t="shared" si="8"/>
        <v>0</v>
      </c>
      <c r="L97" s="288">
        <f t="shared" si="9"/>
        <v>0</v>
      </c>
      <c r="M97" s="262"/>
      <c r="N97" s="262"/>
      <c r="O97" s="262"/>
      <c r="P97" s="262"/>
    </row>
    <row r="98" spans="1:16" x14ac:dyDescent="0.25">
      <c r="A98" s="210">
        <v>4203</v>
      </c>
      <c r="B98" s="211" t="s">
        <v>96</v>
      </c>
      <c r="C98" s="266">
        <v>0</v>
      </c>
      <c r="D98" s="120">
        <v>0</v>
      </c>
      <c r="E98" s="276">
        <v>0</v>
      </c>
      <c r="F98" s="276">
        <v>0</v>
      </c>
      <c r="G98" s="276">
        <v>0</v>
      </c>
      <c r="H98" s="276">
        <v>0</v>
      </c>
      <c r="I98" s="441">
        <v>0</v>
      </c>
      <c r="J98" s="441">
        <v>0</v>
      </c>
      <c r="K98" s="120">
        <f t="shared" si="8"/>
        <v>0</v>
      </c>
      <c r="L98" s="288">
        <f t="shared" si="9"/>
        <v>0</v>
      </c>
      <c r="M98" s="262"/>
      <c r="N98" s="262"/>
      <c r="O98" s="262"/>
      <c r="P98" s="262"/>
    </row>
    <row r="99" spans="1:16" x14ac:dyDescent="0.25">
      <c r="A99" s="210">
        <v>4204</v>
      </c>
      <c r="B99" s="211" t="s">
        <v>98</v>
      </c>
      <c r="C99" s="266">
        <v>0</v>
      </c>
      <c r="D99" s="120">
        <v>0</v>
      </c>
      <c r="E99" s="276">
        <v>0</v>
      </c>
      <c r="F99" s="276">
        <v>0</v>
      </c>
      <c r="G99" s="276">
        <v>0</v>
      </c>
      <c r="H99" s="276">
        <v>0</v>
      </c>
      <c r="I99" s="441">
        <v>0</v>
      </c>
      <c r="J99" s="441">
        <v>0</v>
      </c>
      <c r="K99" s="120">
        <f t="shared" si="8"/>
        <v>0</v>
      </c>
      <c r="L99" s="288">
        <f t="shared" si="9"/>
        <v>0</v>
      </c>
      <c r="M99" s="262"/>
      <c r="N99" s="262"/>
      <c r="O99" s="262"/>
      <c r="P99" s="262"/>
    </row>
    <row r="100" spans="1:16" x14ac:dyDescent="0.25">
      <c r="A100" s="210">
        <v>4205</v>
      </c>
      <c r="B100" s="211" t="s">
        <v>100</v>
      </c>
      <c r="C100" s="266">
        <v>0</v>
      </c>
      <c r="D100" s="120">
        <v>0</v>
      </c>
      <c r="E100" s="276">
        <v>0</v>
      </c>
      <c r="F100" s="276">
        <v>0</v>
      </c>
      <c r="G100" s="276">
        <v>0</v>
      </c>
      <c r="H100" s="276">
        <v>0</v>
      </c>
      <c r="I100" s="441">
        <v>0</v>
      </c>
      <c r="J100" s="441">
        <v>0</v>
      </c>
      <c r="K100" s="120">
        <f t="shared" si="8"/>
        <v>0</v>
      </c>
      <c r="L100" s="288">
        <f t="shared" si="9"/>
        <v>0</v>
      </c>
      <c r="M100" s="262"/>
      <c r="N100" s="262"/>
      <c r="O100" s="262"/>
      <c r="P100" s="262"/>
    </row>
    <row r="101" spans="1:16" x14ac:dyDescent="0.25">
      <c r="A101" s="210">
        <v>4206</v>
      </c>
      <c r="B101" s="211" t="s">
        <v>102</v>
      </c>
      <c r="C101" s="266">
        <v>0</v>
      </c>
      <c r="D101" s="120">
        <v>0</v>
      </c>
      <c r="E101" s="276">
        <v>0</v>
      </c>
      <c r="F101" s="276">
        <v>0</v>
      </c>
      <c r="G101" s="276">
        <v>0</v>
      </c>
      <c r="H101" s="276">
        <v>0</v>
      </c>
      <c r="I101" s="441">
        <v>0</v>
      </c>
      <c r="J101" s="441">
        <v>0</v>
      </c>
      <c r="K101" s="120">
        <f t="shared" si="8"/>
        <v>0</v>
      </c>
      <c r="L101" s="288">
        <f t="shared" si="9"/>
        <v>0</v>
      </c>
      <c r="M101" s="262"/>
      <c r="N101" s="262"/>
      <c r="O101" s="262"/>
      <c r="P101" s="262"/>
    </row>
    <row r="102" spans="1:16" x14ac:dyDescent="0.25">
      <c r="A102" s="210">
        <v>4207</v>
      </c>
      <c r="B102" s="211" t="s">
        <v>103</v>
      </c>
      <c r="C102" s="266">
        <v>0</v>
      </c>
      <c r="D102" s="120">
        <v>0</v>
      </c>
      <c r="E102" s="276">
        <v>0</v>
      </c>
      <c r="F102" s="276">
        <v>0</v>
      </c>
      <c r="G102" s="276">
        <v>0</v>
      </c>
      <c r="H102" s="276">
        <v>0</v>
      </c>
      <c r="I102" s="441">
        <v>0</v>
      </c>
      <c r="J102" s="441">
        <v>0</v>
      </c>
      <c r="K102" s="120">
        <f t="shared" si="8"/>
        <v>0</v>
      </c>
      <c r="L102" s="288">
        <f t="shared" si="9"/>
        <v>0</v>
      </c>
      <c r="M102" s="262"/>
      <c r="N102" s="262"/>
      <c r="O102" s="262"/>
      <c r="P102" s="262"/>
    </row>
    <row r="103" spans="1:16" x14ac:dyDescent="0.25">
      <c r="A103" s="210">
        <v>4208</v>
      </c>
      <c r="B103" s="211" t="s">
        <v>104</v>
      </c>
      <c r="C103" s="266">
        <v>0</v>
      </c>
      <c r="D103" s="120">
        <v>0</v>
      </c>
      <c r="E103" s="276">
        <v>0</v>
      </c>
      <c r="F103" s="276">
        <v>0</v>
      </c>
      <c r="G103" s="276">
        <v>0</v>
      </c>
      <c r="H103" s="276">
        <v>0</v>
      </c>
      <c r="I103" s="441">
        <v>0</v>
      </c>
      <c r="J103" s="441">
        <v>0</v>
      </c>
      <c r="K103" s="120">
        <f t="shared" si="8"/>
        <v>0</v>
      </c>
      <c r="L103" s="288">
        <f t="shared" si="9"/>
        <v>0</v>
      </c>
      <c r="M103" s="262"/>
      <c r="N103" s="262"/>
      <c r="O103" s="262"/>
      <c r="P103" s="262"/>
    </row>
    <row r="104" spans="1:16" ht="15" customHeight="1" x14ac:dyDescent="0.25">
      <c r="A104" s="210">
        <v>4209</v>
      </c>
      <c r="B104" s="211" t="s">
        <v>126</v>
      </c>
      <c r="C104" s="266">
        <v>0</v>
      </c>
      <c r="D104" s="120">
        <v>0</v>
      </c>
      <c r="E104" s="276">
        <v>0</v>
      </c>
      <c r="F104" s="276">
        <v>0</v>
      </c>
      <c r="G104" s="276">
        <v>0</v>
      </c>
      <c r="H104" s="276">
        <v>0</v>
      </c>
      <c r="I104" s="441">
        <v>0</v>
      </c>
      <c r="J104" s="441">
        <v>0</v>
      </c>
      <c r="K104" s="120">
        <f t="shared" si="8"/>
        <v>0</v>
      </c>
      <c r="L104" s="288">
        <f t="shared" si="9"/>
        <v>0</v>
      </c>
      <c r="M104" s="262"/>
      <c r="N104" s="262"/>
      <c r="O104" s="262"/>
      <c r="P104" s="262"/>
    </row>
    <row r="105" spans="1:16" x14ac:dyDescent="0.25">
      <c r="A105" s="210">
        <v>4210</v>
      </c>
      <c r="B105" s="211" t="s">
        <v>112</v>
      </c>
      <c r="C105" s="266">
        <v>0</v>
      </c>
      <c r="D105" s="120">
        <v>0</v>
      </c>
      <c r="E105" s="276">
        <v>0</v>
      </c>
      <c r="F105" s="276">
        <v>0</v>
      </c>
      <c r="G105" s="276">
        <v>0</v>
      </c>
      <c r="H105" s="276">
        <v>0</v>
      </c>
      <c r="I105" s="441">
        <v>0</v>
      </c>
      <c r="J105" s="441">
        <v>0</v>
      </c>
      <c r="K105" s="120">
        <f t="shared" si="8"/>
        <v>0</v>
      </c>
      <c r="L105" s="288">
        <f t="shared" si="9"/>
        <v>0</v>
      </c>
      <c r="M105" s="262"/>
      <c r="N105" s="262"/>
      <c r="O105" s="262"/>
      <c r="P105" s="262"/>
    </row>
    <row r="106" spans="1:16" x14ac:dyDescent="0.25">
      <c r="A106" s="210">
        <v>4211</v>
      </c>
      <c r="B106" s="211" t="s">
        <v>107</v>
      </c>
      <c r="C106" s="266">
        <v>0</v>
      </c>
      <c r="D106" s="120">
        <v>0</v>
      </c>
      <c r="E106" s="276">
        <v>0</v>
      </c>
      <c r="F106" s="276">
        <v>0</v>
      </c>
      <c r="G106" s="276">
        <v>0</v>
      </c>
      <c r="H106" s="276">
        <v>0</v>
      </c>
      <c r="I106" s="441">
        <v>0</v>
      </c>
      <c r="J106" s="441">
        <v>0</v>
      </c>
      <c r="K106" s="120">
        <f t="shared" si="8"/>
        <v>0</v>
      </c>
      <c r="L106" s="288">
        <f t="shared" si="9"/>
        <v>0</v>
      </c>
      <c r="M106" s="262"/>
      <c r="N106" s="262"/>
      <c r="O106" s="262"/>
      <c r="P106" s="262"/>
    </row>
    <row r="107" spans="1:16" x14ac:dyDescent="0.25">
      <c r="A107" s="210">
        <v>4212</v>
      </c>
      <c r="B107" s="211" t="s">
        <v>105</v>
      </c>
      <c r="C107" s="266">
        <v>0</v>
      </c>
      <c r="D107" s="120">
        <v>0</v>
      </c>
      <c r="E107" s="276">
        <v>0</v>
      </c>
      <c r="F107" s="276">
        <v>0</v>
      </c>
      <c r="G107" s="276">
        <v>0</v>
      </c>
      <c r="H107" s="276">
        <v>0</v>
      </c>
      <c r="I107" s="441">
        <v>0</v>
      </c>
      <c r="J107" s="441">
        <v>0</v>
      </c>
      <c r="K107" s="120">
        <f t="shared" si="8"/>
        <v>0</v>
      </c>
      <c r="L107" s="288">
        <f t="shared" si="9"/>
        <v>0</v>
      </c>
      <c r="M107" s="262"/>
      <c r="N107" s="262"/>
      <c r="O107" s="262"/>
      <c r="P107" s="262"/>
    </row>
    <row r="108" spans="1:16" x14ac:dyDescent="0.25">
      <c r="A108" s="210">
        <v>4213</v>
      </c>
      <c r="B108" s="211" t="s">
        <v>87</v>
      </c>
      <c r="C108" s="266">
        <v>0</v>
      </c>
      <c r="D108" s="120">
        <v>0</v>
      </c>
      <c r="E108" s="276">
        <v>0</v>
      </c>
      <c r="F108" s="276">
        <v>0</v>
      </c>
      <c r="G108" s="276">
        <v>0</v>
      </c>
      <c r="H108" s="276">
        <v>0</v>
      </c>
      <c r="I108" s="441">
        <v>0</v>
      </c>
      <c r="J108" s="441">
        <v>0</v>
      </c>
      <c r="K108" s="120">
        <f t="shared" si="8"/>
        <v>0</v>
      </c>
      <c r="L108" s="288">
        <f t="shared" si="9"/>
        <v>0</v>
      </c>
      <c r="M108" s="262"/>
      <c r="N108" s="262"/>
      <c r="O108" s="262"/>
      <c r="P108" s="262"/>
    </row>
    <row r="109" spans="1:16" x14ac:dyDescent="0.25">
      <c r="A109" s="210">
        <v>4214</v>
      </c>
      <c r="B109" s="211" t="s">
        <v>127</v>
      </c>
      <c r="C109" s="266">
        <v>0</v>
      </c>
      <c r="D109" s="120">
        <v>0</v>
      </c>
      <c r="E109" s="276">
        <v>0</v>
      </c>
      <c r="F109" s="276">
        <v>0</v>
      </c>
      <c r="G109" s="276">
        <v>0</v>
      </c>
      <c r="H109" s="276">
        <v>0</v>
      </c>
      <c r="I109" s="441">
        <v>0</v>
      </c>
      <c r="J109" s="441">
        <v>0</v>
      </c>
      <c r="K109" s="120">
        <f t="shared" si="8"/>
        <v>0</v>
      </c>
      <c r="L109" s="288">
        <f t="shared" si="9"/>
        <v>0</v>
      </c>
      <c r="M109" s="262"/>
      <c r="N109" s="262"/>
      <c r="O109" s="262"/>
      <c r="P109" s="262"/>
    </row>
    <row r="110" spans="1:16" x14ac:dyDescent="0.25">
      <c r="A110" s="210">
        <v>4215</v>
      </c>
      <c r="B110" s="211" t="s">
        <v>128</v>
      </c>
      <c r="C110" s="266">
        <v>0</v>
      </c>
      <c r="D110" s="120">
        <v>0</v>
      </c>
      <c r="E110" s="276">
        <v>0</v>
      </c>
      <c r="F110" s="276">
        <v>0</v>
      </c>
      <c r="G110" s="276">
        <v>0</v>
      </c>
      <c r="H110" s="276">
        <v>0</v>
      </c>
      <c r="I110" s="441">
        <v>0</v>
      </c>
      <c r="J110" s="441">
        <v>0</v>
      </c>
      <c r="K110" s="120">
        <f t="shared" si="8"/>
        <v>0</v>
      </c>
      <c r="L110" s="288">
        <f t="shared" si="9"/>
        <v>0</v>
      </c>
      <c r="M110" s="262"/>
      <c r="N110" s="262"/>
      <c r="O110" s="262"/>
      <c r="P110" s="262"/>
    </row>
    <row r="111" spans="1:16" x14ac:dyDescent="0.25">
      <c r="A111" s="210">
        <v>4216</v>
      </c>
      <c r="B111" s="211" t="s">
        <v>129</v>
      </c>
      <c r="C111" s="266">
        <v>0</v>
      </c>
      <c r="D111" s="120">
        <v>0</v>
      </c>
      <c r="E111" s="276">
        <v>0</v>
      </c>
      <c r="F111" s="276">
        <v>0</v>
      </c>
      <c r="G111" s="276">
        <v>0</v>
      </c>
      <c r="H111" s="276">
        <v>0</v>
      </c>
      <c r="I111" s="441">
        <v>0</v>
      </c>
      <c r="J111" s="441">
        <v>0</v>
      </c>
      <c r="K111" s="120">
        <f t="shared" si="8"/>
        <v>0</v>
      </c>
      <c r="L111" s="288">
        <f t="shared" si="9"/>
        <v>0</v>
      </c>
      <c r="M111" s="262"/>
      <c r="N111" s="262"/>
      <c r="O111" s="262"/>
      <c r="P111" s="262"/>
    </row>
    <row r="112" spans="1:16" x14ac:dyDescent="0.25">
      <c r="A112" s="210">
        <v>4217</v>
      </c>
      <c r="B112" s="211" t="s">
        <v>108</v>
      </c>
      <c r="C112" s="266">
        <v>0</v>
      </c>
      <c r="D112" s="120">
        <v>0</v>
      </c>
      <c r="E112" s="276">
        <v>0</v>
      </c>
      <c r="F112" s="276">
        <v>0</v>
      </c>
      <c r="G112" s="276">
        <v>0</v>
      </c>
      <c r="H112" s="276">
        <v>0</v>
      </c>
      <c r="I112" s="441">
        <v>0</v>
      </c>
      <c r="J112" s="441">
        <v>0</v>
      </c>
      <c r="K112" s="120">
        <f t="shared" si="8"/>
        <v>0</v>
      </c>
      <c r="L112" s="288">
        <f t="shared" si="9"/>
        <v>0</v>
      </c>
      <c r="M112" s="262"/>
      <c r="N112" s="262"/>
      <c r="O112" s="262"/>
      <c r="P112" s="262"/>
    </row>
    <row r="113" spans="1:16" x14ac:dyDescent="0.25">
      <c r="A113" s="210">
        <v>4218</v>
      </c>
      <c r="B113" s="211" t="s">
        <v>109</v>
      </c>
      <c r="C113" s="266">
        <v>0</v>
      </c>
      <c r="D113" s="120">
        <v>0</v>
      </c>
      <c r="E113" s="276">
        <v>0</v>
      </c>
      <c r="F113" s="276">
        <v>0</v>
      </c>
      <c r="G113" s="276">
        <v>0</v>
      </c>
      <c r="H113" s="276">
        <v>0</v>
      </c>
      <c r="I113" s="441">
        <v>0</v>
      </c>
      <c r="J113" s="441">
        <v>0</v>
      </c>
      <c r="K113" s="120">
        <f t="shared" si="8"/>
        <v>0</v>
      </c>
      <c r="L113" s="288">
        <f t="shared" si="9"/>
        <v>0</v>
      </c>
      <c r="M113" s="262"/>
      <c r="N113" s="262"/>
      <c r="O113" s="262"/>
      <c r="P113" s="262"/>
    </row>
    <row r="114" spans="1:16" x14ac:dyDescent="0.25">
      <c r="A114" s="210">
        <v>4219</v>
      </c>
      <c r="B114" s="211" t="s">
        <v>110</v>
      </c>
      <c r="C114" s="266">
        <v>0</v>
      </c>
      <c r="D114" s="120">
        <v>0</v>
      </c>
      <c r="E114" s="276">
        <v>0</v>
      </c>
      <c r="F114" s="276">
        <v>0</v>
      </c>
      <c r="G114" s="276">
        <v>0</v>
      </c>
      <c r="H114" s="276">
        <v>0</v>
      </c>
      <c r="I114" s="441">
        <v>0</v>
      </c>
      <c r="J114" s="441">
        <v>0</v>
      </c>
      <c r="K114" s="120">
        <f t="shared" si="8"/>
        <v>0</v>
      </c>
      <c r="L114" s="288">
        <f t="shared" si="9"/>
        <v>0</v>
      </c>
      <c r="M114" s="262"/>
      <c r="N114" s="262"/>
      <c r="O114" s="262"/>
      <c r="P114" s="262"/>
    </row>
    <row r="115" spans="1:16" x14ac:dyDescent="0.25">
      <c r="A115" s="210">
        <v>4220</v>
      </c>
      <c r="B115" s="211" t="s">
        <v>130</v>
      </c>
      <c r="C115" s="266">
        <v>0</v>
      </c>
      <c r="D115" s="120">
        <v>0</v>
      </c>
      <c r="E115" s="276">
        <v>0</v>
      </c>
      <c r="F115" s="276">
        <v>0</v>
      </c>
      <c r="G115" s="276">
        <v>0</v>
      </c>
      <c r="H115" s="276">
        <v>0</v>
      </c>
      <c r="I115" s="441">
        <v>0</v>
      </c>
      <c r="J115" s="441">
        <v>0</v>
      </c>
      <c r="K115" s="120">
        <f t="shared" si="8"/>
        <v>0</v>
      </c>
      <c r="L115" s="288">
        <f t="shared" si="9"/>
        <v>0</v>
      </c>
      <c r="M115" s="262"/>
      <c r="N115" s="262"/>
      <c r="O115" s="262"/>
      <c r="P115" s="262"/>
    </row>
    <row r="116" spans="1:16" x14ac:dyDescent="0.25">
      <c r="A116" s="210">
        <v>4221</v>
      </c>
      <c r="B116" s="211" t="s">
        <v>121</v>
      </c>
      <c r="C116" s="266">
        <v>0</v>
      </c>
      <c r="D116" s="120">
        <v>0</v>
      </c>
      <c r="E116" s="276">
        <v>0</v>
      </c>
      <c r="F116" s="276">
        <v>0</v>
      </c>
      <c r="G116" s="276">
        <v>0</v>
      </c>
      <c r="H116" s="276">
        <v>0</v>
      </c>
      <c r="I116" s="441">
        <v>0</v>
      </c>
      <c r="J116" s="441">
        <v>0</v>
      </c>
      <c r="K116" s="120">
        <f t="shared" si="8"/>
        <v>0</v>
      </c>
      <c r="L116" s="288">
        <f t="shared" si="9"/>
        <v>0</v>
      </c>
      <c r="M116" s="262"/>
      <c r="N116" s="262"/>
      <c r="O116" s="262"/>
      <c r="P116" s="262"/>
    </row>
    <row r="117" spans="1:16" x14ac:dyDescent="0.25">
      <c r="A117" s="210">
        <v>4222</v>
      </c>
      <c r="B117" s="211" t="s">
        <v>114</v>
      </c>
      <c r="C117" s="266">
        <v>0</v>
      </c>
      <c r="D117" s="120">
        <v>0</v>
      </c>
      <c r="E117" s="276">
        <v>0</v>
      </c>
      <c r="F117" s="276">
        <v>0</v>
      </c>
      <c r="G117" s="276">
        <v>0</v>
      </c>
      <c r="H117" s="276">
        <v>0</v>
      </c>
      <c r="I117" s="441">
        <v>0</v>
      </c>
      <c r="J117" s="441">
        <v>0</v>
      </c>
      <c r="K117" s="120">
        <f t="shared" si="8"/>
        <v>0</v>
      </c>
      <c r="L117" s="288">
        <f t="shared" si="9"/>
        <v>0</v>
      </c>
      <c r="M117" s="262"/>
      <c r="N117" s="262"/>
      <c r="O117" s="262"/>
      <c r="P117" s="262"/>
    </row>
    <row r="118" spans="1:16" x14ac:dyDescent="0.25">
      <c r="A118" s="210">
        <v>4223</v>
      </c>
      <c r="B118" s="211" t="s">
        <v>116</v>
      </c>
      <c r="C118" s="266">
        <v>0</v>
      </c>
      <c r="D118" s="120">
        <v>0</v>
      </c>
      <c r="E118" s="276">
        <v>0</v>
      </c>
      <c r="F118" s="276">
        <v>0</v>
      </c>
      <c r="G118" s="276">
        <v>0</v>
      </c>
      <c r="H118" s="276">
        <v>0</v>
      </c>
      <c r="I118" s="441">
        <v>0</v>
      </c>
      <c r="J118" s="441">
        <v>0</v>
      </c>
      <c r="K118" s="120">
        <f t="shared" si="8"/>
        <v>0</v>
      </c>
      <c r="L118" s="288">
        <f t="shared" si="9"/>
        <v>0</v>
      </c>
      <c r="M118" s="262"/>
      <c r="N118" s="262"/>
      <c r="O118" s="262"/>
      <c r="P118" s="262"/>
    </row>
    <row r="119" spans="1:16" x14ac:dyDescent="0.25">
      <c r="A119" s="210">
        <v>4224</v>
      </c>
      <c r="B119" s="211" t="s">
        <v>111</v>
      </c>
      <c r="C119" s="266">
        <v>0</v>
      </c>
      <c r="D119" s="120">
        <v>0</v>
      </c>
      <c r="E119" s="276">
        <v>0</v>
      </c>
      <c r="F119" s="276">
        <v>0</v>
      </c>
      <c r="G119" s="276">
        <v>0</v>
      </c>
      <c r="H119" s="276">
        <v>0</v>
      </c>
      <c r="I119" s="441">
        <v>0</v>
      </c>
      <c r="J119" s="441">
        <v>0</v>
      </c>
      <c r="K119" s="120">
        <f t="shared" si="8"/>
        <v>0</v>
      </c>
      <c r="L119" s="288">
        <f t="shared" si="9"/>
        <v>0</v>
      </c>
      <c r="M119" s="262"/>
      <c r="N119" s="262"/>
      <c r="O119" s="262"/>
      <c r="P119" s="262"/>
    </row>
    <row r="120" spans="1:16" x14ac:dyDescent="0.25">
      <c r="A120" s="210">
        <v>4225</v>
      </c>
      <c r="B120" s="211" t="s">
        <v>118</v>
      </c>
      <c r="C120" s="266">
        <v>0</v>
      </c>
      <c r="D120" s="120">
        <v>0</v>
      </c>
      <c r="E120" s="276">
        <v>0</v>
      </c>
      <c r="F120" s="276">
        <v>0</v>
      </c>
      <c r="G120" s="276">
        <v>0</v>
      </c>
      <c r="H120" s="276">
        <v>0</v>
      </c>
      <c r="I120" s="441">
        <v>0</v>
      </c>
      <c r="J120" s="441">
        <v>0</v>
      </c>
      <c r="K120" s="120">
        <f t="shared" si="8"/>
        <v>0</v>
      </c>
      <c r="L120" s="288">
        <f t="shared" si="9"/>
        <v>0</v>
      </c>
      <c r="M120" s="262"/>
      <c r="N120" s="262"/>
      <c r="O120" s="262"/>
      <c r="P120" s="262"/>
    </row>
    <row r="121" spans="1:16" x14ac:dyDescent="0.25">
      <c r="A121" s="210">
        <v>4226</v>
      </c>
      <c r="B121" s="211" t="s">
        <v>119</v>
      </c>
      <c r="C121" s="266">
        <v>0</v>
      </c>
      <c r="D121" s="120">
        <v>0</v>
      </c>
      <c r="E121" s="276">
        <v>0</v>
      </c>
      <c r="F121" s="276">
        <v>0</v>
      </c>
      <c r="G121" s="276">
        <v>0</v>
      </c>
      <c r="H121" s="276">
        <v>0</v>
      </c>
      <c r="I121" s="441">
        <v>0</v>
      </c>
      <c r="J121" s="441">
        <v>0</v>
      </c>
      <c r="K121" s="120">
        <f t="shared" si="8"/>
        <v>0</v>
      </c>
      <c r="L121" s="288">
        <f t="shared" si="9"/>
        <v>0</v>
      </c>
      <c r="M121" s="262"/>
      <c r="N121" s="262"/>
      <c r="O121" s="262"/>
      <c r="P121" s="262"/>
    </row>
    <row r="122" spans="1:16" x14ac:dyDescent="0.25">
      <c r="A122" s="210">
        <v>4227</v>
      </c>
      <c r="B122" s="211" t="s">
        <v>55</v>
      </c>
      <c r="C122" s="266">
        <v>0</v>
      </c>
      <c r="D122" s="120">
        <v>0</v>
      </c>
      <c r="E122" s="276">
        <v>0</v>
      </c>
      <c r="F122" s="276">
        <v>0</v>
      </c>
      <c r="G122" s="276">
        <v>0</v>
      </c>
      <c r="H122" s="276">
        <v>0</v>
      </c>
      <c r="I122" s="441">
        <v>0</v>
      </c>
      <c r="J122" s="441">
        <v>0</v>
      </c>
      <c r="K122" s="120">
        <f t="shared" si="8"/>
        <v>0</v>
      </c>
      <c r="L122" s="288">
        <f t="shared" si="9"/>
        <v>0</v>
      </c>
      <c r="M122" s="262"/>
      <c r="N122" s="262"/>
      <c r="O122" s="262"/>
      <c r="P122" s="262"/>
    </row>
    <row r="123" spans="1:16" x14ac:dyDescent="0.25">
      <c r="A123" s="210">
        <v>4228</v>
      </c>
      <c r="B123" s="211" t="s">
        <v>120</v>
      </c>
      <c r="C123" s="266">
        <v>0</v>
      </c>
      <c r="D123" s="120">
        <v>0</v>
      </c>
      <c r="E123" s="276">
        <v>0</v>
      </c>
      <c r="F123" s="276">
        <v>0</v>
      </c>
      <c r="G123" s="276">
        <v>0</v>
      </c>
      <c r="H123" s="276">
        <v>0</v>
      </c>
      <c r="I123" s="441">
        <v>0</v>
      </c>
      <c r="J123" s="441">
        <v>0</v>
      </c>
      <c r="K123" s="120">
        <f t="shared" si="8"/>
        <v>0</v>
      </c>
      <c r="L123" s="288">
        <f t="shared" si="9"/>
        <v>0</v>
      </c>
      <c r="M123" s="262"/>
      <c r="N123" s="262"/>
      <c r="O123" s="262"/>
      <c r="P123" s="262"/>
    </row>
    <row r="124" spans="1:16" x14ac:dyDescent="0.25">
      <c r="A124" s="210">
        <v>4229</v>
      </c>
      <c r="B124" s="211" t="s">
        <v>132</v>
      </c>
      <c r="C124" s="266">
        <v>0</v>
      </c>
      <c r="D124" s="120">
        <v>0</v>
      </c>
      <c r="E124" s="276">
        <v>0</v>
      </c>
      <c r="F124" s="276">
        <v>0</v>
      </c>
      <c r="G124" s="276">
        <v>0</v>
      </c>
      <c r="H124" s="276">
        <v>0</v>
      </c>
      <c r="I124" s="441">
        <v>0</v>
      </c>
      <c r="J124" s="441">
        <v>0</v>
      </c>
      <c r="K124" s="120">
        <f t="shared" si="8"/>
        <v>0</v>
      </c>
      <c r="L124" s="288">
        <f t="shared" si="9"/>
        <v>0</v>
      </c>
      <c r="M124" s="262"/>
      <c r="N124" s="262"/>
      <c r="O124" s="262"/>
      <c r="P124" s="262"/>
    </row>
    <row r="125" spans="1:16" x14ac:dyDescent="0.25">
      <c r="A125" s="210">
        <v>4230</v>
      </c>
      <c r="B125" s="211" t="s">
        <v>133</v>
      </c>
      <c r="C125" s="266">
        <v>0</v>
      </c>
      <c r="D125" s="120">
        <v>0</v>
      </c>
      <c r="E125" s="276">
        <v>0</v>
      </c>
      <c r="F125" s="276">
        <v>0</v>
      </c>
      <c r="G125" s="276">
        <v>0</v>
      </c>
      <c r="H125" s="276">
        <v>0</v>
      </c>
      <c r="I125" s="441">
        <v>0</v>
      </c>
      <c r="J125" s="441">
        <v>0</v>
      </c>
      <c r="K125" s="120">
        <f t="shared" si="8"/>
        <v>0</v>
      </c>
      <c r="L125" s="288">
        <f t="shared" si="9"/>
        <v>0</v>
      </c>
      <c r="M125" s="262"/>
      <c r="N125" s="262"/>
      <c r="O125" s="262"/>
      <c r="P125" s="262"/>
    </row>
    <row r="126" spans="1:16" x14ac:dyDescent="0.25">
      <c r="A126" s="204">
        <v>4299</v>
      </c>
      <c r="B126" s="205" t="s">
        <v>134</v>
      </c>
      <c r="C126" s="268">
        <v>0</v>
      </c>
      <c r="D126" s="209">
        <v>0</v>
      </c>
      <c r="E126" s="275">
        <v>0</v>
      </c>
      <c r="F126" s="275">
        <v>0</v>
      </c>
      <c r="G126" s="275">
        <v>0</v>
      </c>
      <c r="H126" s="275">
        <v>0</v>
      </c>
      <c r="I126" s="440">
        <v>0</v>
      </c>
      <c r="J126" s="440">
        <v>0</v>
      </c>
      <c r="K126" s="209">
        <f t="shared" si="8"/>
        <v>0</v>
      </c>
      <c r="L126" s="287">
        <f t="shared" si="9"/>
        <v>0</v>
      </c>
      <c r="M126" s="262"/>
      <c r="N126" s="262"/>
      <c r="O126" s="262"/>
      <c r="P126" s="262"/>
    </row>
    <row r="127" spans="1:16" ht="15.75" customHeight="1" x14ac:dyDescent="0.25">
      <c r="A127" s="254">
        <v>5000</v>
      </c>
      <c r="B127" s="255" t="s">
        <v>135</v>
      </c>
      <c r="C127" s="280"/>
      <c r="D127" s="281"/>
      <c r="E127" s="282"/>
      <c r="F127" s="282"/>
      <c r="G127" s="282"/>
      <c r="H127" s="282"/>
      <c r="I127" s="443"/>
      <c r="J127" s="443"/>
      <c r="K127" s="226"/>
      <c r="L127" s="227"/>
      <c r="M127" s="262"/>
      <c r="N127" s="262"/>
      <c r="O127" s="262"/>
      <c r="P127" s="262"/>
    </row>
    <row r="128" spans="1:16" x14ac:dyDescent="0.25">
      <c r="A128" s="204">
        <v>5101</v>
      </c>
      <c r="B128" s="205" t="s">
        <v>136</v>
      </c>
      <c r="C128" s="268">
        <v>0</v>
      </c>
      <c r="D128" s="209">
        <v>0</v>
      </c>
      <c r="E128" s="275">
        <v>0</v>
      </c>
      <c r="F128" s="275">
        <v>0</v>
      </c>
      <c r="G128" s="275">
        <v>0</v>
      </c>
      <c r="H128" s="275">
        <v>0</v>
      </c>
      <c r="I128" s="440">
        <v>0</v>
      </c>
      <c r="J128" s="440">
        <v>0</v>
      </c>
      <c r="K128" s="209">
        <f t="shared" ref="K128:K191" si="10">C128+E128-G128-I128</f>
        <v>0</v>
      </c>
      <c r="L128" s="287">
        <f t="shared" ref="L128:L191" si="11">D128+F128-H128-J128</f>
        <v>0</v>
      </c>
      <c r="M128" s="262"/>
      <c r="N128" s="262"/>
      <c r="O128" s="262"/>
      <c r="P128" s="262"/>
    </row>
    <row r="129" spans="1:16" x14ac:dyDescent="0.25">
      <c r="A129" s="210">
        <v>5102</v>
      </c>
      <c r="B129" s="211" t="s">
        <v>137</v>
      </c>
      <c r="C129" s="266">
        <v>0</v>
      </c>
      <c r="D129" s="120">
        <v>0</v>
      </c>
      <c r="E129" s="276">
        <v>0</v>
      </c>
      <c r="F129" s="276">
        <v>0</v>
      </c>
      <c r="G129" s="276">
        <v>0</v>
      </c>
      <c r="H129" s="276">
        <v>0</v>
      </c>
      <c r="I129" s="441">
        <v>0</v>
      </c>
      <c r="J129" s="441">
        <v>0</v>
      </c>
      <c r="K129" s="120">
        <f t="shared" si="10"/>
        <v>0</v>
      </c>
      <c r="L129" s="288">
        <f t="shared" si="11"/>
        <v>0</v>
      </c>
      <c r="M129" s="262"/>
      <c r="N129" s="262"/>
      <c r="O129" s="262"/>
      <c r="P129" s="262"/>
    </row>
    <row r="130" spans="1:16" x14ac:dyDescent="0.25">
      <c r="A130" s="210">
        <v>5103</v>
      </c>
      <c r="B130" s="211" t="s">
        <v>116</v>
      </c>
      <c r="C130" s="266">
        <v>0</v>
      </c>
      <c r="D130" s="120">
        <v>0</v>
      </c>
      <c r="E130" s="276">
        <v>0</v>
      </c>
      <c r="F130" s="276">
        <v>0</v>
      </c>
      <c r="G130" s="276">
        <v>0</v>
      </c>
      <c r="H130" s="276">
        <v>0</v>
      </c>
      <c r="I130" s="441">
        <v>0</v>
      </c>
      <c r="J130" s="441">
        <v>0</v>
      </c>
      <c r="K130" s="120">
        <f t="shared" si="10"/>
        <v>0</v>
      </c>
      <c r="L130" s="288">
        <f t="shared" si="11"/>
        <v>0</v>
      </c>
      <c r="M130" s="262"/>
      <c r="N130" s="262"/>
      <c r="O130" s="262"/>
      <c r="P130" s="262"/>
    </row>
    <row r="131" spans="1:16" x14ac:dyDescent="0.25">
      <c r="A131" s="210">
        <v>5104</v>
      </c>
      <c r="B131" s="211" t="s">
        <v>138</v>
      </c>
      <c r="C131" s="266">
        <v>0</v>
      </c>
      <c r="D131" s="120">
        <v>0</v>
      </c>
      <c r="E131" s="276">
        <v>0</v>
      </c>
      <c r="F131" s="276">
        <v>0</v>
      </c>
      <c r="G131" s="276">
        <v>0</v>
      </c>
      <c r="H131" s="276">
        <v>0</v>
      </c>
      <c r="I131" s="441">
        <v>0</v>
      </c>
      <c r="J131" s="441">
        <v>0</v>
      </c>
      <c r="K131" s="120">
        <f t="shared" si="10"/>
        <v>0</v>
      </c>
      <c r="L131" s="288">
        <f t="shared" si="11"/>
        <v>0</v>
      </c>
      <c r="M131" s="262"/>
      <c r="N131" s="262"/>
      <c r="O131" s="262"/>
      <c r="P131" s="262"/>
    </row>
    <row r="132" spans="1:16" x14ac:dyDescent="0.25">
      <c r="A132" s="210">
        <v>5105</v>
      </c>
      <c r="B132" s="211" t="s">
        <v>139</v>
      </c>
      <c r="C132" s="266">
        <v>0</v>
      </c>
      <c r="D132" s="120">
        <v>0</v>
      </c>
      <c r="E132" s="276">
        <v>0</v>
      </c>
      <c r="F132" s="276">
        <v>0</v>
      </c>
      <c r="G132" s="276">
        <v>0</v>
      </c>
      <c r="H132" s="276">
        <v>0</v>
      </c>
      <c r="I132" s="441">
        <v>0</v>
      </c>
      <c r="J132" s="441">
        <v>0</v>
      </c>
      <c r="K132" s="120">
        <f t="shared" si="10"/>
        <v>0</v>
      </c>
      <c r="L132" s="288">
        <f t="shared" si="11"/>
        <v>0</v>
      </c>
      <c r="M132" s="262"/>
      <c r="N132" s="262"/>
      <c r="O132" s="262"/>
      <c r="P132" s="262"/>
    </row>
    <row r="133" spans="1:16" x14ac:dyDescent="0.25">
      <c r="A133" s="210">
        <v>5106</v>
      </c>
      <c r="B133" s="211" t="s">
        <v>121</v>
      </c>
      <c r="C133" s="266">
        <v>0</v>
      </c>
      <c r="D133" s="120">
        <v>0</v>
      </c>
      <c r="E133" s="276">
        <v>0</v>
      </c>
      <c r="F133" s="276">
        <v>0</v>
      </c>
      <c r="G133" s="276">
        <v>0</v>
      </c>
      <c r="H133" s="276">
        <v>0</v>
      </c>
      <c r="I133" s="441">
        <v>0</v>
      </c>
      <c r="J133" s="441">
        <v>0</v>
      </c>
      <c r="K133" s="120">
        <f t="shared" si="10"/>
        <v>0</v>
      </c>
      <c r="L133" s="288">
        <f t="shared" si="11"/>
        <v>0</v>
      </c>
      <c r="M133" s="262"/>
      <c r="N133" s="262"/>
      <c r="O133" s="262"/>
      <c r="P133" s="262"/>
    </row>
    <row r="134" spans="1:16" x14ac:dyDescent="0.25">
      <c r="A134" s="210">
        <v>5107</v>
      </c>
      <c r="B134" s="211" t="s">
        <v>114</v>
      </c>
      <c r="C134" s="266">
        <v>0</v>
      </c>
      <c r="D134" s="120">
        <v>0</v>
      </c>
      <c r="E134" s="276">
        <v>0</v>
      </c>
      <c r="F134" s="276">
        <v>0</v>
      </c>
      <c r="G134" s="276">
        <v>0</v>
      </c>
      <c r="H134" s="276">
        <v>0</v>
      </c>
      <c r="I134" s="441">
        <v>0</v>
      </c>
      <c r="J134" s="441">
        <v>0</v>
      </c>
      <c r="K134" s="120">
        <f t="shared" si="10"/>
        <v>0</v>
      </c>
      <c r="L134" s="288">
        <f t="shared" si="11"/>
        <v>0</v>
      </c>
      <c r="M134" s="262"/>
      <c r="N134" s="262"/>
      <c r="O134" s="262"/>
      <c r="P134" s="262"/>
    </row>
    <row r="135" spans="1:16" x14ac:dyDescent="0.25">
      <c r="A135" s="210">
        <v>5108</v>
      </c>
      <c r="B135" s="211" t="s">
        <v>140</v>
      </c>
      <c r="C135" s="266">
        <v>0</v>
      </c>
      <c r="D135" s="120">
        <v>0</v>
      </c>
      <c r="E135" s="276">
        <v>0</v>
      </c>
      <c r="F135" s="276">
        <v>0</v>
      </c>
      <c r="G135" s="276">
        <v>0</v>
      </c>
      <c r="H135" s="276">
        <v>0</v>
      </c>
      <c r="I135" s="441">
        <v>0</v>
      </c>
      <c r="J135" s="441">
        <v>0</v>
      </c>
      <c r="K135" s="120">
        <f t="shared" si="10"/>
        <v>0</v>
      </c>
      <c r="L135" s="288">
        <f t="shared" si="11"/>
        <v>0</v>
      </c>
      <c r="M135" s="262"/>
      <c r="N135" s="262"/>
      <c r="O135" s="262"/>
      <c r="P135" s="262"/>
    </row>
    <row r="136" spans="1:16" x14ac:dyDescent="0.25">
      <c r="A136" s="210">
        <v>5109</v>
      </c>
      <c r="B136" s="211" t="s">
        <v>141</v>
      </c>
      <c r="C136" s="266">
        <v>0</v>
      </c>
      <c r="D136" s="120">
        <v>0</v>
      </c>
      <c r="E136" s="276">
        <v>0</v>
      </c>
      <c r="F136" s="276">
        <v>0</v>
      </c>
      <c r="G136" s="276">
        <v>0</v>
      </c>
      <c r="H136" s="276">
        <v>0</v>
      </c>
      <c r="I136" s="441">
        <v>0</v>
      </c>
      <c r="J136" s="441">
        <v>0</v>
      </c>
      <c r="K136" s="120">
        <f t="shared" si="10"/>
        <v>0</v>
      </c>
      <c r="L136" s="288">
        <f t="shared" si="11"/>
        <v>0</v>
      </c>
      <c r="M136" s="262"/>
      <c r="N136" s="262"/>
      <c r="O136" s="262"/>
      <c r="P136" s="262"/>
    </row>
    <row r="137" spans="1:16" x14ac:dyDescent="0.25">
      <c r="A137" s="210">
        <v>5110</v>
      </c>
      <c r="B137" s="211" t="s">
        <v>132</v>
      </c>
      <c r="C137" s="266">
        <v>0</v>
      </c>
      <c r="D137" s="120">
        <v>0</v>
      </c>
      <c r="E137" s="276">
        <v>0</v>
      </c>
      <c r="F137" s="276">
        <v>0</v>
      </c>
      <c r="G137" s="276">
        <v>0</v>
      </c>
      <c r="H137" s="276">
        <v>0</v>
      </c>
      <c r="I137" s="441">
        <v>0</v>
      </c>
      <c r="J137" s="441">
        <v>0</v>
      </c>
      <c r="K137" s="120">
        <f t="shared" si="10"/>
        <v>0</v>
      </c>
      <c r="L137" s="288">
        <f t="shared" si="11"/>
        <v>0</v>
      </c>
      <c r="M137" s="262"/>
      <c r="N137" s="262"/>
      <c r="O137" s="262"/>
      <c r="P137" s="262"/>
    </row>
    <row r="138" spans="1:16" x14ac:dyDescent="0.25">
      <c r="A138" s="210">
        <v>5111</v>
      </c>
      <c r="B138" s="211" t="s">
        <v>142</v>
      </c>
      <c r="C138" s="266">
        <v>0</v>
      </c>
      <c r="D138" s="120">
        <v>0</v>
      </c>
      <c r="E138" s="276">
        <v>0</v>
      </c>
      <c r="F138" s="276">
        <v>0</v>
      </c>
      <c r="G138" s="276">
        <v>0</v>
      </c>
      <c r="H138" s="276">
        <v>0</v>
      </c>
      <c r="I138" s="441">
        <v>0</v>
      </c>
      <c r="J138" s="441">
        <v>0</v>
      </c>
      <c r="K138" s="120">
        <f t="shared" si="10"/>
        <v>0</v>
      </c>
      <c r="L138" s="288">
        <f t="shared" si="11"/>
        <v>0</v>
      </c>
      <c r="M138" s="262"/>
      <c r="N138" s="262"/>
      <c r="O138" s="262"/>
      <c r="P138" s="262"/>
    </row>
    <row r="139" spans="1:16" x14ac:dyDescent="0.25">
      <c r="A139" s="210">
        <v>5199</v>
      </c>
      <c r="B139" s="211" t="s">
        <v>143</v>
      </c>
      <c r="C139" s="266">
        <v>0</v>
      </c>
      <c r="D139" s="120">
        <v>0</v>
      </c>
      <c r="E139" s="276">
        <v>0</v>
      </c>
      <c r="F139" s="276">
        <v>0</v>
      </c>
      <c r="G139" s="276">
        <v>0</v>
      </c>
      <c r="H139" s="276">
        <v>0</v>
      </c>
      <c r="I139" s="441">
        <v>0</v>
      </c>
      <c r="J139" s="441">
        <v>0</v>
      </c>
      <c r="K139" s="120">
        <f t="shared" si="10"/>
        <v>0</v>
      </c>
      <c r="L139" s="288">
        <f t="shared" si="11"/>
        <v>0</v>
      </c>
      <c r="M139" s="262"/>
      <c r="N139" s="262"/>
      <c r="O139" s="262"/>
      <c r="P139" s="262"/>
    </row>
    <row r="140" spans="1:16" x14ac:dyDescent="0.25">
      <c r="A140" s="210">
        <v>5201</v>
      </c>
      <c r="B140" s="211" t="s">
        <v>144</v>
      </c>
      <c r="C140" s="266">
        <v>0</v>
      </c>
      <c r="D140" s="120">
        <v>0</v>
      </c>
      <c r="E140" s="276">
        <v>0</v>
      </c>
      <c r="F140" s="276">
        <v>0</v>
      </c>
      <c r="G140" s="276">
        <v>0</v>
      </c>
      <c r="H140" s="276">
        <v>0</v>
      </c>
      <c r="I140" s="441">
        <v>0</v>
      </c>
      <c r="J140" s="441">
        <v>0</v>
      </c>
      <c r="K140" s="120">
        <f t="shared" si="10"/>
        <v>0</v>
      </c>
      <c r="L140" s="288">
        <f t="shared" si="11"/>
        <v>0</v>
      </c>
      <c r="M140" s="262"/>
      <c r="N140" s="262"/>
      <c r="O140" s="262"/>
      <c r="P140" s="262"/>
    </row>
    <row r="141" spans="1:16" x14ac:dyDescent="0.25">
      <c r="A141" s="210">
        <v>5202</v>
      </c>
      <c r="B141" s="211" t="s">
        <v>63</v>
      </c>
      <c r="C141" s="266">
        <v>0</v>
      </c>
      <c r="D141" s="120">
        <v>0</v>
      </c>
      <c r="E141" s="276">
        <v>0</v>
      </c>
      <c r="F141" s="276">
        <v>0</v>
      </c>
      <c r="G141" s="276">
        <v>0</v>
      </c>
      <c r="H141" s="276">
        <v>0</v>
      </c>
      <c r="I141" s="441">
        <v>0</v>
      </c>
      <c r="J141" s="441">
        <v>0</v>
      </c>
      <c r="K141" s="120">
        <f t="shared" si="10"/>
        <v>0</v>
      </c>
      <c r="L141" s="288">
        <f t="shared" si="11"/>
        <v>0</v>
      </c>
      <c r="M141" s="262"/>
      <c r="N141" s="262"/>
      <c r="O141" s="262"/>
      <c r="P141" s="262"/>
    </row>
    <row r="142" spans="1:16" x14ac:dyDescent="0.25">
      <c r="A142" s="210">
        <v>5203</v>
      </c>
      <c r="B142" s="211" t="s">
        <v>119</v>
      </c>
      <c r="C142" s="266">
        <v>0</v>
      </c>
      <c r="D142" s="120">
        <v>0</v>
      </c>
      <c r="E142" s="276">
        <v>0</v>
      </c>
      <c r="F142" s="276">
        <v>0</v>
      </c>
      <c r="G142" s="276">
        <v>0</v>
      </c>
      <c r="H142" s="276">
        <v>0</v>
      </c>
      <c r="I142" s="441">
        <v>0</v>
      </c>
      <c r="J142" s="441">
        <v>0</v>
      </c>
      <c r="K142" s="120">
        <f t="shared" si="10"/>
        <v>0</v>
      </c>
      <c r="L142" s="288">
        <f t="shared" si="11"/>
        <v>0</v>
      </c>
      <c r="M142" s="262"/>
      <c r="N142" s="262"/>
      <c r="O142" s="262"/>
      <c r="P142" s="262"/>
    </row>
    <row r="143" spans="1:16" x14ac:dyDescent="0.25">
      <c r="A143" s="210">
        <v>5204</v>
      </c>
      <c r="B143" s="211" t="s">
        <v>145</v>
      </c>
      <c r="C143" s="266">
        <v>0</v>
      </c>
      <c r="D143" s="120">
        <v>0</v>
      </c>
      <c r="E143" s="276">
        <v>0</v>
      </c>
      <c r="F143" s="276">
        <v>0</v>
      </c>
      <c r="G143" s="276">
        <v>0</v>
      </c>
      <c r="H143" s="276">
        <v>0</v>
      </c>
      <c r="I143" s="441">
        <v>0</v>
      </c>
      <c r="J143" s="441">
        <v>0</v>
      </c>
      <c r="K143" s="120">
        <f t="shared" si="10"/>
        <v>0</v>
      </c>
      <c r="L143" s="288">
        <f t="shared" si="11"/>
        <v>0</v>
      </c>
      <c r="M143" s="262"/>
      <c r="N143" s="262"/>
      <c r="O143" s="262"/>
      <c r="P143" s="262"/>
    </row>
    <row r="144" spans="1:16" x14ac:dyDescent="0.25">
      <c r="A144" s="210">
        <v>5205</v>
      </c>
      <c r="B144" s="211" t="s">
        <v>120</v>
      </c>
      <c r="C144" s="266">
        <v>0</v>
      </c>
      <c r="D144" s="120">
        <v>0</v>
      </c>
      <c r="E144" s="276">
        <v>0</v>
      </c>
      <c r="F144" s="276">
        <v>0</v>
      </c>
      <c r="G144" s="276">
        <v>0</v>
      </c>
      <c r="H144" s="276">
        <v>0</v>
      </c>
      <c r="I144" s="441">
        <v>0</v>
      </c>
      <c r="J144" s="441">
        <v>0</v>
      </c>
      <c r="K144" s="120">
        <f t="shared" si="10"/>
        <v>0</v>
      </c>
      <c r="L144" s="288">
        <f t="shared" si="11"/>
        <v>0</v>
      </c>
      <c r="M144" s="262"/>
      <c r="N144" s="262"/>
      <c r="O144" s="262"/>
      <c r="P144" s="262"/>
    </row>
    <row r="145" spans="1:16" x14ac:dyDescent="0.25">
      <c r="A145" s="210">
        <v>5206</v>
      </c>
      <c r="B145" s="211" t="s">
        <v>55</v>
      </c>
      <c r="C145" s="266">
        <v>1</v>
      </c>
      <c r="D145" s="120">
        <v>0</v>
      </c>
      <c r="E145" s="276">
        <v>0</v>
      </c>
      <c r="F145" s="276">
        <v>0</v>
      </c>
      <c r="G145" s="276">
        <v>0</v>
      </c>
      <c r="H145" s="276">
        <v>0</v>
      </c>
      <c r="I145" s="441">
        <v>0</v>
      </c>
      <c r="J145" s="441">
        <v>0</v>
      </c>
      <c r="K145" s="120">
        <f t="shared" si="10"/>
        <v>1</v>
      </c>
      <c r="L145" s="288">
        <f t="shared" si="11"/>
        <v>0</v>
      </c>
      <c r="M145" s="262"/>
      <c r="N145" s="262"/>
      <c r="O145" s="262"/>
      <c r="P145" s="262"/>
    </row>
    <row r="146" spans="1:16" x14ac:dyDescent="0.25">
      <c r="A146" s="210">
        <v>5207</v>
      </c>
      <c r="B146" s="211" t="s">
        <v>65</v>
      </c>
      <c r="C146" s="266">
        <v>0</v>
      </c>
      <c r="D146" s="120">
        <v>0</v>
      </c>
      <c r="E146" s="276">
        <v>0</v>
      </c>
      <c r="F146" s="276">
        <v>0</v>
      </c>
      <c r="G146" s="276">
        <v>0</v>
      </c>
      <c r="H146" s="276">
        <v>0</v>
      </c>
      <c r="I146" s="441">
        <v>0</v>
      </c>
      <c r="J146" s="441">
        <v>0</v>
      </c>
      <c r="K146" s="120">
        <f t="shared" si="10"/>
        <v>0</v>
      </c>
      <c r="L146" s="288">
        <f t="shared" si="11"/>
        <v>0</v>
      </c>
      <c r="M146" s="262"/>
      <c r="N146" s="262"/>
      <c r="O146" s="262"/>
      <c r="P146" s="262"/>
    </row>
    <row r="147" spans="1:16" x14ac:dyDescent="0.25">
      <c r="A147" s="210">
        <v>5208</v>
      </c>
      <c r="B147" s="211" t="s">
        <v>146</v>
      </c>
      <c r="C147" s="266">
        <v>0</v>
      </c>
      <c r="D147" s="120">
        <v>0</v>
      </c>
      <c r="E147" s="276">
        <v>0</v>
      </c>
      <c r="F147" s="276">
        <v>0</v>
      </c>
      <c r="G147" s="276">
        <v>0</v>
      </c>
      <c r="H147" s="276">
        <v>0</v>
      </c>
      <c r="I147" s="441">
        <v>0</v>
      </c>
      <c r="J147" s="441">
        <v>0</v>
      </c>
      <c r="K147" s="120">
        <f t="shared" si="10"/>
        <v>0</v>
      </c>
      <c r="L147" s="288">
        <f t="shared" si="11"/>
        <v>0</v>
      </c>
      <c r="M147" s="262"/>
      <c r="N147" s="262"/>
      <c r="O147" s="262"/>
      <c r="P147" s="262"/>
    </row>
    <row r="148" spans="1:16" x14ac:dyDescent="0.25">
      <c r="A148" s="210">
        <v>5209</v>
      </c>
      <c r="B148" s="211" t="s">
        <v>147</v>
      </c>
      <c r="C148" s="266">
        <v>0</v>
      </c>
      <c r="D148" s="120">
        <v>0</v>
      </c>
      <c r="E148" s="276">
        <v>0</v>
      </c>
      <c r="F148" s="276">
        <v>0</v>
      </c>
      <c r="G148" s="276">
        <v>0</v>
      </c>
      <c r="H148" s="276">
        <v>0</v>
      </c>
      <c r="I148" s="441">
        <v>0</v>
      </c>
      <c r="J148" s="441">
        <v>0</v>
      </c>
      <c r="K148" s="120">
        <f t="shared" si="10"/>
        <v>0</v>
      </c>
      <c r="L148" s="288">
        <f t="shared" si="11"/>
        <v>0</v>
      </c>
      <c r="M148" s="262"/>
      <c r="N148" s="262"/>
      <c r="O148" s="262"/>
      <c r="P148" s="262"/>
    </row>
    <row r="149" spans="1:16" x14ac:dyDescent="0.25">
      <c r="A149" s="210">
        <v>5210</v>
      </c>
      <c r="B149" s="211" t="s">
        <v>148</v>
      </c>
      <c r="C149" s="266">
        <v>0</v>
      </c>
      <c r="D149" s="120">
        <v>0</v>
      </c>
      <c r="E149" s="276">
        <v>0</v>
      </c>
      <c r="F149" s="276">
        <v>0</v>
      </c>
      <c r="G149" s="276">
        <v>0</v>
      </c>
      <c r="H149" s="276">
        <v>0</v>
      </c>
      <c r="I149" s="441">
        <v>0</v>
      </c>
      <c r="J149" s="441">
        <v>0</v>
      </c>
      <c r="K149" s="120">
        <f t="shared" si="10"/>
        <v>0</v>
      </c>
      <c r="L149" s="288">
        <f t="shared" si="11"/>
        <v>0</v>
      </c>
      <c r="M149" s="262"/>
      <c r="N149" s="262"/>
      <c r="O149" s="262"/>
      <c r="P149" s="262"/>
    </row>
    <row r="150" spans="1:16" x14ac:dyDescent="0.25">
      <c r="A150" s="210">
        <v>5211</v>
      </c>
      <c r="B150" s="211" t="s">
        <v>149</v>
      </c>
      <c r="C150" s="266">
        <v>0</v>
      </c>
      <c r="D150" s="120">
        <v>0</v>
      </c>
      <c r="E150" s="276">
        <v>0</v>
      </c>
      <c r="F150" s="276">
        <v>0</v>
      </c>
      <c r="G150" s="276">
        <v>0</v>
      </c>
      <c r="H150" s="276">
        <v>0</v>
      </c>
      <c r="I150" s="441">
        <v>0</v>
      </c>
      <c r="J150" s="441">
        <v>0</v>
      </c>
      <c r="K150" s="120">
        <f t="shared" si="10"/>
        <v>0</v>
      </c>
      <c r="L150" s="288">
        <f t="shared" si="11"/>
        <v>0</v>
      </c>
      <c r="M150" s="262"/>
      <c r="N150" s="262"/>
      <c r="O150" s="262"/>
      <c r="P150" s="262"/>
    </row>
    <row r="151" spans="1:16" x14ac:dyDescent="0.25">
      <c r="A151" s="210">
        <v>5212</v>
      </c>
      <c r="B151" s="211" t="s">
        <v>150</v>
      </c>
      <c r="C151" s="266">
        <v>0</v>
      </c>
      <c r="D151" s="120">
        <v>0</v>
      </c>
      <c r="E151" s="276">
        <v>0</v>
      </c>
      <c r="F151" s="276">
        <v>0</v>
      </c>
      <c r="G151" s="276">
        <v>0</v>
      </c>
      <c r="H151" s="276">
        <v>0</v>
      </c>
      <c r="I151" s="441">
        <v>0</v>
      </c>
      <c r="J151" s="441">
        <v>0</v>
      </c>
      <c r="K151" s="120">
        <f t="shared" si="10"/>
        <v>0</v>
      </c>
      <c r="L151" s="288">
        <f t="shared" si="11"/>
        <v>0</v>
      </c>
      <c r="M151" s="262"/>
      <c r="N151" s="262"/>
      <c r="O151" s="262"/>
      <c r="P151" s="262"/>
    </row>
    <row r="152" spans="1:16" x14ac:dyDescent="0.25">
      <c r="A152" s="210">
        <v>5213</v>
      </c>
      <c r="B152" s="211" t="s">
        <v>151</v>
      </c>
      <c r="C152" s="266">
        <v>0</v>
      </c>
      <c r="D152" s="120">
        <v>0</v>
      </c>
      <c r="E152" s="276">
        <v>0</v>
      </c>
      <c r="F152" s="276">
        <v>0</v>
      </c>
      <c r="G152" s="276">
        <v>0</v>
      </c>
      <c r="H152" s="276">
        <v>0</v>
      </c>
      <c r="I152" s="441">
        <v>0</v>
      </c>
      <c r="J152" s="441">
        <v>0</v>
      </c>
      <c r="K152" s="120">
        <f t="shared" si="10"/>
        <v>0</v>
      </c>
      <c r="L152" s="288">
        <f t="shared" si="11"/>
        <v>0</v>
      </c>
      <c r="M152" s="262"/>
      <c r="N152" s="262"/>
      <c r="O152" s="262"/>
      <c r="P152" s="262"/>
    </row>
    <row r="153" spans="1:16" x14ac:dyDescent="0.25">
      <c r="A153" s="210">
        <v>5214</v>
      </c>
      <c r="B153" s="211" t="s">
        <v>59</v>
      </c>
      <c r="C153" s="266">
        <v>0</v>
      </c>
      <c r="D153" s="120">
        <v>0</v>
      </c>
      <c r="E153" s="276">
        <v>0</v>
      </c>
      <c r="F153" s="276">
        <v>0</v>
      </c>
      <c r="G153" s="276">
        <v>0</v>
      </c>
      <c r="H153" s="276">
        <v>0</v>
      </c>
      <c r="I153" s="441">
        <v>0</v>
      </c>
      <c r="J153" s="441">
        <v>0</v>
      </c>
      <c r="K153" s="120">
        <f t="shared" si="10"/>
        <v>0</v>
      </c>
      <c r="L153" s="288">
        <f t="shared" si="11"/>
        <v>0</v>
      </c>
      <c r="M153" s="262"/>
      <c r="N153" s="262"/>
      <c r="O153" s="262"/>
      <c r="P153" s="262"/>
    </row>
    <row r="154" spans="1:16" x14ac:dyDescent="0.25">
      <c r="A154" s="210">
        <v>5215</v>
      </c>
      <c r="B154" s="211" t="s">
        <v>152</v>
      </c>
      <c r="C154" s="266">
        <v>0</v>
      </c>
      <c r="D154" s="120">
        <v>0</v>
      </c>
      <c r="E154" s="276">
        <v>0</v>
      </c>
      <c r="F154" s="276">
        <v>0</v>
      </c>
      <c r="G154" s="276">
        <v>0</v>
      </c>
      <c r="H154" s="276">
        <v>0</v>
      </c>
      <c r="I154" s="441">
        <v>0</v>
      </c>
      <c r="J154" s="441">
        <v>0</v>
      </c>
      <c r="K154" s="120">
        <f t="shared" si="10"/>
        <v>0</v>
      </c>
      <c r="L154" s="288">
        <f t="shared" si="11"/>
        <v>0</v>
      </c>
      <c r="M154" s="262"/>
      <c r="N154" s="262"/>
      <c r="O154" s="262"/>
      <c r="P154" s="262"/>
    </row>
    <row r="155" spans="1:16" x14ac:dyDescent="0.25">
      <c r="A155" s="210">
        <v>5216</v>
      </c>
      <c r="B155" s="211" t="s">
        <v>153</v>
      </c>
      <c r="C155" s="266">
        <v>0</v>
      </c>
      <c r="D155" s="120">
        <v>0</v>
      </c>
      <c r="E155" s="276">
        <v>0</v>
      </c>
      <c r="F155" s="276">
        <v>0</v>
      </c>
      <c r="G155" s="276">
        <v>0</v>
      </c>
      <c r="H155" s="276">
        <v>0</v>
      </c>
      <c r="I155" s="441">
        <v>0</v>
      </c>
      <c r="J155" s="441">
        <v>0</v>
      </c>
      <c r="K155" s="120">
        <f t="shared" si="10"/>
        <v>0</v>
      </c>
      <c r="L155" s="288">
        <f t="shared" si="11"/>
        <v>0</v>
      </c>
      <c r="M155" s="262"/>
      <c r="N155" s="262"/>
      <c r="O155" s="262"/>
      <c r="P155" s="262"/>
    </row>
    <row r="156" spans="1:16" x14ac:dyDescent="0.25">
      <c r="A156" s="210">
        <v>5217</v>
      </c>
      <c r="B156" s="211" t="s">
        <v>154</v>
      </c>
      <c r="C156" s="266">
        <v>0</v>
      </c>
      <c r="D156" s="120">
        <v>0</v>
      </c>
      <c r="E156" s="276">
        <v>0</v>
      </c>
      <c r="F156" s="276">
        <v>0</v>
      </c>
      <c r="G156" s="276">
        <v>0</v>
      </c>
      <c r="H156" s="276">
        <v>0</v>
      </c>
      <c r="I156" s="441">
        <v>0</v>
      </c>
      <c r="J156" s="441">
        <v>0</v>
      </c>
      <c r="K156" s="120">
        <f t="shared" si="10"/>
        <v>0</v>
      </c>
      <c r="L156" s="288">
        <f t="shared" si="11"/>
        <v>0</v>
      </c>
      <c r="M156" s="262"/>
      <c r="N156" s="262"/>
      <c r="O156" s="262"/>
      <c r="P156" s="262"/>
    </row>
    <row r="157" spans="1:16" x14ac:dyDescent="0.25">
      <c r="A157" s="210">
        <v>5299</v>
      </c>
      <c r="B157" s="211" t="s">
        <v>155</v>
      </c>
      <c r="C157" s="266">
        <v>0</v>
      </c>
      <c r="D157" s="120">
        <v>0</v>
      </c>
      <c r="E157" s="276">
        <v>0</v>
      </c>
      <c r="F157" s="276">
        <v>0</v>
      </c>
      <c r="G157" s="276">
        <v>0</v>
      </c>
      <c r="H157" s="276">
        <v>0</v>
      </c>
      <c r="I157" s="441">
        <v>0</v>
      </c>
      <c r="J157" s="441">
        <v>0</v>
      </c>
      <c r="K157" s="120">
        <f t="shared" si="10"/>
        <v>0</v>
      </c>
      <c r="L157" s="288">
        <f t="shared" si="11"/>
        <v>0</v>
      </c>
      <c r="M157" s="262"/>
      <c r="N157" s="262"/>
      <c r="O157" s="262"/>
      <c r="P157" s="262"/>
    </row>
    <row r="158" spans="1:16" x14ac:dyDescent="0.25">
      <c r="A158" s="210">
        <v>5301</v>
      </c>
      <c r="B158" s="211" t="s">
        <v>156</v>
      </c>
      <c r="C158" s="266">
        <v>0</v>
      </c>
      <c r="D158" s="120">
        <v>0</v>
      </c>
      <c r="E158" s="276">
        <v>0</v>
      </c>
      <c r="F158" s="276">
        <v>0</v>
      </c>
      <c r="G158" s="276">
        <v>0</v>
      </c>
      <c r="H158" s="276">
        <v>0</v>
      </c>
      <c r="I158" s="441">
        <v>0</v>
      </c>
      <c r="J158" s="441">
        <v>0</v>
      </c>
      <c r="K158" s="120">
        <f t="shared" si="10"/>
        <v>0</v>
      </c>
      <c r="L158" s="288">
        <f t="shared" si="11"/>
        <v>0</v>
      </c>
      <c r="M158" s="262"/>
      <c r="N158" s="262"/>
      <c r="O158" s="262"/>
      <c r="P158" s="262"/>
    </row>
    <row r="159" spans="1:16" x14ac:dyDescent="0.25">
      <c r="A159" s="210">
        <v>5302</v>
      </c>
      <c r="B159" s="211" t="s">
        <v>157</v>
      </c>
      <c r="C159" s="266">
        <v>0</v>
      </c>
      <c r="D159" s="120">
        <v>0</v>
      </c>
      <c r="E159" s="276">
        <v>0</v>
      </c>
      <c r="F159" s="276">
        <v>0</v>
      </c>
      <c r="G159" s="276">
        <v>0</v>
      </c>
      <c r="H159" s="276">
        <v>0</v>
      </c>
      <c r="I159" s="441">
        <v>0</v>
      </c>
      <c r="J159" s="441">
        <v>0</v>
      </c>
      <c r="K159" s="120">
        <f t="shared" si="10"/>
        <v>0</v>
      </c>
      <c r="L159" s="288">
        <f t="shared" si="11"/>
        <v>0</v>
      </c>
      <c r="M159" s="262"/>
      <c r="N159" s="262"/>
      <c r="O159" s="262"/>
      <c r="P159" s="262"/>
    </row>
    <row r="160" spans="1:16" x14ac:dyDescent="0.25">
      <c r="A160" s="210">
        <v>5303</v>
      </c>
      <c r="B160" s="211" t="s">
        <v>158</v>
      </c>
      <c r="C160" s="266">
        <v>0</v>
      </c>
      <c r="D160" s="120">
        <v>0</v>
      </c>
      <c r="E160" s="276">
        <v>0</v>
      </c>
      <c r="F160" s="276">
        <v>0</v>
      </c>
      <c r="G160" s="276">
        <v>0</v>
      </c>
      <c r="H160" s="276">
        <v>0</v>
      </c>
      <c r="I160" s="441">
        <v>0</v>
      </c>
      <c r="J160" s="441">
        <v>0</v>
      </c>
      <c r="K160" s="120">
        <f t="shared" si="10"/>
        <v>0</v>
      </c>
      <c r="L160" s="288">
        <f t="shared" si="11"/>
        <v>0</v>
      </c>
      <c r="M160" s="262"/>
      <c r="N160" s="262"/>
      <c r="O160" s="262"/>
      <c r="P160" s="262"/>
    </row>
    <row r="161" spans="1:16" x14ac:dyDescent="0.25">
      <c r="A161" s="210">
        <v>5304</v>
      </c>
      <c r="B161" s="211" t="s">
        <v>159</v>
      </c>
      <c r="C161" s="266">
        <v>0</v>
      </c>
      <c r="D161" s="120">
        <v>0</v>
      </c>
      <c r="E161" s="276">
        <v>0</v>
      </c>
      <c r="F161" s="276">
        <v>0</v>
      </c>
      <c r="G161" s="276">
        <v>0</v>
      </c>
      <c r="H161" s="276">
        <v>0</v>
      </c>
      <c r="I161" s="441">
        <v>0</v>
      </c>
      <c r="J161" s="441">
        <v>0</v>
      </c>
      <c r="K161" s="120">
        <f t="shared" si="10"/>
        <v>0</v>
      </c>
      <c r="L161" s="288">
        <f t="shared" si="11"/>
        <v>0</v>
      </c>
      <c r="M161" s="262"/>
      <c r="N161" s="262"/>
      <c r="O161" s="262"/>
      <c r="P161" s="262"/>
    </row>
    <row r="162" spans="1:16" x14ac:dyDescent="0.25">
      <c r="A162" s="210">
        <v>5305</v>
      </c>
      <c r="B162" s="211" t="s">
        <v>160</v>
      </c>
      <c r="C162" s="266">
        <v>0</v>
      </c>
      <c r="D162" s="120">
        <v>0</v>
      </c>
      <c r="E162" s="276">
        <v>0</v>
      </c>
      <c r="F162" s="276">
        <v>0</v>
      </c>
      <c r="G162" s="276">
        <v>0</v>
      </c>
      <c r="H162" s="276">
        <v>0</v>
      </c>
      <c r="I162" s="441">
        <v>0</v>
      </c>
      <c r="J162" s="441">
        <v>0</v>
      </c>
      <c r="K162" s="120">
        <f t="shared" si="10"/>
        <v>0</v>
      </c>
      <c r="L162" s="288">
        <f t="shared" si="11"/>
        <v>0</v>
      </c>
      <c r="M162" s="262"/>
      <c r="N162" s="262"/>
      <c r="O162" s="262"/>
      <c r="P162" s="262"/>
    </row>
    <row r="163" spans="1:16" x14ac:dyDescent="0.25">
      <c r="A163" s="210">
        <v>5306</v>
      </c>
      <c r="B163" s="211" t="s">
        <v>161</v>
      </c>
      <c r="C163" s="266">
        <v>0</v>
      </c>
      <c r="D163" s="120">
        <v>0</v>
      </c>
      <c r="E163" s="276">
        <v>0</v>
      </c>
      <c r="F163" s="276">
        <v>0</v>
      </c>
      <c r="G163" s="276">
        <v>0</v>
      </c>
      <c r="H163" s="276">
        <v>0</v>
      </c>
      <c r="I163" s="441">
        <v>0</v>
      </c>
      <c r="J163" s="441">
        <v>0</v>
      </c>
      <c r="K163" s="120">
        <f t="shared" si="10"/>
        <v>0</v>
      </c>
      <c r="L163" s="288">
        <f t="shared" si="11"/>
        <v>0</v>
      </c>
      <c r="M163" s="262"/>
      <c r="N163" s="262"/>
      <c r="O163" s="262"/>
      <c r="P163" s="262"/>
    </row>
    <row r="164" spans="1:16" x14ac:dyDescent="0.25">
      <c r="A164" s="210">
        <v>5307</v>
      </c>
      <c r="B164" s="211" t="s">
        <v>162</v>
      </c>
      <c r="C164" s="266">
        <v>0</v>
      </c>
      <c r="D164" s="120">
        <v>0</v>
      </c>
      <c r="E164" s="276">
        <v>0</v>
      </c>
      <c r="F164" s="276">
        <v>0</v>
      </c>
      <c r="G164" s="276">
        <v>0</v>
      </c>
      <c r="H164" s="276">
        <v>0</v>
      </c>
      <c r="I164" s="441">
        <v>0</v>
      </c>
      <c r="J164" s="441">
        <v>0</v>
      </c>
      <c r="K164" s="120">
        <f t="shared" si="10"/>
        <v>0</v>
      </c>
      <c r="L164" s="288">
        <f t="shared" si="11"/>
        <v>0</v>
      </c>
      <c r="M164" s="262"/>
      <c r="N164" s="262"/>
      <c r="O164" s="262"/>
      <c r="P164" s="262"/>
    </row>
    <row r="165" spans="1:16" x14ac:dyDescent="0.25">
      <c r="A165" s="210">
        <v>5308</v>
      </c>
      <c r="B165" s="211" t="s">
        <v>163</v>
      </c>
      <c r="C165" s="266">
        <v>0</v>
      </c>
      <c r="D165" s="120">
        <v>0</v>
      </c>
      <c r="E165" s="276">
        <v>0</v>
      </c>
      <c r="F165" s="276">
        <v>0</v>
      </c>
      <c r="G165" s="276">
        <v>0</v>
      </c>
      <c r="H165" s="276">
        <v>0</v>
      </c>
      <c r="I165" s="441">
        <v>0</v>
      </c>
      <c r="J165" s="441">
        <v>0</v>
      </c>
      <c r="K165" s="120">
        <f t="shared" si="10"/>
        <v>0</v>
      </c>
      <c r="L165" s="288">
        <f t="shared" si="11"/>
        <v>0</v>
      </c>
      <c r="M165" s="262"/>
      <c r="N165" s="262"/>
      <c r="O165" s="262"/>
      <c r="P165" s="262"/>
    </row>
    <row r="166" spans="1:16" x14ac:dyDescent="0.25">
      <c r="A166" s="210">
        <v>5309</v>
      </c>
      <c r="B166" s="211" t="s">
        <v>164</v>
      </c>
      <c r="C166" s="266">
        <v>0</v>
      </c>
      <c r="D166" s="120">
        <v>0</v>
      </c>
      <c r="E166" s="276">
        <v>0</v>
      </c>
      <c r="F166" s="276">
        <v>0</v>
      </c>
      <c r="G166" s="276">
        <v>0</v>
      </c>
      <c r="H166" s="276">
        <v>0</v>
      </c>
      <c r="I166" s="441">
        <v>0</v>
      </c>
      <c r="J166" s="441">
        <v>0</v>
      </c>
      <c r="K166" s="120">
        <f t="shared" si="10"/>
        <v>0</v>
      </c>
      <c r="L166" s="288">
        <f t="shared" si="11"/>
        <v>0</v>
      </c>
      <c r="M166" s="262"/>
      <c r="N166" s="262"/>
      <c r="O166" s="262"/>
      <c r="P166" s="262"/>
    </row>
    <row r="167" spans="1:16" x14ac:dyDescent="0.25">
      <c r="A167" s="210">
        <v>5310</v>
      </c>
      <c r="B167" s="211" t="s">
        <v>86</v>
      </c>
      <c r="C167" s="266">
        <v>0</v>
      </c>
      <c r="D167" s="120">
        <v>0</v>
      </c>
      <c r="E167" s="276">
        <v>0</v>
      </c>
      <c r="F167" s="276">
        <v>0</v>
      </c>
      <c r="G167" s="276">
        <v>0</v>
      </c>
      <c r="H167" s="276">
        <v>0</v>
      </c>
      <c r="I167" s="441">
        <v>0</v>
      </c>
      <c r="J167" s="441">
        <v>0</v>
      </c>
      <c r="K167" s="120">
        <f t="shared" si="10"/>
        <v>0</v>
      </c>
      <c r="L167" s="288">
        <f t="shared" si="11"/>
        <v>0</v>
      </c>
      <c r="M167" s="262"/>
      <c r="N167" s="262"/>
      <c r="O167" s="262"/>
      <c r="P167" s="262"/>
    </row>
    <row r="168" spans="1:16" x14ac:dyDescent="0.25">
      <c r="A168" s="210">
        <v>5311</v>
      </c>
      <c r="B168" s="211" t="s">
        <v>165</v>
      </c>
      <c r="C168" s="266">
        <v>0</v>
      </c>
      <c r="D168" s="120">
        <v>0</v>
      </c>
      <c r="E168" s="276">
        <v>0</v>
      </c>
      <c r="F168" s="276">
        <v>0</v>
      </c>
      <c r="G168" s="276">
        <v>0</v>
      </c>
      <c r="H168" s="276">
        <v>0</v>
      </c>
      <c r="I168" s="441">
        <v>0</v>
      </c>
      <c r="J168" s="441">
        <v>0</v>
      </c>
      <c r="K168" s="120">
        <f t="shared" si="10"/>
        <v>0</v>
      </c>
      <c r="L168" s="288">
        <f t="shared" si="11"/>
        <v>0</v>
      </c>
      <c r="M168" s="262"/>
      <c r="N168" s="262"/>
      <c r="O168" s="262"/>
      <c r="P168" s="262"/>
    </row>
    <row r="169" spans="1:16" x14ac:dyDescent="0.25">
      <c r="A169" s="210">
        <v>5399</v>
      </c>
      <c r="B169" s="211" t="s">
        <v>166</v>
      </c>
      <c r="C169" s="266">
        <v>0</v>
      </c>
      <c r="D169" s="120">
        <v>0</v>
      </c>
      <c r="E169" s="276">
        <v>0</v>
      </c>
      <c r="F169" s="276">
        <v>0</v>
      </c>
      <c r="G169" s="276">
        <v>0</v>
      </c>
      <c r="H169" s="276">
        <v>0</v>
      </c>
      <c r="I169" s="441">
        <v>0</v>
      </c>
      <c r="J169" s="441">
        <v>0</v>
      </c>
      <c r="K169" s="120">
        <f t="shared" si="10"/>
        <v>0</v>
      </c>
      <c r="L169" s="288">
        <f t="shared" si="11"/>
        <v>0</v>
      </c>
      <c r="M169" s="262"/>
      <c r="N169" s="262"/>
      <c r="O169" s="262"/>
      <c r="P169" s="262"/>
    </row>
    <row r="170" spans="1:16" x14ac:dyDescent="0.25">
      <c r="A170" s="210">
        <v>5401</v>
      </c>
      <c r="B170" s="211" t="s">
        <v>167</v>
      </c>
      <c r="C170" s="266">
        <v>0</v>
      </c>
      <c r="D170" s="120">
        <v>0</v>
      </c>
      <c r="E170" s="276">
        <v>0</v>
      </c>
      <c r="F170" s="276">
        <v>0</v>
      </c>
      <c r="G170" s="276">
        <v>0</v>
      </c>
      <c r="H170" s="276">
        <v>0</v>
      </c>
      <c r="I170" s="441">
        <v>0</v>
      </c>
      <c r="J170" s="441">
        <v>0</v>
      </c>
      <c r="K170" s="120">
        <f t="shared" si="10"/>
        <v>0</v>
      </c>
      <c r="L170" s="288">
        <f t="shared" si="11"/>
        <v>0</v>
      </c>
      <c r="M170" s="262"/>
      <c r="N170" s="262"/>
      <c r="O170" s="262"/>
      <c r="P170" s="262"/>
    </row>
    <row r="171" spans="1:16" x14ac:dyDescent="0.25">
      <c r="A171" s="210">
        <v>5402</v>
      </c>
      <c r="B171" s="211" t="s">
        <v>168</v>
      </c>
      <c r="C171" s="266">
        <v>0</v>
      </c>
      <c r="D171" s="120">
        <v>0</v>
      </c>
      <c r="E171" s="276">
        <v>0</v>
      </c>
      <c r="F171" s="276">
        <v>0</v>
      </c>
      <c r="G171" s="276">
        <v>0</v>
      </c>
      <c r="H171" s="276">
        <v>0</v>
      </c>
      <c r="I171" s="441">
        <v>0</v>
      </c>
      <c r="J171" s="441">
        <v>0</v>
      </c>
      <c r="K171" s="120">
        <f t="shared" si="10"/>
        <v>0</v>
      </c>
      <c r="L171" s="288">
        <f t="shared" si="11"/>
        <v>0</v>
      </c>
      <c r="M171" s="262"/>
      <c r="N171" s="262"/>
      <c r="O171" s="262"/>
      <c r="P171" s="262"/>
    </row>
    <row r="172" spans="1:16" x14ac:dyDescent="0.25">
      <c r="A172" s="210">
        <v>5403</v>
      </c>
      <c r="B172" s="211" t="s">
        <v>169</v>
      </c>
      <c r="C172" s="266">
        <v>0</v>
      </c>
      <c r="D172" s="120">
        <v>0</v>
      </c>
      <c r="E172" s="276">
        <v>0</v>
      </c>
      <c r="F172" s="276">
        <v>0</v>
      </c>
      <c r="G172" s="276">
        <v>0</v>
      </c>
      <c r="H172" s="276">
        <v>0</v>
      </c>
      <c r="I172" s="441">
        <v>0</v>
      </c>
      <c r="J172" s="441">
        <v>0</v>
      </c>
      <c r="K172" s="120">
        <f t="shared" si="10"/>
        <v>0</v>
      </c>
      <c r="L172" s="288">
        <f t="shared" si="11"/>
        <v>0</v>
      </c>
      <c r="M172" s="262"/>
      <c r="N172" s="262"/>
      <c r="O172" s="262"/>
      <c r="P172" s="262"/>
    </row>
    <row r="173" spans="1:16" x14ac:dyDescent="0.25">
      <c r="A173" s="210">
        <v>5404</v>
      </c>
      <c r="B173" s="211" t="s">
        <v>170</v>
      </c>
      <c r="C173" s="266">
        <v>0</v>
      </c>
      <c r="D173" s="120">
        <v>0</v>
      </c>
      <c r="E173" s="276">
        <v>0</v>
      </c>
      <c r="F173" s="276">
        <v>0</v>
      </c>
      <c r="G173" s="276">
        <v>0</v>
      </c>
      <c r="H173" s="276">
        <v>0</v>
      </c>
      <c r="I173" s="441">
        <v>0</v>
      </c>
      <c r="J173" s="441">
        <v>0</v>
      </c>
      <c r="K173" s="120">
        <f t="shared" si="10"/>
        <v>0</v>
      </c>
      <c r="L173" s="288">
        <f t="shared" si="11"/>
        <v>0</v>
      </c>
      <c r="M173" s="262"/>
      <c r="N173" s="262"/>
      <c r="O173" s="262"/>
      <c r="P173" s="262"/>
    </row>
    <row r="174" spans="1:16" x14ac:dyDescent="0.25">
      <c r="A174" s="210">
        <v>5405</v>
      </c>
      <c r="B174" s="211" t="s">
        <v>171</v>
      </c>
      <c r="C174" s="266">
        <v>0</v>
      </c>
      <c r="D174" s="120">
        <v>0</v>
      </c>
      <c r="E174" s="276">
        <v>0</v>
      </c>
      <c r="F174" s="276">
        <v>0</v>
      </c>
      <c r="G174" s="276">
        <v>0</v>
      </c>
      <c r="H174" s="276">
        <v>0</v>
      </c>
      <c r="I174" s="441">
        <v>0</v>
      </c>
      <c r="J174" s="441">
        <v>0</v>
      </c>
      <c r="K174" s="120">
        <f t="shared" si="10"/>
        <v>0</v>
      </c>
      <c r="L174" s="288">
        <f t="shared" si="11"/>
        <v>0</v>
      </c>
      <c r="M174" s="262"/>
      <c r="N174" s="262"/>
      <c r="O174" s="262"/>
      <c r="P174" s="262"/>
    </row>
    <row r="175" spans="1:16" x14ac:dyDescent="0.25">
      <c r="A175" s="210">
        <v>5406</v>
      </c>
      <c r="B175" s="211" t="s">
        <v>172</v>
      </c>
      <c r="C175" s="266">
        <v>0</v>
      </c>
      <c r="D175" s="120">
        <v>0</v>
      </c>
      <c r="E175" s="276">
        <v>0</v>
      </c>
      <c r="F175" s="276">
        <v>0</v>
      </c>
      <c r="G175" s="276">
        <v>0</v>
      </c>
      <c r="H175" s="276">
        <v>0</v>
      </c>
      <c r="I175" s="441">
        <v>0</v>
      </c>
      <c r="J175" s="441">
        <v>0</v>
      </c>
      <c r="K175" s="120">
        <f t="shared" si="10"/>
        <v>0</v>
      </c>
      <c r="L175" s="288">
        <f t="shared" si="11"/>
        <v>0</v>
      </c>
      <c r="M175" s="262"/>
      <c r="N175" s="262"/>
      <c r="O175" s="262"/>
      <c r="P175" s="262"/>
    </row>
    <row r="176" spans="1:16" x14ac:dyDescent="0.25">
      <c r="A176" s="210">
        <v>5407</v>
      </c>
      <c r="B176" s="211" t="s">
        <v>173</v>
      </c>
      <c r="C176" s="266">
        <v>0</v>
      </c>
      <c r="D176" s="120">
        <v>2</v>
      </c>
      <c r="E176" s="276">
        <v>0</v>
      </c>
      <c r="F176" s="276">
        <v>0</v>
      </c>
      <c r="G176" s="276">
        <v>0</v>
      </c>
      <c r="H176" s="276">
        <v>0</v>
      </c>
      <c r="I176" s="441">
        <v>0</v>
      </c>
      <c r="J176" s="441">
        <v>0</v>
      </c>
      <c r="K176" s="120">
        <f t="shared" si="10"/>
        <v>0</v>
      </c>
      <c r="L176" s="288">
        <f t="shared" si="11"/>
        <v>2</v>
      </c>
      <c r="M176" s="262"/>
      <c r="N176" s="262"/>
      <c r="O176" s="262"/>
      <c r="P176" s="262"/>
    </row>
    <row r="177" spans="1:16" x14ac:dyDescent="0.25">
      <c r="A177" s="210">
        <v>5408</v>
      </c>
      <c r="B177" s="211" t="s">
        <v>174</v>
      </c>
      <c r="C177" s="266">
        <v>1</v>
      </c>
      <c r="D177" s="120">
        <v>0</v>
      </c>
      <c r="E177" s="276">
        <v>0</v>
      </c>
      <c r="F177" s="276">
        <v>0</v>
      </c>
      <c r="G177" s="276">
        <v>0</v>
      </c>
      <c r="H177" s="276">
        <v>0</v>
      </c>
      <c r="I177" s="441">
        <v>0</v>
      </c>
      <c r="J177" s="441">
        <v>0</v>
      </c>
      <c r="K177" s="120">
        <f t="shared" si="10"/>
        <v>1</v>
      </c>
      <c r="L177" s="288">
        <f t="shared" si="11"/>
        <v>0</v>
      </c>
      <c r="M177" s="262"/>
      <c r="N177" s="262"/>
      <c r="O177" s="262"/>
      <c r="P177" s="262"/>
    </row>
    <row r="178" spans="1:16" x14ac:dyDescent="0.25">
      <c r="A178" s="210">
        <v>5409</v>
      </c>
      <c r="B178" s="211" t="s">
        <v>175</v>
      </c>
      <c r="C178" s="266">
        <v>0</v>
      </c>
      <c r="D178" s="120">
        <v>2</v>
      </c>
      <c r="E178" s="276">
        <v>0</v>
      </c>
      <c r="F178" s="276">
        <v>0</v>
      </c>
      <c r="G178" s="276">
        <v>0</v>
      </c>
      <c r="H178" s="276">
        <v>0</v>
      </c>
      <c r="I178" s="441">
        <v>0</v>
      </c>
      <c r="J178" s="441">
        <v>0</v>
      </c>
      <c r="K178" s="120">
        <f t="shared" si="10"/>
        <v>0</v>
      </c>
      <c r="L178" s="288">
        <f t="shared" si="11"/>
        <v>2</v>
      </c>
      <c r="M178" s="262"/>
      <c r="N178" s="262"/>
      <c r="O178" s="262"/>
      <c r="P178" s="262"/>
    </row>
    <row r="179" spans="1:16" x14ac:dyDescent="0.25">
      <c r="A179" s="210">
        <v>5499</v>
      </c>
      <c r="B179" s="211" t="s">
        <v>176</v>
      </c>
      <c r="C179" s="266">
        <v>0</v>
      </c>
      <c r="D179" s="120">
        <v>0</v>
      </c>
      <c r="E179" s="276">
        <v>0</v>
      </c>
      <c r="F179" s="276">
        <v>0</v>
      </c>
      <c r="G179" s="276">
        <v>0</v>
      </c>
      <c r="H179" s="276">
        <v>0</v>
      </c>
      <c r="I179" s="441">
        <v>0</v>
      </c>
      <c r="J179" s="441">
        <v>0</v>
      </c>
      <c r="K179" s="120">
        <f t="shared" si="10"/>
        <v>0</v>
      </c>
      <c r="L179" s="288">
        <f t="shared" si="11"/>
        <v>0</v>
      </c>
      <c r="M179" s="262"/>
      <c r="N179" s="262"/>
      <c r="O179" s="262"/>
      <c r="P179" s="262"/>
    </row>
    <row r="180" spans="1:16" x14ac:dyDescent="0.25">
      <c r="A180" s="210">
        <v>5501</v>
      </c>
      <c r="B180" s="211" t="s">
        <v>112</v>
      </c>
      <c r="C180" s="266">
        <v>0</v>
      </c>
      <c r="D180" s="120">
        <v>0</v>
      </c>
      <c r="E180" s="276">
        <v>0</v>
      </c>
      <c r="F180" s="276">
        <v>0</v>
      </c>
      <c r="G180" s="276">
        <v>0</v>
      </c>
      <c r="H180" s="276">
        <v>0</v>
      </c>
      <c r="I180" s="441">
        <v>0</v>
      </c>
      <c r="J180" s="441">
        <v>0</v>
      </c>
      <c r="K180" s="120">
        <f t="shared" si="10"/>
        <v>0</v>
      </c>
      <c r="L180" s="288">
        <f t="shared" si="11"/>
        <v>0</v>
      </c>
      <c r="M180" s="262"/>
      <c r="N180" s="262"/>
      <c r="O180" s="262"/>
      <c r="P180" s="262"/>
    </row>
    <row r="181" spans="1:16" x14ac:dyDescent="0.25">
      <c r="A181" s="210">
        <v>5502</v>
      </c>
      <c r="B181" s="211" t="s">
        <v>177</v>
      </c>
      <c r="C181" s="266">
        <v>0</v>
      </c>
      <c r="D181" s="120">
        <v>0</v>
      </c>
      <c r="E181" s="276">
        <v>0</v>
      </c>
      <c r="F181" s="276">
        <v>0</v>
      </c>
      <c r="G181" s="276">
        <v>0</v>
      </c>
      <c r="H181" s="276">
        <v>0</v>
      </c>
      <c r="I181" s="441">
        <v>0</v>
      </c>
      <c r="J181" s="441">
        <v>0</v>
      </c>
      <c r="K181" s="120">
        <f t="shared" si="10"/>
        <v>0</v>
      </c>
      <c r="L181" s="288">
        <f t="shared" si="11"/>
        <v>0</v>
      </c>
      <c r="M181" s="262"/>
      <c r="N181" s="262"/>
      <c r="O181" s="262"/>
      <c r="P181" s="262"/>
    </row>
    <row r="182" spans="1:16" x14ac:dyDescent="0.25">
      <c r="A182" s="210">
        <v>5503</v>
      </c>
      <c r="B182" s="211" t="s">
        <v>178</v>
      </c>
      <c r="C182" s="266">
        <v>0</v>
      </c>
      <c r="D182" s="120">
        <v>0</v>
      </c>
      <c r="E182" s="276">
        <v>0</v>
      </c>
      <c r="F182" s="276">
        <v>0</v>
      </c>
      <c r="G182" s="276">
        <v>0</v>
      </c>
      <c r="H182" s="276">
        <v>0</v>
      </c>
      <c r="I182" s="441">
        <v>0</v>
      </c>
      <c r="J182" s="441">
        <v>0</v>
      </c>
      <c r="K182" s="120">
        <f t="shared" si="10"/>
        <v>0</v>
      </c>
      <c r="L182" s="288">
        <f t="shared" si="11"/>
        <v>0</v>
      </c>
      <c r="M182" s="262"/>
      <c r="N182" s="262"/>
      <c r="O182" s="262"/>
      <c r="P182" s="262"/>
    </row>
    <row r="183" spans="1:16" x14ac:dyDescent="0.25">
      <c r="A183" s="210">
        <v>5504</v>
      </c>
      <c r="B183" s="211" t="s">
        <v>104</v>
      </c>
      <c r="C183" s="266">
        <v>0</v>
      </c>
      <c r="D183" s="120">
        <v>0</v>
      </c>
      <c r="E183" s="276">
        <v>0</v>
      </c>
      <c r="F183" s="276">
        <v>0</v>
      </c>
      <c r="G183" s="276">
        <v>0</v>
      </c>
      <c r="H183" s="276">
        <v>0</v>
      </c>
      <c r="I183" s="441">
        <v>0</v>
      </c>
      <c r="J183" s="441">
        <v>0</v>
      </c>
      <c r="K183" s="120">
        <f t="shared" si="10"/>
        <v>0</v>
      </c>
      <c r="L183" s="288">
        <f t="shared" si="11"/>
        <v>0</v>
      </c>
      <c r="M183" s="262"/>
      <c r="N183" s="262"/>
      <c r="O183" s="262"/>
      <c r="P183" s="262"/>
    </row>
    <row r="184" spans="1:16" x14ac:dyDescent="0.25">
      <c r="A184" s="210">
        <v>5505</v>
      </c>
      <c r="B184" s="211" t="s">
        <v>179</v>
      </c>
      <c r="C184" s="266">
        <v>0</v>
      </c>
      <c r="D184" s="120">
        <v>0</v>
      </c>
      <c r="E184" s="276">
        <v>0</v>
      </c>
      <c r="F184" s="276">
        <v>0</v>
      </c>
      <c r="G184" s="276">
        <v>0</v>
      </c>
      <c r="H184" s="276">
        <v>0</v>
      </c>
      <c r="I184" s="441">
        <v>0</v>
      </c>
      <c r="J184" s="441">
        <v>0</v>
      </c>
      <c r="K184" s="120">
        <f t="shared" si="10"/>
        <v>0</v>
      </c>
      <c r="L184" s="288">
        <f t="shared" si="11"/>
        <v>0</v>
      </c>
      <c r="M184" s="262"/>
      <c r="N184" s="262"/>
      <c r="O184" s="262"/>
      <c r="P184" s="262"/>
    </row>
    <row r="185" spans="1:16" x14ac:dyDescent="0.25">
      <c r="A185" s="210">
        <v>5506</v>
      </c>
      <c r="B185" s="211" t="s">
        <v>180</v>
      </c>
      <c r="C185" s="266">
        <v>0</v>
      </c>
      <c r="D185" s="120">
        <v>0</v>
      </c>
      <c r="E185" s="276">
        <v>0</v>
      </c>
      <c r="F185" s="276">
        <v>0</v>
      </c>
      <c r="G185" s="276">
        <v>0</v>
      </c>
      <c r="H185" s="276">
        <v>0</v>
      </c>
      <c r="I185" s="441">
        <v>0</v>
      </c>
      <c r="J185" s="441">
        <v>0</v>
      </c>
      <c r="K185" s="120">
        <f t="shared" si="10"/>
        <v>0</v>
      </c>
      <c r="L185" s="288">
        <f t="shared" si="11"/>
        <v>0</v>
      </c>
      <c r="M185" s="262"/>
      <c r="N185" s="262"/>
      <c r="O185" s="262"/>
      <c r="P185" s="262"/>
    </row>
    <row r="186" spans="1:16" x14ac:dyDescent="0.25">
      <c r="A186" s="210">
        <v>5507</v>
      </c>
      <c r="B186" s="211" t="s">
        <v>102</v>
      </c>
      <c r="C186" s="266">
        <v>0</v>
      </c>
      <c r="D186" s="120">
        <v>0</v>
      </c>
      <c r="E186" s="276">
        <v>0</v>
      </c>
      <c r="F186" s="276">
        <v>0</v>
      </c>
      <c r="G186" s="276">
        <v>0</v>
      </c>
      <c r="H186" s="276">
        <v>0</v>
      </c>
      <c r="I186" s="441">
        <v>0</v>
      </c>
      <c r="J186" s="441">
        <v>0</v>
      </c>
      <c r="K186" s="120">
        <f t="shared" si="10"/>
        <v>0</v>
      </c>
      <c r="L186" s="288">
        <f t="shared" si="11"/>
        <v>0</v>
      </c>
      <c r="M186" s="262"/>
      <c r="N186" s="262"/>
      <c r="O186" s="262"/>
      <c r="P186" s="262"/>
    </row>
    <row r="187" spans="1:16" x14ac:dyDescent="0.25">
      <c r="A187" s="210">
        <v>5508</v>
      </c>
      <c r="B187" s="211" t="s">
        <v>121</v>
      </c>
      <c r="C187" s="266">
        <v>0</v>
      </c>
      <c r="D187" s="120">
        <v>0</v>
      </c>
      <c r="E187" s="276">
        <v>0</v>
      </c>
      <c r="F187" s="276">
        <v>0</v>
      </c>
      <c r="G187" s="276">
        <v>0</v>
      </c>
      <c r="H187" s="276">
        <v>0</v>
      </c>
      <c r="I187" s="441">
        <v>0</v>
      </c>
      <c r="J187" s="441">
        <v>0</v>
      </c>
      <c r="K187" s="120">
        <f t="shared" si="10"/>
        <v>0</v>
      </c>
      <c r="L187" s="288">
        <f t="shared" si="11"/>
        <v>0</v>
      </c>
      <c r="M187" s="262"/>
      <c r="N187" s="262"/>
      <c r="O187" s="262"/>
      <c r="P187" s="262"/>
    </row>
    <row r="188" spans="1:16" x14ac:dyDescent="0.25">
      <c r="A188" s="210">
        <v>5509</v>
      </c>
      <c r="B188" s="211" t="s">
        <v>87</v>
      </c>
      <c r="C188" s="266">
        <v>0</v>
      </c>
      <c r="D188" s="120">
        <v>1</v>
      </c>
      <c r="E188" s="276">
        <v>0</v>
      </c>
      <c r="F188" s="276">
        <v>0</v>
      </c>
      <c r="G188" s="276">
        <v>0</v>
      </c>
      <c r="H188" s="276">
        <v>0</v>
      </c>
      <c r="I188" s="441">
        <v>0</v>
      </c>
      <c r="J188" s="441">
        <v>0</v>
      </c>
      <c r="K188" s="120">
        <f t="shared" si="10"/>
        <v>0</v>
      </c>
      <c r="L188" s="288">
        <f t="shared" si="11"/>
        <v>1</v>
      </c>
      <c r="M188" s="262"/>
      <c r="N188" s="262"/>
      <c r="O188" s="262"/>
      <c r="P188" s="262"/>
    </row>
    <row r="189" spans="1:16" x14ac:dyDescent="0.25">
      <c r="A189" s="210">
        <v>5510</v>
      </c>
      <c r="B189" s="211" t="s">
        <v>181</v>
      </c>
      <c r="C189" s="266">
        <v>0</v>
      </c>
      <c r="D189" s="120">
        <v>0</v>
      </c>
      <c r="E189" s="276">
        <v>0</v>
      </c>
      <c r="F189" s="276">
        <v>0</v>
      </c>
      <c r="G189" s="276">
        <v>0</v>
      </c>
      <c r="H189" s="276">
        <v>0</v>
      </c>
      <c r="I189" s="441">
        <v>0</v>
      </c>
      <c r="J189" s="441">
        <v>0</v>
      </c>
      <c r="K189" s="120">
        <f t="shared" si="10"/>
        <v>0</v>
      </c>
      <c r="L189" s="288">
        <f t="shared" si="11"/>
        <v>0</v>
      </c>
      <c r="M189" s="262"/>
      <c r="N189" s="262"/>
      <c r="O189" s="262"/>
      <c r="P189" s="262"/>
    </row>
    <row r="190" spans="1:16" x14ac:dyDescent="0.25">
      <c r="A190" s="210">
        <v>5511</v>
      </c>
      <c r="B190" s="211" t="s">
        <v>182</v>
      </c>
      <c r="C190" s="266">
        <v>0</v>
      </c>
      <c r="D190" s="120">
        <v>0</v>
      </c>
      <c r="E190" s="276">
        <v>0</v>
      </c>
      <c r="F190" s="276">
        <v>0</v>
      </c>
      <c r="G190" s="276">
        <v>0</v>
      </c>
      <c r="H190" s="276">
        <v>0</v>
      </c>
      <c r="I190" s="441">
        <v>0</v>
      </c>
      <c r="J190" s="441">
        <v>0</v>
      </c>
      <c r="K190" s="120">
        <f t="shared" si="10"/>
        <v>0</v>
      </c>
      <c r="L190" s="288">
        <f t="shared" si="11"/>
        <v>0</v>
      </c>
      <c r="M190" s="262"/>
      <c r="N190" s="262"/>
      <c r="O190" s="262"/>
      <c r="P190" s="262"/>
    </row>
    <row r="191" spans="1:16" x14ac:dyDescent="0.25">
      <c r="A191" s="210">
        <v>5512</v>
      </c>
      <c r="B191" s="211" t="s">
        <v>98</v>
      </c>
      <c r="C191" s="266">
        <v>0</v>
      </c>
      <c r="D191" s="120">
        <v>0</v>
      </c>
      <c r="E191" s="276">
        <v>0</v>
      </c>
      <c r="F191" s="276">
        <v>0</v>
      </c>
      <c r="G191" s="276">
        <v>0</v>
      </c>
      <c r="H191" s="276">
        <v>0</v>
      </c>
      <c r="I191" s="441">
        <v>0</v>
      </c>
      <c r="J191" s="441">
        <v>0</v>
      </c>
      <c r="K191" s="120">
        <f t="shared" si="10"/>
        <v>0</v>
      </c>
      <c r="L191" s="288">
        <f t="shared" si="11"/>
        <v>0</v>
      </c>
      <c r="M191" s="262"/>
      <c r="N191" s="262"/>
      <c r="O191" s="262"/>
      <c r="P191" s="262"/>
    </row>
    <row r="192" spans="1:16" x14ac:dyDescent="0.25">
      <c r="A192" s="210">
        <v>5513</v>
      </c>
      <c r="B192" s="211" t="s">
        <v>103</v>
      </c>
      <c r="C192" s="266">
        <v>0</v>
      </c>
      <c r="D192" s="120">
        <v>0</v>
      </c>
      <c r="E192" s="276">
        <v>0</v>
      </c>
      <c r="F192" s="276">
        <v>0</v>
      </c>
      <c r="G192" s="276">
        <v>0</v>
      </c>
      <c r="H192" s="276">
        <v>0</v>
      </c>
      <c r="I192" s="441">
        <v>0</v>
      </c>
      <c r="J192" s="441">
        <v>0</v>
      </c>
      <c r="K192" s="120">
        <f t="shared" ref="K192:K255" si="12">C192+E192-G192-I192</f>
        <v>0</v>
      </c>
      <c r="L192" s="288">
        <f t="shared" ref="L192:L255" si="13">D192+F192-H192-J192</f>
        <v>0</v>
      </c>
      <c r="M192" s="262"/>
      <c r="N192" s="262"/>
      <c r="O192" s="262"/>
      <c r="P192" s="262"/>
    </row>
    <row r="193" spans="1:16" x14ac:dyDescent="0.25">
      <c r="A193" s="210">
        <v>5514</v>
      </c>
      <c r="B193" s="211" t="s">
        <v>183</v>
      </c>
      <c r="C193" s="266">
        <v>0</v>
      </c>
      <c r="D193" s="120">
        <v>0</v>
      </c>
      <c r="E193" s="276">
        <v>0</v>
      </c>
      <c r="F193" s="276">
        <v>0</v>
      </c>
      <c r="G193" s="276">
        <v>0</v>
      </c>
      <c r="H193" s="276">
        <v>0</v>
      </c>
      <c r="I193" s="441">
        <v>0</v>
      </c>
      <c r="J193" s="441">
        <v>0</v>
      </c>
      <c r="K193" s="120">
        <f t="shared" si="12"/>
        <v>0</v>
      </c>
      <c r="L193" s="288">
        <f t="shared" si="13"/>
        <v>0</v>
      </c>
      <c r="M193" s="262"/>
      <c r="N193" s="262"/>
      <c r="O193" s="262"/>
      <c r="P193" s="262"/>
    </row>
    <row r="194" spans="1:16" x14ac:dyDescent="0.25">
      <c r="A194" s="210">
        <v>5515</v>
      </c>
      <c r="B194" s="211" t="s">
        <v>184</v>
      </c>
      <c r="C194" s="266">
        <v>0</v>
      </c>
      <c r="D194" s="120">
        <v>0</v>
      </c>
      <c r="E194" s="276">
        <v>0</v>
      </c>
      <c r="F194" s="276">
        <v>0</v>
      </c>
      <c r="G194" s="276">
        <v>0</v>
      </c>
      <c r="H194" s="276">
        <v>0</v>
      </c>
      <c r="I194" s="441">
        <v>0</v>
      </c>
      <c r="J194" s="441">
        <v>0</v>
      </c>
      <c r="K194" s="120">
        <f t="shared" si="12"/>
        <v>0</v>
      </c>
      <c r="L194" s="288">
        <f t="shared" si="13"/>
        <v>0</v>
      </c>
      <c r="M194" s="262"/>
      <c r="N194" s="262"/>
      <c r="O194" s="262"/>
      <c r="P194" s="262"/>
    </row>
    <row r="195" spans="1:16" x14ac:dyDescent="0.25">
      <c r="A195" s="210">
        <v>5516</v>
      </c>
      <c r="B195" s="211" t="s">
        <v>108</v>
      </c>
      <c r="C195" s="266">
        <v>0</v>
      </c>
      <c r="D195" s="120">
        <v>0</v>
      </c>
      <c r="E195" s="276">
        <v>0</v>
      </c>
      <c r="F195" s="276">
        <v>0</v>
      </c>
      <c r="G195" s="276">
        <v>0</v>
      </c>
      <c r="H195" s="276">
        <v>0</v>
      </c>
      <c r="I195" s="441">
        <v>0</v>
      </c>
      <c r="J195" s="441">
        <v>0</v>
      </c>
      <c r="K195" s="120">
        <f t="shared" si="12"/>
        <v>0</v>
      </c>
      <c r="L195" s="288">
        <f t="shared" si="13"/>
        <v>0</v>
      </c>
      <c r="M195" s="262"/>
      <c r="N195" s="262"/>
      <c r="O195" s="262"/>
      <c r="P195" s="262"/>
    </row>
    <row r="196" spans="1:16" x14ac:dyDescent="0.25">
      <c r="A196" s="210">
        <v>5517</v>
      </c>
      <c r="B196" s="211" t="s">
        <v>185</v>
      </c>
      <c r="C196" s="266">
        <v>0</v>
      </c>
      <c r="D196" s="120">
        <v>0</v>
      </c>
      <c r="E196" s="276">
        <v>0</v>
      </c>
      <c r="F196" s="276">
        <v>0</v>
      </c>
      <c r="G196" s="276">
        <v>0</v>
      </c>
      <c r="H196" s="276">
        <v>0</v>
      </c>
      <c r="I196" s="441">
        <v>0</v>
      </c>
      <c r="J196" s="441">
        <v>0</v>
      </c>
      <c r="K196" s="120">
        <f t="shared" si="12"/>
        <v>0</v>
      </c>
      <c r="L196" s="288">
        <f t="shared" si="13"/>
        <v>0</v>
      </c>
      <c r="M196" s="262"/>
      <c r="N196" s="262"/>
      <c r="O196" s="262"/>
      <c r="P196" s="262"/>
    </row>
    <row r="197" spans="1:16" x14ac:dyDescent="0.25">
      <c r="A197" s="210">
        <v>5518</v>
      </c>
      <c r="B197" s="211" t="s">
        <v>109</v>
      </c>
      <c r="C197" s="266">
        <v>0</v>
      </c>
      <c r="D197" s="120">
        <v>0</v>
      </c>
      <c r="E197" s="276">
        <v>0</v>
      </c>
      <c r="F197" s="276">
        <v>0</v>
      </c>
      <c r="G197" s="276">
        <v>0</v>
      </c>
      <c r="H197" s="276">
        <v>0</v>
      </c>
      <c r="I197" s="441">
        <v>0</v>
      </c>
      <c r="J197" s="441">
        <v>0</v>
      </c>
      <c r="K197" s="120">
        <f t="shared" si="12"/>
        <v>0</v>
      </c>
      <c r="L197" s="288">
        <f t="shared" si="13"/>
        <v>0</v>
      </c>
      <c r="M197" s="262"/>
      <c r="N197" s="262"/>
      <c r="O197" s="262"/>
      <c r="P197" s="262"/>
    </row>
    <row r="198" spans="1:16" x14ac:dyDescent="0.25">
      <c r="A198" s="210">
        <v>5519</v>
      </c>
      <c r="B198" s="211" t="s">
        <v>186</v>
      </c>
      <c r="C198" s="266">
        <v>0</v>
      </c>
      <c r="D198" s="120">
        <v>0</v>
      </c>
      <c r="E198" s="276">
        <v>0</v>
      </c>
      <c r="F198" s="276">
        <v>0</v>
      </c>
      <c r="G198" s="276">
        <v>0</v>
      </c>
      <c r="H198" s="276">
        <v>0</v>
      </c>
      <c r="I198" s="441">
        <v>0</v>
      </c>
      <c r="J198" s="441">
        <v>0</v>
      </c>
      <c r="K198" s="120">
        <f t="shared" si="12"/>
        <v>0</v>
      </c>
      <c r="L198" s="288">
        <f t="shared" si="13"/>
        <v>0</v>
      </c>
      <c r="M198" s="262"/>
      <c r="N198" s="262"/>
      <c r="O198" s="262"/>
      <c r="P198" s="262"/>
    </row>
    <row r="199" spans="1:16" x14ac:dyDescent="0.25">
      <c r="A199" s="210">
        <v>5520</v>
      </c>
      <c r="B199" s="211" t="s">
        <v>187</v>
      </c>
      <c r="C199" s="266">
        <v>0</v>
      </c>
      <c r="D199" s="120">
        <v>0</v>
      </c>
      <c r="E199" s="276">
        <v>0</v>
      </c>
      <c r="F199" s="276">
        <v>0</v>
      </c>
      <c r="G199" s="276">
        <v>0</v>
      </c>
      <c r="H199" s="276">
        <v>0</v>
      </c>
      <c r="I199" s="441">
        <v>0</v>
      </c>
      <c r="J199" s="441">
        <v>0</v>
      </c>
      <c r="K199" s="120">
        <f t="shared" si="12"/>
        <v>0</v>
      </c>
      <c r="L199" s="288">
        <f t="shared" si="13"/>
        <v>0</v>
      </c>
      <c r="M199" s="262"/>
      <c r="N199" s="262"/>
      <c r="O199" s="262"/>
      <c r="P199" s="262"/>
    </row>
    <row r="200" spans="1:16" x14ac:dyDescent="0.25">
      <c r="A200" s="210">
        <v>5521</v>
      </c>
      <c r="B200" s="211" t="s">
        <v>188</v>
      </c>
      <c r="C200" s="266">
        <v>0</v>
      </c>
      <c r="D200" s="120">
        <v>0</v>
      </c>
      <c r="E200" s="276">
        <v>0</v>
      </c>
      <c r="F200" s="276">
        <v>0</v>
      </c>
      <c r="G200" s="276">
        <v>0</v>
      </c>
      <c r="H200" s="276">
        <v>0</v>
      </c>
      <c r="I200" s="441">
        <v>0</v>
      </c>
      <c r="J200" s="441">
        <v>0</v>
      </c>
      <c r="K200" s="120">
        <f t="shared" si="12"/>
        <v>0</v>
      </c>
      <c r="L200" s="288">
        <f t="shared" si="13"/>
        <v>0</v>
      </c>
      <c r="M200" s="262"/>
      <c r="N200" s="262"/>
      <c r="O200" s="262"/>
      <c r="P200" s="262"/>
    </row>
    <row r="201" spans="1:16" x14ac:dyDescent="0.25">
      <c r="A201" s="210">
        <v>5522</v>
      </c>
      <c r="B201" s="211" t="s">
        <v>110</v>
      </c>
      <c r="C201" s="266">
        <v>0</v>
      </c>
      <c r="D201" s="120">
        <v>0</v>
      </c>
      <c r="E201" s="276">
        <v>0</v>
      </c>
      <c r="F201" s="276">
        <v>0</v>
      </c>
      <c r="G201" s="276">
        <v>0</v>
      </c>
      <c r="H201" s="276">
        <v>0</v>
      </c>
      <c r="I201" s="441">
        <v>0</v>
      </c>
      <c r="J201" s="441">
        <v>0</v>
      </c>
      <c r="K201" s="120">
        <f t="shared" si="12"/>
        <v>0</v>
      </c>
      <c r="L201" s="288">
        <f t="shared" si="13"/>
        <v>0</v>
      </c>
      <c r="M201" s="262"/>
      <c r="N201" s="262"/>
      <c r="O201" s="262"/>
      <c r="P201" s="262"/>
    </row>
    <row r="202" spans="1:16" x14ac:dyDescent="0.25">
      <c r="A202" s="210">
        <v>5523</v>
      </c>
      <c r="B202" s="211" t="s">
        <v>189</v>
      </c>
      <c r="C202" s="266">
        <v>0</v>
      </c>
      <c r="D202" s="120">
        <v>0</v>
      </c>
      <c r="E202" s="276">
        <v>0</v>
      </c>
      <c r="F202" s="276">
        <v>0</v>
      </c>
      <c r="G202" s="276">
        <v>0</v>
      </c>
      <c r="H202" s="276">
        <v>0</v>
      </c>
      <c r="I202" s="441">
        <v>0</v>
      </c>
      <c r="J202" s="441">
        <v>0</v>
      </c>
      <c r="K202" s="120">
        <f t="shared" si="12"/>
        <v>0</v>
      </c>
      <c r="L202" s="288">
        <f t="shared" si="13"/>
        <v>0</v>
      </c>
      <c r="M202" s="262"/>
      <c r="N202" s="262"/>
      <c r="O202" s="262"/>
      <c r="P202" s="262"/>
    </row>
    <row r="203" spans="1:16" x14ac:dyDescent="0.25">
      <c r="A203" s="210">
        <v>5524</v>
      </c>
      <c r="B203" s="211" t="s">
        <v>190</v>
      </c>
      <c r="C203" s="266">
        <v>0</v>
      </c>
      <c r="D203" s="120">
        <v>0</v>
      </c>
      <c r="E203" s="276">
        <v>0</v>
      </c>
      <c r="F203" s="276">
        <v>0</v>
      </c>
      <c r="G203" s="276">
        <v>0</v>
      </c>
      <c r="H203" s="276">
        <v>0</v>
      </c>
      <c r="I203" s="441">
        <v>0</v>
      </c>
      <c r="J203" s="441">
        <v>0</v>
      </c>
      <c r="K203" s="120">
        <f t="shared" si="12"/>
        <v>0</v>
      </c>
      <c r="L203" s="288">
        <f t="shared" si="13"/>
        <v>0</v>
      </c>
      <c r="M203" s="262"/>
      <c r="N203" s="262"/>
      <c r="O203" s="262"/>
      <c r="P203" s="262"/>
    </row>
    <row r="204" spans="1:16" x14ac:dyDescent="0.25">
      <c r="A204" s="210">
        <v>5525</v>
      </c>
      <c r="B204" s="211" t="s">
        <v>191</v>
      </c>
      <c r="C204" s="266">
        <v>0</v>
      </c>
      <c r="D204" s="120">
        <v>0</v>
      </c>
      <c r="E204" s="276">
        <v>0</v>
      </c>
      <c r="F204" s="276">
        <v>0</v>
      </c>
      <c r="G204" s="276">
        <v>0</v>
      </c>
      <c r="H204" s="276">
        <v>0</v>
      </c>
      <c r="I204" s="441">
        <v>0</v>
      </c>
      <c r="J204" s="441">
        <v>0</v>
      </c>
      <c r="K204" s="120">
        <f t="shared" si="12"/>
        <v>0</v>
      </c>
      <c r="L204" s="288">
        <f t="shared" si="13"/>
        <v>0</v>
      </c>
      <c r="M204" s="262"/>
      <c r="N204" s="262"/>
      <c r="O204" s="262"/>
      <c r="P204" s="262"/>
    </row>
    <row r="205" spans="1:16" ht="30" x14ac:dyDescent="0.25">
      <c r="A205" s="210">
        <v>5526</v>
      </c>
      <c r="B205" s="211" t="s">
        <v>192</v>
      </c>
      <c r="C205" s="266">
        <v>0</v>
      </c>
      <c r="D205" s="120">
        <v>0</v>
      </c>
      <c r="E205" s="276">
        <v>0</v>
      </c>
      <c r="F205" s="276">
        <v>0</v>
      </c>
      <c r="G205" s="276">
        <v>0</v>
      </c>
      <c r="H205" s="276">
        <v>0</v>
      </c>
      <c r="I205" s="441">
        <v>0</v>
      </c>
      <c r="J205" s="441">
        <v>0</v>
      </c>
      <c r="K205" s="120">
        <f t="shared" si="12"/>
        <v>0</v>
      </c>
      <c r="L205" s="288">
        <f t="shared" si="13"/>
        <v>0</v>
      </c>
      <c r="M205" s="262"/>
      <c r="N205" s="262"/>
      <c r="O205" s="262"/>
      <c r="P205" s="262"/>
    </row>
    <row r="206" spans="1:16" x14ac:dyDescent="0.25">
      <c r="A206" s="210">
        <v>5527</v>
      </c>
      <c r="B206" s="211" t="s">
        <v>193</v>
      </c>
      <c r="C206" s="266">
        <v>0</v>
      </c>
      <c r="D206" s="120">
        <v>0</v>
      </c>
      <c r="E206" s="276">
        <v>0</v>
      </c>
      <c r="F206" s="276">
        <v>0</v>
      </c>
      <c r="G206" s="276">
        <v>0</v>
      </c>
      <c r="H206" s="276">
        <v>0</v>
      </c>
      <c r="I206" s="441">
        <v>0</v>
      </c>
      <c r="J206" s="441">
        <v>0</v>
      </c>
      <c r="K206" s="120">
        <f t="shared" si="12"/>
        <v>0</v>
      </c>
      <c r="L206" s="288">
        <f t="shared" si="13"/>
        <v>0</v>
      </c>
      <c r="M206" s="262"/>
      <c r="N206" s="262"/>
      <c r="O206" s="262"/>
      <c r="P206" s="262"/>
    </row>
    <row r="207" spans="1:16" x14ac:dyDescent="0.25">
      <c r="A207" s="210">
        <v>5528</v>
      </c>
      <c r="B207" s="211" t="s">
        <v>194</v>
      </c>
      <c r="C207" s="266">
        <v>0</v>
      </c>
      <c r="D207" s="120">
        <v>0</v>
      </c>
      <c r="E207" s="276">
        <v>0</v>
      </c>
      <c r="F207" s="276">
        <v>0</v>
      </c>
      <c r="G207" s="276">
        <v>0</v>
      </c>
      <c r="H207" s="276">
        <v>0</v>
      </c>
      <c r="I207" s="441">
        <v>0</v>
      </c>
      <c r="J207" s="441">
        <v>0</v>
      </c>
      <c r="K207" s="120">
        <f t="shared" si="12"/>
        <v>0</v>
      </c>
      <c r="L207" s="288">
        <f t="shared" si="13"/>
        <v>0</v>
      </c>
      <c r="M207" s="262"/>
      <c r="N207" s="262"/>
      <c r="O207" s="262"/>
      <c r="P207" s="262"/>
    </row>
    <row r="208" spans="1:16" x14ac:dyDescent="0.25">
      <c r="A208" s="210">
        <v>5529</v>
      </c>
      <c r="B208" s="211" t="s">
        <v>195</v>
      </c>
      <c r="C208" s="266">
        <v>0</v>
      </c>
      <c r="D208" s="120">
        <v>0</v>
      </c>
      <c r="E208" s="276">
        <v>0</v>
      </c>
      <c r="F208" s="276">
        <v>0</v>
      </c>
      <c r="G208" s="276">
        <v>0</v>
      </c>
      <c r="H208" s="276">
        <v>0</v>
      </c>
      <c r="I208" s="441">
        <v>0</v>
      </c>
      <c r="J208" s="441">
        <v>0</v>
      </c>
      <c r="K208" s="120">
        <f t="shared" si="12"/>
        <v>0</v>
      </c>
      <c r="L208" s="288">
        <f t="shared" si="13"/>
        <v>0</v>
      </c>
      <c r="M208" s="262"/>
      <c r="N208" s="262"/>
      <c r="O208" s="262"/>
      <c r="P208" s="262"/>
    </row>
    <row r="209" spans="1:16" x14ac:dyDescent="0.25">
      <c r="A209" s="210">
        <v>5530</v>
      </c>
      <c r="B209" s="211" t="s">
        <v>196</v>
      </c>
      <c r="C209" s="266">
        <v>0</v>
      </c>
      <c r="D209" s="120">
        <v>0</v>
      </c>
      <c r="E209" s="276">
        <v>0</v>
      </c>
      <c r="F209" s="276">
        <v>0</v>
      </c>
      <c r="G209" s="276">
        <v>0</v>
      </c>
      <c r="H209" s="276">
        <v>0</v>
      </c>
      <c r="I209" s="441">
        <v>0</v>
      </c>
      <c r="J209" s="441">
        <v>0</v>
      </c>
      <c r="K209" s="120">
        <f t="shared" si="12"/>
        <v>0</v>
      </c>
      <c r="L209" s="288">
        <f t="shared" si="13"/>
        <v>0</v>
      </c>
      <c r="M209" s="262"/>
      <c r="N209" s="262"/>
      <c r="O209" s="262"/>
      <c r="P209" s="262"/>
    </row>
    <row r="210" spans="1:16" x14ac:dyDescent="0.25">
      <c r="A210" s="210">
        <v>5531</v>
      </c>
      <c r="B210" s="211" t="s">
        <v>197</v>
      </c>
      <c r="C210" s="266">
        <v>0</v>
      </c>
      <c r="D210" s="120">
        <v>0</v>
      </c>
      <c r="E210" s="276">
        <v>0</v>
      </c>
      <c r="F210" s="276">
        <v>0</v>
      </c>
      <c r="G210" s="276">
        <v>0</v>
      </c>
      <c r="H210" s="276">
        <v>0</v>
      </c>
      <c r="I210" s="441">
        <v>0</v>
      </c>
      <c r="J210" s="441">
        <v>0</v>
      </c>
      <c r="K210" s="120">
        <f t="shared" si="12"/>
        <v>0</v>
      </c>
      <c r="L210" s="288">
        <f t="shared" si="13"/>
        <v>0</v>
      </c>
      <c r="M210" s="262"/>
      <c r="N210" s="262"/>
      <c r="O210" s="262"/>
      <c r="P210" s="262"/>
    </row>
    <row r="211" spans="1:16" ht="30" x14ac:dyDescent="0.25">
      <c r="A211" s="210">
        <v>5532</v>
      </c>
      <c r="B211" s="211" t="s">
        <v>198</v>
      </c>
      <c r="C211" s="266">
        <v>0</v>
      </c>
      <c r="D211" s="120">
        <v>0</v>
      </c>
      <c r="E211" s="276">
        <v>0</v>
      </c>
      <c r="F211" s="276">
        <v>0</v>
      </c>
      <c r="G211" s="276">
        <v>0</v>
      </c>
      <c r="H211" s="276">
        <v>0</v>
      </c>
      <c r="I211" s="441">
        <v>0</v>
      </c>
      <c r="J211" s="441">
        <v>0</v>
      </c>
      <c r="K211" s="120">
        <f t="shared" si="12"/>
        <v>0</v>
      </c>
      <c r="L211" s="288">
        <f t="shared" si="13"/>
        <v>0</v>
      </c>
      <c r="M211" s="262"/>
      <c r="N211" s="262"/>
      <c r="O211" s="262"/>
      <c r="P211" s="262"/>
    </row>
    <row r="212" spans="1:16" x14ac:dyDescent="0.25">
      <c r="A212" s="210">
        <v>5533</v>
      </c>
      <c r="B212" s="211" t="s">
        <v>199</v>
      </c>
      <c r="C212" s="266">
        <v>0</v>
      </c>
      <c r="D212" s="120">
        <v>0</v>
      </c>
      <c r="E212" s="276">
        <v>0</v>
      </c>
      <c r="F212" s="276">
        <v>0</v>
      </c>
      <c r="G212" s="276">
        <v>0</v>
      </c>
      <c r="H212" s="276">
        <v>0</v>
      </c>
      <c r="I212" s="441">
        <v>0</v>
      </c>
      <c r="J212" s="441">
        <v>0</v>
      </c>
      <c r="K212" s="120">
        <f t="shared" si="12"/>
        <v>0</v>
      </c>
      <c r="L212" s="288">
        <f t="shared" si="13"/>
        <v>0</v>
      </c>
      <c r="M212" s="262"/>
      <c r="N212" s="262"/>
      <c r="O212" s="262"/>
      <c r="P212" s="262"/>
    </row>
    <row r="213" spans="1:16" x14ac:dyDescent="0.25">
      <c r="A213" s="210">
        <v>5534</v>
      </c>
      <c r="B213" s="211" t="s">
        <v>200</v>
      </c>
      <c r="C213" s="266">
        <v>0</v>
      </c>
      <c r="D213" s="120">
        <v>0</v>
      </c>
      <c r="E213" s="276">
        <v>0</v>
      </c>
      <c r="F213" s="276">
        <v>0</v>
      </c>
      <c r="G213" s="276">
        <v>0</v>
      </c>
      <c r="H213" s="276">
        <v>0</v>
      </c>
      <c r="I213" s="441">
        <v>0</v>
      </c>
      <c r="J213" s="441">
        <v>0</v>
      </c>
      <c r="K213" s="120">
        <f t="shared" si="12"/>
        <v>0</v>
      </c>
      <c r="L213" s="288">
        <f t="shared" si="13"/>
        <v>0</v>
      </c>
      <c r="M213" s="262"/>
      <c r="N213" s="262"/>
      <c r="O213" s="262"/>
      <c r="P213" s="262"/>
    </row>
    <row r="214" spans="1:16" ht="30" x14ac:dyDescent="0.25">
      <c r="A214" s="210">
        <v>5535</v>
      </c>
      <c r="B214" s="211" t="s">
        <v>201</v>
      </c>
      <c r="C214" s="266">
        <v>0</v>
      </c>
      <c r="D214" s="120">
        <v>0</v>
      </c>
      <c r="E214" s="276">
        <v>0</v>
      </c>
      <c r="F214" s="276">
        <v>0</v>
      </c>
      <c r="G214" s="276">
        <v>0</v>
      </c>
      <c r="H214" s="276">
        <v>0</v>
      </c>
      <c r="I214" s="441">
        <v>0</v>
      </c>
      <c r="J214" s="441">
        <v>0</v>
      </c>
      <c r="K214" s="120">
        <f t="shared" si="12"/>
        <v>0</v>
      </c>
      <c r="L214" s="288">
        <f t="shared" si="13"/>
        <v>0</v>
      </c>
      <c r="M214" s="262"/>
      <c r="N214" s="262"/>
      <c r="O214" s="262"/>
      <c r="P214" s="262"/>
    </row>
    <row r="215" spans="1:16" ht="30" x14ac:dyDescent="0.25">
      <c r="A215" s="210">
        <v>5599</v>
      </c>
      <c r="B215" s="211" t="s">
        <v>202</v>
      </c>
      <c r="C215" s="266">
        <v>0</v>
      </c>
      <c r="D215" s="120">
        <v>0</v>
      </c>
      <c r="E215" s="276">
        <v>0</v>
      </c>
      <c r="F215" s="276">
        <v>0</v>
      </c>
      <c r="G215" s="276">
        <v>0</v>
      </c>
      <c r="H215" s="276">
        <v>0</v>
      </c>
      <c r="I215" s="441">
        <v>0</v>
      </c>
      <c r="J215" s="441">
        <v>0</v>
      </c>
      <c r="K215" s="120">
        <f t="shared" si="12"/>
        <v>0</v>
      </c>
      <c r="L215" s="288">
        <f t="shared" si="13"/>
        <v>0</v>
      </c>
      <c r="M215" s="262"/>
      <c r="N215" s="262"/>
      <c r="O215" s="262"/>
      <c r="P215" s="262"/>
    </row>
    <row r="216" spans="1:16" x14ac:dyDescent="0.25">
      <c r="A216" s="210">
        <v>5601</v>
      </c>
      <c r="B216" s="211" t="s">
        <v>95</v>
      </c>
      <c r="C216" s="266">
        <v>0</v>
      </c>
      <c r="D216" s="120">
        <v>0</v>
      </c>
      <c r="E216" s="276">
        <v>0</v>
      </c>
      <c r="F216" s="276">
        <v>0</v>
      </c>
      <c r="G216" s="276">
        <v>0</v>
      </c>
      <c r="H216" s="276">
        <v>0</v>
      </c>
      <c r="I216" s="441">
        <v>0</v>
      </c>
      <c r="J216" s="441">
        <v>0</v>
      </c>
      <c r="K216" s="120">
        <f t="shared" si="12"/>
        <v>0</v>
      </c>
      <c r="L216" s="288">
        <f t="shared" si="13"/>
        <v>0</v>
      </c>
      <c r="M216" s="262"/>
      <c r="N216" s="262"/>
      <c r="O216" s="262"/>
      <c r="P216" s="262"/>
    </row>
    <row r="217" spans="1:16" x14ac:dyDescent="0.25">
      <c r="A217" s="210">
        <v>5602</v>
      </c>
      <c r="B217" s="211" t="s">
        <v>203</v>
      </c>
      <c r="C217" s="266">
        <v>0</v>
      </c>
      <c r="D217" s="120">
        <v>0</v>
      </c>
      <c r="E217" s="276">
        <v>0</v>
      </c>
      <c r="F217" s="276">
        <v>0</v>
      </c>
      <c r="G217" s="276">
        <v>0</v>
      </c>
      <c r="H217" s="276">
        <v>0</v>
      </c>
      <c r="I217" s="441">
        <v>0</v>
      </c>
      <c r="J217" s="441">
        <v>0</v>
      </c>
      <c r="K217" s="120">
        <f t="shared" si="12"/>
        <v>0</v>
      </c>
      <c r="L217" s="288">
        <f t="shared" si="13"/>
        <v>0</v>
      </c>
      <c r="M217" s="262"/>
      <c r="N217" s="262"/>
      <c r="O217" s="262"/>
      <c r="P217" s="262"/>
    </row>
    <row r="218" spans="1:16" x14ac:dyDescent="0.25">
      <c r="A218" s="210">
        <v>5603</v>
      </c>
      <c r="B218" s="211" t="s">
        <v>204</v>
      </c>
      <c r="C218" s="266">
        <v>0</v>
      </c>
      <c r="D218" s="120">
        <v>0</v>
      </c>
      <c r="E218" s="276">
        <v>0</v>
      </c>
      <c r="F218" s="276">
        <v>0</v>
      </c>
      <c r="G218" s="276">
        <v>0</v>
      </c>
      <c r="H218" s="276">
        <v>0</v>
      </c>
      <c r="I218" s="441">
        <v>0</v>
      </c>
      <c r="J218" s="441">
        <v>0</v>
      </c>
      <c r="K218" s="120">
        <f t="shared" si="12"/>
        <v>0</v>
      </c>
      <c r="L218" s="288">
        <f t="shared" si="13"/>
        <v>0</v>
      </c>
      <c r="M218" s="262"/>
      <c r="N218" s="262"/>
      <c r="O218" s="262"/>
      <c r="P218" s="262"/>
    </row>
    <row r="219" spans="1:16" x14ac:dyDescent="0.25">
      <c r="A219" s="210">
        <v>5604</v>
      </c>
      <c r="B219" s="211" t="s">
        <v>96</v>
      </c>
      <c r="C219" s="266">
        <v>0</v>
      </c>
      <c r="D219" s="120">
        <v>0</v>
      </c>
      <c r="E219" s="276">
        <v>0</v>
      </c>
      <c r="F219" s="276">
        <v>0</v>
      </c>
      <c r="G219" s="276">
        <v>0</v>
      </c>
      <c r="H219" s="276">
        <v>0</v>
      </c>
      <c r="I219" s="441">
        <v>0</v>
      </c>
      <c r="J219" s="441">
        <v>0</v>
      </c>
      <c r="K219" s="120">
        <f t="shared" si="12"/>
        <v>0</v>
      </c>
      <c r="L219" s="288">
        <f t="shared" si="13"/>
        <v>0</v>
      </c>
      <c r="M219" s="262"/>
      <c r="N219" s="262"/>
      <c r="O219" s="262"/>
      <c r="P219" s="262"/>
    </row>
    <row r="220" spans="1:16" x14ac:dyDescent="0.25">
      <c r="A220" s="210">
        <v>5605</v>
      </c>
      <c r="B220" s="211" t="s">
        <v>98</v>
      </c>
      <c r="C220" s="266">
        <v>0</v>
      </c>
      <c r="D220" s="120">
        <v>0</v>
      </c>
      <c r="E220" s="276">
        <v>0</v>
      </c>
      <c r="F220" s="276">
        <v>0</v>
      </c>
      <c r="G220" s="276">
        <v>0</v>
      </c>
      <c r="H220" s="276">
        <v>0</v>
      </c>
      <c r="I220" s="441">
        <v>0</v>
      </c>
      <c r="J220" s="441">
        <v>0</v>
      </c>
      <c r="K220" s="120">
        <f t="shared" si="12"/>
        <v>0</v>
      </c>
      <c r="L220" s="288">
        <f t="shared" si="13"/>
        <v>0</v>
      </c>
      <c r="M220" s="262"/>
      <c r="N220" s="262"/>
      <c r="O220" s="262"/>
      <c r="P220" s="262"/>
    </row>
    <row r="221" spans="1:16" x14ac:dyDescent="0.25">
      <c r="A221" s="210">
        <v>5606</v>
      </c>
      <c r="B221" s="211" t="s">
        <v>125</v>
      </c>
      <c r="C221" s="266">
        <v>0</v>
      </c>
      <c r="D221" s="120">
        <v>0</v>
      </c>
      <c r="E221" s="276">
        <v>0</v>
      </c>
      <c r="F221" s="276">
        <v>0</v>
      </c>
      <c r="G221" s="276">
        <v>0</v>
      </c>
      <c r="H221" s="276">
        <v>0</v>
      </c>
      <c r="I221" s="441">
        <v>0</v>
      </c>
      <c r="J221" s="441">
        <v>0</v>
      </c>
      <c r="K221" s="120">
        <f t="shared" si="12"/>
        <v>0</v>
      </c>
      <c r="L221" s="288">
        <f t="shared" si="13"/>
        <v>0</v>
      </c>
      <c r="M221" s="262"/>
      <c r="N221" s="262"/>
      <c r="O221" s="262"/>
      <c r="P221" s="262"/>
    </row>
    <row r="222" spans="1:16" x14ac:dyDescent="0.25">
      <c r="A222" s="210">
        <v>5607</v>
      </c>
      <c r="B222" s="211" t="s">
        <v>97</v>
      </c>
      <c r="C222" s="266">
        <v>0</v>
      </c>
      <c r="D222" s="120">
        <v>0</v>
      </c>
      <c r="E222" s="276">
        <v>0</v>
      </c>
      <c r="F222" s="276">
        <v>0</v>
      </c>
      <c r="G222" s="276">
        <v>0</v>
      </c>
      <c r="H222" s="276">
        <v>0</v>
      </c>
      <c r="I222" s="441">
        <v>0</v>
      </c>
      <c r="J222" s="441">
        <v>0</v>
      </c>
      <c r="K222" s="120">
        <f t="shared" si="12"/>
        <v>0</v>
      </c>
      <c r="L222" s="288">
        <f t="shared" si="13"/>
        <v>0</v>
      </c>
      <c r="M222" s="262"/>
      <c r="N222" s="262"/>
      <c r="O222" s="262"/>
      <c r="P222" s="262"/>
    </row>
    <row r="223" spans="1:16" x14ac:dyDescent="0.25">
      <c r="A223" s="210">
        <v>5608</v>
      </c>
      <c r="B223" s="211" t="s">
        <v>100</v>
      </c>
      <c r="C223" s="266">
        <v>0</v>
      </c>
      <c r="D223" s="120">
        <v>0</v>
      </c>
      <c r="E223" s="276">
        <v>0</v>
      </c>
      <c r="F223" s="276">
        <v>0</v>
      </c>
      <c r="G223" s="276">
        <v>0</v>
      </c>
      <c r="H223" s="276">
        <v>0</v>
      </c>
      <c r="I223" s="441">
        <v>0</v>
      </c>
      <c r="J223" s="441">
        <v>0</v>
      </c>
      <c r="K223" s="120">
        <f t="shared" si="12"/>
        <v>0</v>
      </c>
      <c r="L223" s="288">
        <f t="shared" si="13"/>
        <v>0</v>
      </c>
      <c r="M223" s="262"/>
      <c r="N223" s="262"/>
      <c r="O223" s="262"/>
      <c r="P223" s="262"/>
    </row>
    <row r="224" spans="1:16" x14ac:dyDescent="0.25">
      <c r="A224" s="210">
        <v>5609</v>
      </c>
      <c r="B224" s="211" t="s">
        <v>197</v>
      </c>
      <c r="C224" s="266">
        <v>0</v>
      </c>
      <c r="D224" s="120">
        <v>0</v>
      </c>
      <c r="E224" s="276">
        <v>0</v>
      </c>
      <c r="F224" s="276">
        <v>0</v>
      </c>
      <c r="G224" s="276">
        <v>0</v>
      </c>
      <c r="H224" s="276">
        <v>0</v>
      </c>
      <c r="I224" s="441">
        <v>0</v>
      </c>
      <c r="J224" s="441">
        <v>0</v>
      </c>
      <c r="K224" s="120">
        <f t="shared" si="12"/>
        <v>0</v>
      </c>
      <c r="L224" s="288">
        <f t="shared" si="13"/>
        <v>0</v>
      </c>
      <c r="M224" s="262"/>
      <c r="N224" s="262"/>
      <c r="O224" s="262"/>
      <c r="P224" s="262"/>
    </row>
    <row r="225" spans="1:16" x14ac:dyDescent="0.25">
      <c r="A225" s="210">
        <v>5610</v>
      </c>
      <c r="B225" s="211" t="s">
        <v>205</v>
      </c>
      <c r="C225" s="266">
        <v>0</v>
      </c>
      <c r="D225" s="120">
        <v>0</v>
      </c>
      <c r="E225" s="276">
        <v>0</v>
      </c>
      <c r="F225" s="276">
        <v>0</v>
      </c>
      <c r="G225" s="276">
        <v>0</v>
      </c>
      <c r="H225" s="276">
        <v>0</v>
      </c>
      <c r="I225" s="441">
        <v>0</v>
      </c>
      <c r="J225" s="441">
        <v>0</v>
      </c>
      <c r="K225" s="120">
        <f t="shared" si="12"/>
        <v>0</v>
      </c>
      <c r="L225" s="288">
        <f t="shared" si="13"/>
        <v>0</v>
      </c>
      <c r="M225" s="262"/>
      <c r="N225" s="262"/>
      <c r="O225" s="262"/>
      <c r="P225" s="262"/>
    </row>
    <row r="226" spans="1:16" x14ac:dyDescent="0.25">
      <c r="A226" s="210">
        <v>5611</v>
      </c>
      <c r="B226" s="211" t="s">
        <v>101</v>
      </c>
      <c r="C226" s="266">
        <v>0</v>
      </c>
      <c r="D226" s="120">
        <v>0</v>
      </c>
      <c r="E226" s="276">
        <v>0</v>
      </c>
      <c r="F226" s="276">
        <v>0</v>
      </c>
      <c r="G226" s="276">
        <v>0</v>
      </c>
      <c r="H226" s="276">
        <v>0</v>
      </c>
      <c r="I226" s="441">
        <v>0</v>
      </c>
      <c r="J226" s="441">
        <v>0</v>
      </c>
      <c r="K226" s="120">
        <f t="shared" si="12"/>
        <v>0</v>
      </c>
      <c r="L226" s="288">
        <f t="shared" si="13"/>
        <v>0</v>
      </c>
      <c r="M226" s="262"/>
      <c r="N226" s="262"/>
      <c r="O226" s="262"/>
      <c r="P226" s="262"/>
    </row>
    <row r="227" spans="1:16" x14ac:dyDescent="0.25">
      <c r="A227" s="210">
        <v>5612</v>
      </c>
      <c r="B227" s="211" t="s">
        <v>105</v>
      </c>
      <c r="C227" s="266">
        <v>0</v>
      </c>
      <c r="D227" s="120">
        <v>0</v>
      </c>
      <c r="E227" s="276">
        <v>0</v>
      </c>
      <c r="F227" s="276">
        <v>0</v>
      </c>
      <c r="G227" s="276">
        <v>0</v>
      </c>
      <c r="H227" s="276">
        <v>0</v>
      </c>
      <c r="I227" s="441">
        <v>0</v>
      </c>
      <c r="J227" s="441">
        <v>0</v>
      </c>
      <c r="K227" s="120">
        <f t="shared" si="12"/>
        <v>0</v>
      </c>
      <c r="L227" s="288">
        <f t="shared" si="13"/>
        <v>0</v>
      </c>
      <c r="M227" s="262"/>
      <c r="N227" s="262"/>
      <c r="O227" s="262"/>
      <c r="P227" s="262"/>
    </row>
    <row r="228" spans="1:16" x14ac:dyDescent="0.25">
      <c r="A228" s="210">
        <v>5613</v>
      </c>
      <c r="B228" s="211" t="s">
        <v>107</v>
      </c>
      <c r="C228" s="266">
        <v>0</v>
      </c>
      <c r="D228" s="120">
        <v>0</v>
      </c>
      <c r="E228" s="276">
        <v>0</v>
      </c>
      <c r="F228" s="276">
        <v>0</v>
      </c>
      <c r="G228" s="276">
        <v>0</v>
      </c>
      <c r="H228" s="276">
        <v>0</v>
      </c>
      <c r="I228" s="441">
        <v>0</v>
      </c>
      <c r="J228" s="441">
        <v>0</v>
      </c>
      <c r="K228" s="120">
        <f t="shared" si="12"/>
        <v>0</v>
      </c>
      <c r="L228" s="288">
        <f t="shared" si="13"/>
        <v>0</v>
      </c>
      <c r="M228" s="262"/>
      <c r="N228" s="262"/>
      <c r="O228" s="262"/>
      <c r="P228" s="262"/>
    </row>
    <row r="229" spans="1:16" x14ac:dyDescent="0.25">
      <c r="A229" s="210">
        <v>5614</v>
      </c>
      <c r="B229" s="211" t="s">
        <v>185</v>
      </c>
      <c r="C229" s="266">
        <v>0</v>
      </c>
      <c r="D229" s="120">
        <v>0</v>
      </c>
      <c r="E229" s="276">
        <v>0</v>
      </c>
      <c r="F229" s="276">
        <v>0</v>
      </c>
      <c r="G229" s="276">
        <v>0</v>
      </c>
      <c r="H229" s="276">
        <v>0</v>
      </c>
      <c r="I229" s="441">
        <v>0</v>
      </c>
      <c r="J229" s="441">
        <v>0</v>
      </c>
      <c r="K229" s="120">
        <f t="shared" si="12"/>
        <v>0</v>
      </c>
      <c r="L229" s="288">
        <f t="shared" si="13"/>
        <v>0</v>
      </c>
      <c r="M229" s="262"/>
      <c r="N229" s="262"/>
      <c r="O229" s="262"/>
      <c r="P229" s="262"/>
    </row>
    <row r="230" spans="1:16" x14ac:dyDescent="0.25">
      <c r="A230" s="210">
        <v>5615</v>
      </c>
      <c r="B230" s="211" t="s">
        <v>630</v>
      </c>
      <c r="C230" s="266">
        <v>0</v>
      </c>
      <c r="D230" s="120">
        <v>0</v>
      </c>
      <c r="E230" s="276">
        <v>0</v>
      </c>
      <c r="F230" s="276">
        <v>0</v>
      </c>
      <c r="G230" s="276">
        <v>0</v>
      </c>
      <c r="H230" s="276">
        <v>0</v>
      </c>
      <c r="I230" s="441">
        <v>0</v>
      </c>
      <c r="J230" s="441">
        <v>0</v>
      </c>
      <c r="K230" s="120">
        <f t="shared" si="12"/>
        <v>0</v>
      </c>
      <c r="L230" s="288">
        <f t="shared" si="13"/>
        <v>0</v>
      </c>
      <c r="M230" s="262"/>
      <c r="N230" s="262"/>
      <c r="O230" s="262"/>
      <c r="P230" s="262"/>
    </row>
    <row r="231" spans="1:16" x14ac:dyDescent="0.25">
      <c r="A231" s="210">
        <v>5616</v>
      </c>
      <c r="B231" s="211" t="s">
        <v>109</v>
      </c>
      <c r="C231" s="266">
        <v>0</v>
      </c>
      <c r="D231" s="120">
        <v>0</v>
      </c>
      <c r="E231" s="276">
        <v>0</v>
      </c>
      <c r="F231" s="276">
        <v>0</v>
      </c>
      <c r="G231" s="276">
        <v>0</v>
      </c>
      <c r="H231" s="276">
        <v>0</v>
      </c>
      <c r="I231" s="441">
        <v>0</v>
      </c>
      <c r="J231" s="441">
        <v>0</v>
      </c>
      <c r="K231" s="120">
        <f t="shared" si="12"/>
        <v>0</v>
      </c>
      <c r="L231" s="288">
        <f t="shared" si="13"/>
        <v>0</v>
      </c>
      <c r="M231" s="262"/>
      <c r="N231" s="262"/>
      <c r="O231" s="262"/>
      <c r="P231" s="262"/>
    </row>
    <row r="232" spans="1:16" x14ac:dyDescent="0.25">
      <c r="A232" s="210">
        <v>5617</v>
      </c>
      <c r="B232" s="211" t="s">
        <v>186</v>
      </c>
      <c r="C232" s="266">
        <v>0</v>
      </c>
      <c r="D232" s="120">
        <v>0</v>
      </c>
      <c r="E232" s="276">
        <v>0</v>
      </c>
      <c r="F232" s="276">
        <v>0</v>
      </c>
      <c r="G232" s="276">
        <v>0</v>
      </c>
      <c r="H232" s="276">
        <v>0</v>
      </c>
      <c r="I232" s="441">
        <v>0</v>
      </c>
      <c r="J232" s="441">
        <v>0</v>
      </c>
      <c r="K232" s="120">
        <f t="shared" si="12"/>
        <v>0</v>
      </c>
      <c r="L232" s="288">
        <f t="shared" si="13"/>
        <v>0</v>
      </c>
      <c r="M232" s="262"/>
      <c r="N232" s="262"/>
      <c r="O232" s="262"/>
      <c r="P232" s="262"/>
    </row>
    <row r="233" spans="1:16" x14ac:dyDescent="0.25">
      <c r="A233" s="210">
        <v>5618</v>
      </c>
      <c r="B233" s="211" t="s">
        <v>187</v>
      </c>
      <c r="C233" s="266">
        <v>0</v>
      </c>
      <c r="D233" s="120">
        <v>0</v>
      </c>
      <c r="E233" s="276">
        <v>0</v>
      </c>
      <c r="F233" s="276">
        <v>0</v>
      </c>
      <c r="G233" s="276">
        <v>0</v>
      </c>
      <c r="H233" s="276">
        <v>0</v>
      </c>
      <c r="I233" s="441">
        <v>0</v>
      </c>
      <c r="J233" s="441">
        <v>0</v>
      </c>
      <c r="K233" s="120">
        <f t="shared" si="12"/>
        <v>0</v>
      </c>
      <c r="L233" s="288">
        <f t="shared" si="13"/>
        <v>0</v>
      </c>
      <c r="M233" s="262"/>
      <c r="N233" s="262"/>
      <c r="O233" s="262"/>
      <c r="P233" s="262"/>
    </row>
    <row r="234" spans="1:16" x14ac:dyDescent="0.25">
      <c r="A234" s="210">
        <v>5619</v>
      </c>
      <c r="B234" s="211" t="s">
        <v>206</v>
      </c>
      <c r="C234" s="266">
        <v>0</v>
      </c>
      <c r="D234" s="120">
        <v>0</v>
      </c>
      <c r="E234" s="276">
        <v>0</v>
      </c>
      <c r="F234" s="276">
        <v>0</v>
      </c>
      <c r="G234" s="276">
        <v>0</v>
      </c>
      <c r="H234" s="276">
        <v>0</v>
      </c>
      <c r="I234" s="441">
        <v>0</v>
      </c>
      <c r="J234" s="441">
        <v>0</v>
      </c>
      <c r="K234" s="120">
        <f t="shared" si="12"/>
        <v>0</v>
      </c>
      <c r="L234" s="288">
        <f t="shared" si="13"/>
        <v>0</v>
      </c>
      <c r="M234" s="262"/>
      <c r="N234" s="262"/>
      <c r="O234" s="262"/>
      <c r="P234" s="262"/>
    </row>
    <row r="235" spans="1:16" x14ac:dyDescent="0.25">
      <c r="A235" s="210">
        <v>5620</v>
      </c>
      <c r="B235" s="211" t="s">
        <v>207</v>
      </c>
      <c r="C235" s="266">
        <v>0</v>
      </c>
      <c r="D235" s="120">
        <v>0</v>
      </c>
      <c r="E235" s="276">
        <v>0</v>
      </c>
      <c r="F235" s="276">
        <v>0</v>
      </c>
      <c r="G235" s="276">
        <v>0</v>
      </c>
      <c r="H235" s="276">
        <v>0</v>
      </c>
      <c r="I235" s="441">
        <v>0</v>
      </c>
      <c r="J235" s="441">
        <v>0</v>
      </c>
      <c r="K235" s="120">
        <f t="shared" si="12"/>
        <v>0</v>
      </c>
      <c r="L235" s="288">
        <f t="shared" si="13"/>
        <v>0</v>
      </c>
      <c r="M235" s="262"/>
      <c r="N235" s="262"/>
      <c r="O235" s="262"/>
      <c r="P235" s="262"/>
    </row>
    <row r="236" spans="1:16" x14ac:dyDescent="0.25">
      <c r="A236" s="210">
        <v>5621</v>
      </c>
      <c r="B236" s="211" t="s">
        <v>110</v>
      </c>
      <c r="C236" s="266">
        <v>0</v>
      </c>
      <c r="D236" s="120">
        <v>0</v>
      </c>
      <c r="E236" s="276">
        <v>0</v>
      </c>
      <c r="F236" s="276">
        <v>0</v>
      </c>
      <c r="G236" s="276">
        <v>0</v>
      </c>
      <c r="H236" s="276">
        <v>0</v>
      </c>
      <c r="I236" s="441">
        <v>0</v>
      </c>
      <c r="J236" s="441">
        <v>0</v>
      </c>
      <c r="K236" s="120">
        <f t="shared" si="12"/>
        <v>0</v>
      </c>
      <c r="L236" s="288">
        <f t="shared" si="13"/>
        <v>0</v>
      </c>
      <c r="M236" s="262"/>
      <c r="N236" s="262"/>
      <c r="O236" s="262"/>
      <c r="P236" s="262"/>
    </row>
    <row r="237" spans="1:16" x14ac:dyDescent="0.25">
      <c r="A237" s="210">
        <v>5622</v>
      </c>
      <c r="B237" s="211" t="s">
        <v>102</v>
      </c>
      <c r="C237" s="266">
        <v>0</v>
      </c>
      <c r="D237" s="120">
        <v>0</v>
      </c>
      <c r="E237" s="276">
        <v>0</v>
      </c>
      <c r="F237" s="276">
        <v>0</v>
      </c>
      <c r="G237" s="276">
        <v>0</v>
      </c>
      <c r="H237" s="276">
        <v>0</v>
      </c>
      <c r="I237" s="441">
        <v>0</v>
      </c>
      <c r="J237" s="441">
        <v>0</v>
      </c>
      <c r="K237" s="120">
        <f t="shared" si="12"/>
        <v>0</v>
      </c>
      <c r="L237" s="288">
        <f t="shared" si="13"/>
        <v>0</v>
      </c>
      <c r="M237" s="262"/>
      <c r="N237" s="262"/>
      <c r="O237" s="262"/>
      <c r="P237" s="262"/>
    </row>
    <row r="238" spans="1:16" x14ac:dyDescent="0.25">
      <c r="A238" s="210">
        <v>5623</v>
      </c>
      <c r="B238" s="211" t="s">
        <v>103</v>
      </c>
      <c r="C238" s="266">
        <v>0</v>
      </c>
      <c r="D238" s="120">
        <v>0</v>
      </c>
      <c r="E238" s="276">
        <v>0</v>
      </c>
      <c r="F238" s="276">
        <v>0</v>
      </c>
      <c r="G238" s="276">
        <v>0</v>
      </c>
      <c r="H238" s="276">
        <v>0</v>
      </c>
      <c r="I238" s="441">
        <v>0</v>
      </c>
      <c r="J238" s="441">
        <v>0</v>
      </c>
      <c r="K238" s="120">
        <f t="shared" si="12"/>
        <v>0</v>
      </c>
      <c r="L238" s="288">
        <f t="shared" si="13"/>
        <v>0</v>
      </c>
      <c r="M238" s="262"/>
      <c r="N238" s="262"/>
      <c r="O238" s="262"/>
      <c r="P238" s="262"/>
    </row>
    <row r="239" spans="1:16" x14ac:dyDescent="0.25">
      <c r="A239" s="210">
        <v>5624</v>
      </c>
      <c r="B239" s="211" t="s">
        <v>112</v>
      </c>
      <c r="C239" s="266">
        <v>0</v>
      </c>
      <c r="D239" s="120">
        <v>0</v>
      </c>
      <c r="E239" s="276">
        <v>0</v>
      </c>
      <c r="F239" s="276">
        <v>0</v>
      </c>
      <c r="G239" s="276">
        <v>0</v>
      </c>
      <c r="H239" s="276">
        <v>0</v>
      </c>
      <c r="I239" s="441">
        <v>0</v>
      </c>
      <c r="J239" s="441">
        <v>0</v>
      </c>
      <c r="K239" s="120">
        <f t="shared" si="12"/>
        <v>0</v>
      </c>
      <c r="L239" s="288">
        <f t="shared" si="13"/>
        <v>0</v>
      </c>
      <c r="M239" s="262"/>
      <c r="N239" s="262"/>
      <c r="O239" s="262"/>
      <c r="P239" s="262"/>
    </row>
    <row r="240" spans="1:16" x14ac:dyDescent="0.25">
      <c r="A240" s="210">
        <v>5625</v>
      </c>
      <c r="B240" s="211" t="s">
        <v>177</v>
      </c>
      <c r="C240" s="266">
        <v>0</v>
      </c>
      <c r="D240" s="120">
        <v>0</v>
      </c>
      <c r="E240" s="276">
        <v>0</v>
      </c>
      <c r="F240" s="276">
        <v>0</v>
      </c>
      <c r="G240" s="276">
        <v>0</v>
      </c>
      <c r="H240" s="276">
        <v>0</v>
      </c>
      <c r="I240" s="441">
        <v>0</v>
      </c>
      <c r="J240" s="441">
        <v>0</v>
      </c>
      <c r="K240" s="120">
        <f t="shared" si="12"/>
        <v>0</v>
      </c>
      <c r="L240" s="288">
        <f t="shared" si="13"/>
        <v>0</v>
      </c>
      <c r="M240" s="262"/>
      <c r="N240" s="262"/>
      <c r="O240" s="262"/>
      <c r="P240" s="262"/>
    </row>
    <row r="241" spans="1:16" x14ac:dyDescent="0.25">
      <c r="A241" s="210">
        <v>5626</v>
      </c>
      <c r="B241" s="211" t="s">
        <v>235</v>
      </c>
      <c r="C241" s="266">
        <v>0</v>
      </c>
      <c r="D241" s="120">
        <v>0</v>
      </c>
      <c r="E241" s="276">
        <v>0</v>
      </c>
      <c r="F241" s="276">
        <v>0</v>
      </c>
      <c r="G241" s="276">
        <v>0</v>
      </c>
      <c r="H241" s="276">
        <v>0</v>
      </c>
      <c r="I241" s="441">
        <v>0</v>
      </c>
      <c r="J241" s="441">
        <v>0</v>
      </c>
      <c r="K241" s="120">
        <f t="shared" si="12"/>
        <v>0</v>
      </c>
      <c r="L241" s="288">
        <f t="shared" si="13"/>
        <v>0</v>
      </c>
      <c r="M241" s="262"/>
      <c r="N241" s="262"/>
      <c r="O241" s="262"/>
      <c r="P241" s="262"/>
    </row>
    <row r="242" spans="1:16" x14ac:dyDescent="0.25">
      <c r="A242" s="210">
        <v>5627</v>
      </c>
      <c r="B242" s="211" t="s">
        <v>104</v>
      </c>
      <c r="C242" s="266">
        <v>0</v>
      </c>
      <c r="D242" s="120">
        <v>0</v>
      </c>
      <c r="E242" s="276">
        <v>0</v>
      </c>
      <c r="F242" s="276">
        <v>0</v>
      </c>
      <c r="G242" s="276">
        <v>0</v>
      </c>
      <c r="H242" s="276">
        <v>0</v>
      </c>
      <c r="I242" s="441">
        <v>0</v>
      </c>
      <c r="J242" s="441">
        <v>0</v>
      </c>
      <c r="K242" s="120">
        <f t="shared" si="12"/>
        <v>0</v>
      </c>
      <c r="L242" s="288">
        <f t="shared" si="13"/>
        <v>0</v>
      </c>
      <c r="M242" s="262"/>
      <c r="N242" s="262"/>
      <c r="O242" s="262"/>
      <c r="P242" s="262"/>
    </row>
    <row r="243" spans="1:16" x14ac:dyDescent="0.25">
      <c r="A243" s="210">
        <v>5628</v>
      </c>
      <c r="B243" s="211" t="s">
        <v>208</v>
      </c>
      <c r="C243" s="266">
        <v>0</v>
      </c>
      <c r="D243" s="120">
        <v>0</v>
      </c>
      <c r="E243" s="276">
        <v>0</v>
      </c>
      <c r="F243" s="276">
        <v>0</v>
      </c>
      <c r="G243" s="276">
        <v>0</v>
      </c>
      <c r="H243" s="276">
        <v>0</v>
      </c>
      <c r="I243" s="441">
        <v>0</v>
      </c>
      <c r="J243" s="441">
        <v>0</v>
      </c>
      <c r="K243" s="120">
        <f t="shared" si="12"/>
        <v>0</v>
      </c>
      <c r="L243" s="288">
        <f t="shared" si="13"/>
        <v>0</v>
      </c>
      <c r="M243" s="262"/>
      <c r="N243" s="262"/>
      <c r="O243" s="262"/>
      <c r="P243" s="262"/>
    </row>
    <row r="244" spans="1:16" x14ac:dyDescent="0.25">
      <c r="A244" s="210">
        <v>5629</v>
      </c>
      <c r="B244" s="211" t="s">
        <v>129</v>
      </c>
      <c r="C244" s="266">
        <v>0</v>
      </c>
      <c r="D244" s="120">
        <v>0</v>
      </c>
      <c r="E244" s="276">
        <v>0</v>
      </c>
      <c r="F244" s="276">
        <v>0</v>
      </c>
      <c r="G244" s="276">
        <v>0</v>
      </c>
      <c r="H244" s="276">
        <v>0</v>
      </c>
      <c r="I244" s="441">
        <v>0</v>
      </c>
      <c r="J244" s="441">
        <v>0</v>
      </c>
      <c r="K244" s="120">
        <f t="shared" si="12"/>
        <v>0</v>
      </c>
      <c r="L244" s="288">
        <f t="shared" si="13"/>
        <v>0</v>
      </c>
      <c r="M244" s="262"/>
      <c r="N244" s="262"/>
      <c r="O244" s="262"/>
      <c r="P244" s="262"/>
    </row>
    <row r="245" spans="1:16" x14ac:dyDescent="0.25">
      <c r="A245" s="210">
        <v>5630</v>
      </c>
      <c r="B245" s="211" t="s">
        <v>136</v>
      </c>
      <c r="C245" s="266">
        <v>0</v>
      </c>
      <c r="D245" s="120">
        <v>0</v>
      </c>
      <c r="E245" s="276">
        <v>0</v>
      </c>
      <c r="F245" s="276">
        <v>0</v>
      </c>
      <c r="G245" s="276">
        <v>0</v>
      </c>
      <c r="H245" s="276">
        <v>0</v>
      </c>
      <c r="I245" s="441">
        <v>0</v>
      </c>
      <c r="J245" s="441">
        <v>0</v>
      </c>
      <c r="K245" s="120">
        <f t="shared" si="12"/>
        <v>0</v>
      </c>
      <c r="L245" s="288">
        <f t="shared" si="13"/>
        <v>0</v>
      </c>
      <c r="M245" s="262"/>
      <c r="N245" s="262"/>
      <c r="O245" s="262"/>
      <c r="P245" s="262"/>
    </row>
    <row r="246" spans="1:16" x14ac:dyDescent="0.25">
      <c r="A246" s="210">
        <v>5631</v>
      </c>
      <c r="B246" s="211" t="s">
        <v>117</v>
      </c>
      <c r="C246" s="266">
        <v>0</v>
      </c>
      <c r="D246" s="120">
        <v>0</v>
      </c>
      <c r="E246" s="276">
        <v>0</v>
      </c>
      <c r="F246" s="276">
        <v>0</v>
      </c>
      <c r="G246" s="276">
        <v>0</v>
      </c>
      <c r="H246" s="276">
        <v>0</v>
      </c>
      <c r="I246" s="441">
        <v>0</v>
      </c>
      <c r="J246" s="441">
        <v>0</v>
      </c>
      <c r="K246" s="120">
        <f t="shared" si="12"/>
        <v>0</v>
      </c>
      <c r="L246" s="288">
        <f t="shared" si="13"/>
        <v>0</v>
      </c>
      <c r="M246" s="262"/>
      <c r="N246" s="262"/>
      <c r="O246" s="262"/>
      <c r="P246" s="262"/>
    </row>
    <row r="247" spans="1:16" x14ac:dyDescent="0.25">
      <c r="A247" s="210">
        <v>5632</v>
      </c>
      <c r="B247" s="211" t="s">
        <v>209</v>
      </c>
      <c r="C247" s="266">
        <v>0</v>
      </c>
      <c r="D247" s="120">
        <v>0</v>
      </c>
      <c r="E247" s="276">
        <v>0</v>
      </c>
      <c r="F247" s="276">
        <v>0</v>
      </c>
      <c r="G247" s="276">
        <v>0</v>
      </c>
      <c r="H247" s="276">
        <v>0</v>
      </c>
      <c r="I247" s="441">
        <v>0</v>
      </c>
      <c r="J247" s="441">
        <v>0</v>
      </c>
      <c r="K247" s="120">
        <f t="shared" si="12"/>
        <v>0</v>
      </c>
      <c r="L247" s="288">
        <f t="shared" si="13"/>
        <v>0</v>
      </c>
      <c r="M247" s="262"/>
      <c r="N247" s="262"/>
      <c r="O247" s="262"/>
      <c r="P247" s="262"/>
    </row>
    <row r="248" spans="1:16" x14ac:dyDescent="0.25">
      <c r="A248" s="210">
        <v>5633</v>
      </c>
      <c r="B248" s="211" t="s">
        <v>210</v>
      </c>
      <c r="C248" s="266">
        <v>0</v>
      </c>
      <c r="D248" s="120">
        <v>0</v>
      </c>
      <c r="E248" s="276">
        <v>0</v>
      </c>
      <c r="F248" s="276">
        <v>0</v>
      </c>
      <c r="G248" s="276">
        <v>0</v>
      </c>
      <c r="H248" s="276">
        <v>0</v>
      </c>
      <c r="I248" s="441">
        <v>0</v>
      </c>
      <c r="J248" s="441">
        <v>0</v>
      </c>
      <c r="K248" s="120">
        <f t="shared" si="12"/>
        <v>0</v>
      </c>
      <c r="L248" s="288">
        <f t="shared" si="13"/>
        <v>0</v>
      </c>
      <c r="M248" s="262"/>
      <c r="N248" s="262"/>
      <c r="O248" s="262"/>
      <c r="P248" s="262"/>
    </row>
    <row r="249" spans="1:16" x14ac:dyDescent="0.25">
      <c r="A249" s="210">
        <v>5634</v>
      </c>
      <c r="B249" s="211" t="s">
        <v>211</v>
      </c>
      <c r="C249" s="266">
        <v>0</v>
      </c>
      <c r="D249" s="120">
        <v>0</v>
      </c>
      <c r="E249" s="276">
        <v>0</v>
      </c>
      <c r="F249" s="276">
        <v>0</v>
      </c>
      <c r="G249" s="276">
        <v>0</v>
      </c>
      <c r="H249" s="276">
        <v>0</v>
      </c>
      <c r="I249" s="441">
        <v>0</v>
      </c>
      <c r="J249" s="441">
        <v>0</v>
      </c>
      <c r="K249" s="120">
        <f t="shared" si="12"/>
        <v>0</v>
      </c>
      <c r="L249" s="288">
        <f t="shared" si="13"/>
        <v>0</v>
      </c>
      <c r="M249" s="262"/>
      <c r="N249" s="262"/>
      <c r="O249" s="262"/>
      <c r="P249" s="262"/>
    </row>
    <row r="250" spans="1:16" x14ac:dyDescent="0.25">
      <c r="A250" s="210">
        <v>5635</v>
      </c>
      <c r="B250" s="211" t="s">
        <v>111</v>
      </c>
      <c r="C250" s="266">
        <v>0</v>
      </c>
      <c r="D250" s="120">
        <v>0</v>
      </c>
      <c r="E250" s="276">
        <v>0</v>
      </c>
      <c r="F250" s="276">
        <v>0</v>
      </c>
      <c r="G250" s="276">
        <v>0</v>
      </c>
      <c r="H250" s="276">
        <v>0</v>
      </c>
      <c r="I250" s="441">
        <v>0</v>
      </c>
      <c r="J250" s="441">
        <v>0</v>
      </c>
      <c r="K250" s="120">
        <f t="shared" si="12"/>
        <v>0</v>
      </c>
      <c r="L250" s="288">
        <f t="shared" si="13"/>
        <v>0</v>
      </c>
      <c r="M250" s="262"/>
      <c r="N250" s="262"/>
      <c r="O250" s="262"/>
      <c r="P250" s="262"/>
    </row>
    <row r="251" spans="1:16" x14ac:dyDescent="0.25">
      <c r="A251" s="210">
        <v>5636</v>
      </c>
      <c r="B251" s="211" t="s">
        <v>212</v>
      </c>
      <c r="C251" s="266">
        <v>0</v>
      </c>
      <c r="D251" s="120">
        <v>0</v>
      </c>
      <c r="E251" s="276">
        <v>0</v>
      </c>
      <c r="F251" s="276">
        <v>0</v>
      </c>
      <c r="G251" s="276">
        <v>0</v>
      </c>
      <c r="H251" s="276">
        <v>0</v>
      </c>
      <c r="I251" s="441">
        <v>0</v>
      </c>
      <c r="J251" s="441">
        <v>0</v>
      </c>
      <c r="K251" s="120">
        <f t="shared" si="12"/>
        <v>0</v>
      </c>
      <c r="L251" s="288">
        <f t="shared" si="13"/>
        <v>0</v>
      </c>
      <c r="M251" s="262"/>
      <c r="N251" s="262"/>
      <c r="O251" s="262"/>
      <c r="P251" s="262"/>
    </row>
    <row r="252" spans="1:16" x14ac:dyDescent="0.25">
      <c r="A252" s="210">
        <v>5637</v>
      </c>
      <c r="B252" s="211" t="s">
        <v>213</v>
      </c>
      <c r="C252" s="266">
        <v>0</v>
      </c>
      <c r="D252" s="120">
        <v>0</v>
      </c>
      <c r="E252" s="276">
        <v>0</v>
      </c>
      <c r="F252" s="276">
        <v>0</v>
      </c>
      <c r="G252" s="276">
        <v>0</v>
      </c>
      <c r="H252" s="276">
        <v>0</v>
      </c>
      <c r="I252" s="441">
        <v>0</v>
      </c>
      <c r="J252" s="441">
        <v>0</v>
      </c>
      <c r="K252" s="120">
        <f t="shared" si="12"/>
        <v>0</v>
      </c>
      <c r="L252" s="288">
        <f t="shared" si="13"/>
        <v>0</v>
      </c>
      <c r="M252" s="262"/>
      <c r="N252" s="262"/>
      <c r="O252" s="262"/>
      <c r="P252" s="262"/>
    </row>
    <row r="253" spans="1:16" x14ac:dyDescent="0.25">
      <c r="A253" s="210">
        <v>5638</v>
      </c>
      <c r="B253" s="211" t="s">
        <v>214</v>
      </c>
      <c r="C253" s="266">
        <v>0</v>
      </c>
      <c r="D253" s="120">
        <v>0</v>
      </c>
      <c r="E253" s="276">
        <v>0</v>
      </c>
      <c r="F253" s="276">
        <v>0</v>
      </c>
      <c r="G253" s="276">
        <v>0</v>
      </c>
      <c r="H253" s="276">
        <v>0</v>
      </c>
      <c r="I253" s="441">
        <v>0</v>
      </c>
      <c r="J253" s="441">
        <v>0</v>
      </c>
      <c r="K253" s="120">
        <f t="shared" si="12"/>
        <v>0</v>
      </c>
      <c r="L253" s="288">
        <f t="shared" si="13"/>
        <v>0</v>
      </c>
      <c r="M253" s="262"/>
      <c r="N253" s="262"/>
      <c r="O253" s="262"/>
      <c r="P253" s="262"/>
    </row>
    <row r="254" spans="1:16" x14ac:dyDescent="0.25">
      <c r="A254" s="210">
        <v>5639</v>
      </c>
      <c r="B254" s="211" t="s">
        <v>215</v>
      </c>
      <c r="C254" s="266">
        <v>0</v>
      </c>
      <c r="D254" s="120">
        <v>0</v>
      </c>
      <c r="E254" s="276">
        <v>0</v>
      </c>
      <c r="F254" s="276">
        <v>0</v>
      </c>
      <c r="G254" s="276">
        <v>0</v>
      </c>
      <c r="H254" s="276">
        <v>0</v>
      </c>
      <c r="I254" s="441">
        <v>0</v>
      </c>
      <c r="J254" s="441">
        <v>0</v>
      </c>
      <c r="K254" s="120">
        <f t="shared" si="12"/>
        <v>0</v>
      </c>
      <c r="L254" s="288">
        <f t="shared" si="13"/>
        <v>0</v>
      </c>
      <c r="M254" s="262"/>
      <c r="N254" s="262"/>
      <c r="O254" s="262"/>
      <c r="P254" s="262"/>
    </row>
    <row r="255" spans="1:16" x14ac:dyDescent="0.25">
      <c r="A255" s="210">
        <v>5640</v>
      </c>
      <c r="B255" s="211" t="s">
        <v>63</v>
      </c>
      <c r="C255" s="266">
        <v>0</v>
      </c>
      <c r="D255" s="120">
        <v>0</v>
      </c>
      <c r="E255" s="276">
        <v>0</v>
      </c>
      <c r="F255" s="276">
        <v>0</v>
      </c>
      <c r="G255" s="276">
        <v>0</v>
      </c>
      <c r="H255" s="276">
        <v>0</v>
      </c>
      <c r="I255" s="441">
        <v>0</v>
      </c>
      <c r="J255" s="441">
        <v>0</v>
      </c>
      <c r="K255" s="120">
        <f t="shared" si="12"/>
        <v>0</v>
      </c>
      <c r="L255" s="288">
        <f t="shared" si="13"/>
        <v>0</v>
      </c>
      <c r="M255" s="262"/>
      <c r="N255" s="262"/>
      <c r="O255" s="262"/>
      <c r="P255" s="262"/>
    </row>
    <row r="256" spans="1:16" x14ac:dyDescent="0.25">
      <c r="A256" s="210">
        <v>5641</v>
      </c>
      <c r="B256" s="211" t="s">
        <v>119</v>
      </c>
      <c r="C256" s="266">
        <v>0</v>
      </c>
      <c r="D256" s="120">
        <v>0</v>
      </c>
      <c r="E256" s="276">
        <v>0</v>
      </c>
      <c r="F256" s="276">
        <v>0</v>
      </c>
      <c r="G256" s="276">
        <v>0</v>
      </c>
      <c r="H256" s="276">
        <v>0</v>
      </c>
      <c r="I256" s="441">
        <v>0</v>
      </c>
      <c r="J256" s="441">
        <v>0</v>
      </c>
      <c r="K256" s="120">
        <f t="shared" ref="K256:K261" si="14">C256+E256-G256-I256</f>
        <v>0</v>
      </c>
      <c r="L256" s="288">
        <f t="shared" ref="L256:L261" si="15">D256+F256-H256-J256</f>
        <v>0</v>
      </c>
      <c r="M256" s="262"/>
      <c r="N256" s="262"/>
      <c r="O256" s="262"/>
      <c r="P256" s="262"/>
    </row>
    <row r="257" spans="1:16" x14ac:dyDescent="0.25">
      <c r="A257" s="210">
        <v>5642</v>
      </c>
      <c r="B257" s="211" t="s">
        <v>145</v>
      </c>
      <c r="C257" s="266">
        <v>0</v>
      </c>
      <c r="D257" s="120">
        <v>0</v>
      </c>
      <c r="E257" s="276">
        <v>0</v>
      </c>
      <c r="F257" s="276">
        <v>0</v>
      </c>
      <c r="G257" s="276">
        <v>0</v>
      </c>
      <c r="H257" s="276">
        <v>0</v>
      </c>
      <c r="I257" s="441">
        <v>0</v>
      </c>
      <c r="J257" s="441">
        <v>0</v>
      </c>
      <c r="K257" s="120">
        <f t="shared" si="14"/>
        <v>0</v>
      </c>
      <c r="L257" s="288">
        <f t="shared" si="15"/>
        <v>0</v>
      </c>
      <c r="M257" s="262"/>
      <c r="N257" s="262"/>
      <c r="O257" s="262"/>
      <c r="P257" s="262"/>
    </row>
    <row r="258" spans="1:16" x14ac:dyDescent="0.25">
      <c r="A258" s="210">
        <v>5643</v>
      </c>
      <c r="B258" s="211" t="s">
        <v>120</v>
      </c>
      <c r="C258" s="266">
        <v>0</v>
      </c>
      <c r="D258" s="120">
        <v>0</v>
      </c>
      <c r="E258" s="276">
        <v>0</v>
      </c>
      <c r="F258" s="276">
        <v>0</v>
      </c>
      <c r="G258" s="276">
        <v>0</v>
      </c>
      <c r="H258" s="276">
        <v>0</v>
      </c>
      <c r="I258" s="441">
        <v>0</v>
      </c>
      <c r="J258" s="441">
        <v>0</v>
      </c>
      <c r="K258" s="120">
        <f t="shared" si="14"/>
        <v>0</v>
      </c>
      <c r="L258" s="288">
        <f t="shared" si="15"/>
        <v>0</v>
      </c>
      <c r="M258" s="262"/>
      <c r="N258" s="262"/>
      <c r="O258" s="262"/>
      <c r="P258" s="262"/>
    </row>
    <row r="259" spans="1:16" x14ac:dyDescent="0.25">
      <c r="A259" s="210">
        <v>5644</v>
      </c>
      <c r="B259" s="211" t="s">
        <v>55</v>
      </c>
      <c r="C259" s="266">
        <v>0</v>
      </c>
      <c r="D259" s="120">
        <v>0</v>
      </c>
      <c r="E259" s="276">
        <v>0</v>
      </c>
      <c r="F259" s="276">
        <v>0</v>
      </c>
      <c r="G259" s="276">
        <v>0</v>
      </c>
      <c r="H259" s="276">
        <v>0</v>
      </c>
      <c r="I259" s="441">
        <v>0</v>
      </c>
      <c r="J259" s="441">
        <v>0</v>
      </c>
      <c r="K259" s="120">
        <f t="shared" si="14"/>
        <v>0</v>
      </c>
      <c r="L259" s="288">
        <f t="shared" si="15"/>
        <v>0</v>
      </c>
      <c r="M259" s="262"/>
      <c r="N259" s="262"/>
      <c r="O259" s="262"/>
      <c r="P259" s="262"/>
    </row>
    <row r="260" spans="1:16" ht="30" x14ac:dyDescent="0.25">
      <c r="A260" s="210">
        <v>5645</v>
      </c>
      <c r="B260" s="211" t="s">
        <v>216</v>
      </c>
      <c r="C260" s="266">
        <v>0</v>
      </c>
      <c r="D260" s="120">
        <v>0</v>
      </c>
      <c r="E260" s="276">
        <v>0</v>
      </c>
      <c r="F260" s="276">
        <v>0</v>
      </c>
      <c r="G260" s="276">
        <v>0</v>
      </c>
      <c r="H260" s="276">
        <v>0</v>
      </c>
      <c r="I260" s="441">
        <v>0</v>
      </c>
      <c r="J260" s="441">
        <v>0</v>
      </c>
      <c r="K260" s="120">
        <f t="shared" si="14"/>
        <v>0</v>
      </c>
      <c r="L260" s="288">
        <f t="shared" si="15"/>
        <v>0</v>
      </c>
      <c r="M260" s="262"/>
      <c r="N260" s="262"/>
      <c r="O260" s="262"/>
      <c r="P260" s="262"/>
    </row>
    <row r="261" spans="1:16" ht="30" x14ac:dyDescent="0.25">
      <c r="A261" s="204">
        <v>5699</v>
      </c>
      <c r="B261" s="205" t="s">
        <v>217</v>
      </c>
      <c r="C261" s="268">
        <v>0</v>
      </c>
      <c r="D261" s="120">
        <v>0</v>
      </c>
      <c r="E261" s="276">
        <v>0</v>
      </c>
      <c r="F261" s="276">
        <v>0</v>
      </c>
      <c r="G261" s="276">
        <v>0</v>
      </c>
      <c r="H261" s="276">
        <v>0</v>
      </c>
      <c r="I261" s="441">
        <v>0</v>
      </c>
      <c r="J261" s="441">
        <v>0</v>
      </c>
      <c r="K261" s="209">
        <f t="shared" si="14"/>
        <v>0</v>
      </c>
      <c r="L261" s="287">
        <f t="shared" si="15"/>
        <v>0</v>
      </c>
      <c r="M261" s="262"/>
      <c r="N261" s="262"/>
      <c r="O261" s="262"/>
      <c r="P261" s="262"/>
    </row>
    <row r="262" spans="1:16" x14ac:dyDescent="0.25">
      <c r="A262" s="216">
        <v>6000</v>
      </c>
      <c r="B262" s="217" t="s">
        <v>218</v>
      </c>
      <c r="C262" s="280"/>
      <c r="D262" s="281"/>
      <c r="E262" s="282"/>
      <c r="F262" s="282"/>
      <c r="G262" s="282"/>
      <c r="H262" s="282"/>
      <c r="I262" s="443"/>
      <c r="J262" s="443"/>
      <c r="K262" s="203"/>
      <c r="L262" s="286"/>
      <c r="M262" s="262"/>
      <c r="N262" s="262"/>
      <c r="O262" s="262"/>
      <c r="P262" s="262"/>
    </row>
    <row r="263" spans="1:16" x14ac:dyDescent="0.25">
      <c r="A263" s="204">
        <v>6101</v>
      </c>
      <c r="B263" s="205" t="s">
        <v>136</v>
      </c>
      <c r="C263" s="268">
        <v>0</v>
      </c>
      <c r="D263" s="209">
        <v>0</v>
      </c>
      <c r="E263" s="275">
        <v>0</v>
      </c>
      <c r="F263" s="275">
        <v>0</v>
      </c>
      <c r="G263" s="275">
        <v>0</v>
      </c>
      <c r="H263" s="275">
        <v>0</v>
      </c>
      <c r="I263" s="440">
        <v>0</v>
      </c>
      <c r="J263" s="440">
        <v>0</v>
      </c>
      <c r="K263" s="209">
        <f t="shared" ref="K263:K326" si="16">C263+E263-G263-I263</f>
        <v>0</v>
      </c>
      <c r="L263" s="287">
        <f t="shared" ref="L263:L326" si="17">D263+F263-H263-J263</f>
        <v>0</v>
      </c>
      <c r="M263" s="262"/>
      <c r="N263" s="262"/>
      <c r="O263" s="262"/>
      <c r="P263" s="262"/>
    </row>
    <row r="264" spans="1:16" x14ac:dyDescent="0.25">
      <c r="A264" s="210">
        <v>6102</v>
      </c>
      <c r="B264" s="211" t="s">
        <v>219</v>
      </c>
      <c r="C264" s="266">
        <v>0</v>
      </c>
      <c r="D264" s="120">
        <v>0</v>
      </c>
      <c r="E264" s="276">
        <v>0</v>
      </c>
      <c r="F264" s="276">
        <v>0</v>
      </c>
      <c r="G264" s="276">
        <v>0</v>
      </c>
      <c r="H264" s="276">
        <v>0</v>
      </c>
      <c r="I264" s="441">
        <v>0</v>
      </c>
      <c r="J264" s="441">
        <v>0</v>
      </c>
      <c r="K264" s="120">
        <f t="shared" si="16"/>
        <v>0</v>
      </c>
      <c r="L264" s="288">
        <f t="shared" si="17"/>
        <v>0</v>
      </c>
      <c r="M264" s="262"/>
      <c r="N264" s="262"/>
      <c r="O264" s="262"/>
      <c r="P264" s="262"/>
    </row>
    <row r="265" spans="1:16" x14ac:dyDescent="0.25">
      <c r="A265" s="210">
        <v>6103</v>
      </c>
      <c r="B265" s="211" t="s">
        <v>132</v>
      </c>
      <c r="C265" s="266">
        <v>0</v>
      </c>
      <c r="D265" s="120">
        <v>1</v>
      </c>
      <c r="E265" s="276">
        <v>0</v>
      </c>
      <c r="F265" s="276">
        <v>0</v>
      </c>
      <c r="G265" s="276">
        <v>0</v>
      </c>
      <c r="H265" s="276">
        <v>0</v>
      </c>
      <c r="I265" s="441">
        <v>0</v>
      </c>
      <c r="J265" s="441">
        <v>0</v>
      </c>
      <c r="K265" s="120">
        <f t="shared" si="16"/>
        <v>0</v>
      </c>
      <c r="L265" s="288">
        <f t="shared" si="17"/>
        <v>1</v>
      </c>
      <c r="M265" s="262"/>
      <c r="N265" s="262"/>
      <c r="O265" s="262"/>
      <c r="P265" s="262"/>
    </row>
    <row r="266" spans="1:16" x14ac:dyDescent="0.25">
      <c r="A266" s="210">
        <v>6104</v>
      </c>
      <c r="B266" s="211" t="s">
        <v>116</v>
      </c>
      <c r="C266" s="266">
        <v>0</v>
      </c>
      <c r="D266" s="120">
        <v>0</v>
      </c>
      <c r="E266" s="276">
        <v>0</v>
      </c>
      <c r="F266" s="276">
        <v>0</v>
      </c>
      <c r="G266" s="276">
        <v>0</v>
      </c>
      <c r="H266" s="276">
        <v>0</v>
      </c>
      <c r="I266" s="441">
        <v>0</v>
      </c>
      <c r="J266" s="441">
        <v>0</v>
      </c>
      <c r="K266" s="120">
        <f t="shared" si="16"/>
        <v>0</v>
      </c>
      <c r="L266" s="288">
        <f t="shared" si="17"/>
        <v>0</v>
      </c>
      <c r="M266" s="262"/>
      <c r="N266" s="262"/>
      <c r="O266" s="262"/>
      <c r="P266" s="262"/>
    </row>
    <row r="267" spans="1:16" x14ac:dyDescent="0.25">
      <c r="A267" s="210">
        <v>6105</v>
      </c>
      <c r="B267" s="211" t="s">
        <v>631</v>
      </c>
      <c r="C267" s="266">
        <v>0</v>
      </c>
      <c r="D267" s="120">
        <v>0</v>
      </c>
      <c r="E267" s="276">
        <v>0</v>
      </c>
      <c r="F267" s="276">
        <v>0</v>
      </c>
      <c r="G267" s="276">
        <v>0</v>
      </c>
      <c r="H267" s="276">
        <v>0</v>
      </c>
      <c r="I267" s="441">
        <v>0</v>
      </c>
      <c r="J267" s="441">
        <v>0</v>
      </c>
      <c r="K267" s="120">
        <f t="shared" si="16"/>
        <v>0</v>
      </c>
      <c r="L267" s="288">
        <f t="shared" si="17"/>
        <v>0</v>
      </c>
      <c r="M267" s="262"/>
      <c r="N267" s="262"/>
      <c r="O267" s="262"/>
      <c r="P267" s="262"/>
    </row>
    <row r="268" spans="1:16" x14ac:dyDescent="0.25">
      <c r="A268" s="210">
        <v>6106</v>
      </c>
      <c r="B268" s="211" t="s">
        <v>114</v>
      </c>
      <c r="C268" s="266">
        <v>0</v>
      </c>
      <c r="D268" s="120">
        <v>0</v>
      </c>
      <c r="E268" s="276">
        <v>0</v>
      </c>
      <c r="F268" s="276">
        <v>0</v>
      </c>
      <c r="G268" s="276">
        <v>0</v>
      </c>
      <c r="H268" s="276">
        <v>0</v>
      </c>
      <c r="I268" s="441">
        <v>0</v>
      </c>
      <c r="J268" s="441">
        <v>0</v>
      </c>
      <c r="K268" s="120">
        <f t="shared" si="16"/>
        <v>0</v>
      </c>
      <c r="L268" s="288">
        <f t="shared" si="17"/>
        <v>0</v>
      </c>
      <c r="M268" s="262"/>
      <c r="N268" s="262"/>
      <c r="O268" s="262"/>
      <c r="P268" s="262"/>
    </row>
    <row r="269" spans="1:16" x14ac:dyDescent="0.25">
      <c r="A269" s="210">
        <v>6107</v>
      </c>
      <c r="B269" s="211" t="s">
        <v>221</v>
      </c>
      <c r="C269" s="266">
        <v>0</v>
      </c>
      <c r="D269" s="120">
        <v>0</v>
      </c>
      <c r="E269" s="276">
        <v>0</v>
      </c>
      <c r="F269" s="276">
        <v>0</v>
      </c>
      <c r="G269" s="276">
        <v>0</v>
      </c>
      <c r="H269" s="276">
        <v>0</v>
      </c>
      <c r="I269" s="441">
        <v>0</v>
      </c>
      <c r="J269" s="441">
        <v>0</v>
      </c>
      <c r="K269" s="120">
        <f t="shared" si="16"/>
        <v>0</v>
      </c>
      <c r="L269" s="288">
        <f t="shared" si="17"/>
        <v>0</v>
      </c>
      <c r="M269" s="262"/>
      <c r="N269" s="262"/>
      <c r="O269" s="262"/>
      <c r="P269" s="262"/>
    </row>
    <row r="270" spans="1:16" x14ac:dyDescent="0.25">
      <c r="A270" s="210">
        <v>6108</v>
      </c>
      <c r="B270" s="211" t="s">
        <v>222</v>
      </c>
      <c r="C270" s="266">
        <v>1</v>
      </c>
      <c r="D270" s="120">
        <v>0</v>
      </c>
      <c r="E270" s="276">
        <v>0</v>
      </c>
      <c r="F270" s="276">
        <v>0</v>
      </c>
      <c r="G270" s="276">
        <v>0</v>
      </c>
      <c r="H270" s="276">
        <v>0</v>
      </c>
      <c r="I270" s="441">
        <v>0</v>
      </c>
      <c r="J270" s="441">
        <v>0</v>
      </c>
      <c r="K270" s="120">
        <f t="shared" si="16"/>
        <v>1</v>
      </c>
      <c r="L270" s="288">
        <f t="shared" si="17"/>
        <v>0</v>
      </c>
      <c r="M270" s="262"/>
      <c r="N270" s="262"/>
      <c r="O270" s="262"/>
      <c r="P270" s="262"/>
    </row>
    <row r="271" spans="1:16" x14ac:dyDescent="0.25">
      <c r="A271" s="210">
        <v>6109</v>
      </c>
      <c r="B271" s="211" t="s">
        <v>223</v>
      </c>
      <c r="C271" s="266">
        <v>0</v>
      </c>
      <c r="D271" s="120">
        <v>0</v>
      </c>
      <c r="E271" s="276">
        <v>0</v>
      </c>
      <c r="F271" s="276">
        <v>0</v>
      </c>
      <c r="G271" s="276">
        <v>0</v>
      </c>
      <c r="H271" s="276">
        <v>0</v>
      </c>
      <c r="I271" s="441">
        <v>0</v>
      </c>
      <c r="J271" s="441">
        <v>0</v>
      </c>
      <c r="K271" s="120">
        <f t="shared" si="16"/>
        <v>0</v>
      </c>
      <c r="L271" s="288">
        <f t="shared" si="17"/>
        <v>0</v>
      </c>
      <c r="M271" s="262"/>
      <c r="N271" s="262"/>
      <c r="O271" s="262"/>
      <c r="P271" s="262"/>
    </row>
    <row r="272" spans="1:16" ht="30" x14ac:dyDescent="0.25">
      <c r="A272" s="210">
        <v>6199</v>
      </c>
      <c r="B272" s="211" t="s">
        <v>224</v>
      </c>
      <c r="C272" s="266">
        <v>0</v>
      </c>
      <c r="D272" s="120">
        <v>0</v>
      </c>
      <c r="E272" s="276">
        <v>0</v>
      </c>
      <c r="F272" s="276">
        <v>0</v>
      </c>
      <c r="G272" s="276">
        <v>0</v>
      </c>
      <c r="H272" s="276">
        <v>0</v>
      </c>
      <c r="I272" s="441">
        <v>0</v>
      </c>
      <c r="J272" s="441">
        <v>0</v>
      </c>
      <c r="K272" s="120">
        <f t="shared" si="16"/>
        <v>0</v>
      </c>
      <c r="L272" s="288">
        <f t="shared" si="17"/>
        <v>0</v>
      </c>
      <c r="M272" s="262"/>
      <c r="N272" s="262"/>
      <c r="O272" s="262"/>
      <c r="P272" s="262"/>
    </row>
    <row r="273" spans="1:16" x14ac:dyDescent="0.25">
      <c r="A273" s="210">
        <v>6201</v>
      </c>
      <c r="B273" s="211" t="s">
        <v>144</v>
      </c>
      <c r="C273" s="266">
        <v>0</v>
      </c>
      <c r="D273" s="120">
        <v>0</v>
      </c>
      <c r="E273" s="276">
        <v>0</v>
      </c>
      <c r="F273" s="276">
        <v>0</v>
      </c>
      <c r="G273" s="276">
        <v>0</v>
      </c>
      <c r="H273" s="276">
        <v>0</v>
      </c>
      <c r="I273" s="441">
        <v>0</v>
      </c>
      <c r="J273" s="441">
        <v>0</v>
      </c>
      <c r="K273" s="120">
        <f t="shared" si="16"/>
        <v>0</v>
      </c>
      <c r="L273" s="288">
        <f t="shared" si="17"/>
        <v>0</v>
      </c>
      <c r="M273" s="262"/>
      <c r="N273" s="262"/>
      <c r="O273" s="262"/>
      <c r="P273" s="262"/>
    </row>
    <row r="274" spans="1:16" x14ac:dyDescent="0.25">
      <c r="A274" s="210">
        <v>6202</v>
      </c>
      <c r="B274" s="211" t="s">
        <v>63</v>
      </c>
      <c r="C274" s="266">
        <v>0</v>
      </c>
      <c r="D274" s="120">
        <v>0</v>
      </c>
      <c r="E274" s="276">
        <v>0</v>
      </c>
      <c r="F274" s="276">
        <v>0</v>
      </c>
      <c r="G274" s="276">
        <v>0</v>
      </c>
      <c r="H274" s="276">
        <v>0</v>
      </c>
      <c r="I274" s="441">
        <v>0</v>
      </c>
      <c r="J274" s="441">
        <v>0</v>
      </c>
      <c r="K274" s="120">
        <f t="shared" si="16"/>
        <v>0</v>
      </c>
      <c r="L274" s="288">
        <f t="shared" si="17"/>
        <v>0</v>
      </c>
      <c r="M274" s="262"/>
      <c r="N274" s="262"/>
      <c r="O274" s="262"/>
      <c r="P274" s="262"/>
    </row>
    <row r="275" spans="1:16" x14ac:dyDescent="0.25">
      <c r="A275" s="210">
        <v>6203</v>
      </c>
      <c r="B275" s="211" t="s">
        <v>119</v>
      </c>
      <c r="C275" s="266">
        <v>0</v>
      </c>
      <c r="D275" s="120">
        <v>0</v>
      </c>
      <c r="E275" s="276">
        <v>0</v>
      </c>
      <c r="F275" s="276">
        <v>0</v>
      </c>
      <c r="G275" s="276">
        <v>0</v>
      </c>
      <c r="H275" s="276">
        <v>0</v>
      </c>
      <c r="I275" s="441">
        <v>0</v>
      </c>
      <c r="J275" s="441">
        <v>0</v>
      </c>
      <c r="K275" s="120">
        <f t="shared" si="16"/>
        <v>0</v>
      </c>
      <c r="L275" s="288">
        <f t="shared" si="17"/>
        <v>0</v>
      </c>
      <c r="M275" s="262"/>
      <c r="N275" s="262"/>
      <c r="O275" s="262"/>
      <c r="P275" s="262"/>
    </row>
    <row r="276" spans="1:16" x14ac:dyDescent="0.25">
      <c r="A276" s="210">
        <v>6204</v>
      </c>
      <c r="B276" s="211" t="s">
        <v>145</v>
      </c>
      <c r="C276" s="266">
        <v>0</v>
      </c>
      <c r="D276" s="120">
        <v>0</v>
      </c>
      <c r="E276" s="276">
        <v>0</v>
      </c>
      <c r="F276" s="276">
        <v>0</v>
      </c>
      <c r="G276" s="276">
        <v>0</v>
      </c>
      <c r="H276" s="276">
        <v>0</v>
      </c>
      <c r="I276" s="441">
        <v>0</v>
      </c>
      <c r="J276" s="441">
        <v>0</v>
      </c>
      <c r="K276" s="120">
        <f t="shared" si="16"/>
        <v>0</v>
      </c>
      <c r="L276" s="288">
        <f t="shared" si="17"/>
        <v>0</v>
      </c>
      <c r="M276" s="262"/>
      <c r="N276" s="262"/>
      <c r="O276" s="262"/>
      <c r="P276" s="262"/>
    </row>
    <row r="277" spans="1:16" x14ac:dyDescent="0.25">
      <c r="A277" s="210">
        <v>6205</v>
      </c>
      <c r="B277" s="211" t="s">
        <v>120</v>
      </c>
      <c r="C277" s="266">
        <v>0</v>
      </c>
      <c r="D277" s="120">
        <v>0</v>
      </c>
      <c r="E277" s="276">
        <v>0</v>
      </c>
      <c r="F277" s="276">
        <v>0</v>
      </c>
      <c r="G277" s="276">
        <v>0</v>
      </c>
      <c r="H277" s="276">
        <v>0</v>
      </c>
      <c r="I277" s="441">
        <v>0</v>
      </c>
      <c r="J277" s="441">
        <v>0</v>
      </c>
      <c r="K277" s="120">
        <f t="shared" si="16"/>
        <v>0</v>
      </c>
      <c r="L277" s="288">
        <f t="shared" si="17"/>
        <v>0</v>
      </c>
      <c r="M277" s="262"/>
      <c r="N277" s="262"/>
      <c r="O277" s="262"/>
      <c r="P277" s="262"/>
    </row>
    <row r="278" spans="1:16" x14ac:dyDescent="0.25">
      <c r="A278" s="210">
        <v>6206</v>
      </c>
      <c r="B278" s="211" t="s">
        <v>55</v>
      </c>
      <c r="C278" s="266">
        <v>0</v>
      </c>
      <c r="D278" s="120">
        <v>0</v>
      </c>
      <c r="E278" s="276">
        <v>0</v>
      </c>
      <c r="F278" s="276">
        <v>0</v>
      </c>
      <c r="G278" s="276">
        <v>0</v>
      </c>
      <c r="H278" s="276">
        <v>0</v>
      </c>
      <c r="I278" s="441">
        <v>0</v>
      </c>
      <c r="J278" s="441">
        <v>0</v>
      </c>
      <c r="K278" s="120">
        <f t="shared" si="16"/>
        <v>0</v>
      </c>
      <c r="L278" s="288">
        <f t="shared" si="17"/>
        <v>0</v>
      </c>
      <c r="M278" s="262"/>
      <c r="N278" s="262"/>
      <c r="O278" s="262"/>
      <c r="P278" s="262"/>
    </row>
    <row r="279" spans="1:16" x14ac:dyDescent="0.25">
      <c r="A279" s="210">
        <v>6207</v>
      </c>
      <c r="B279" s="211" t="s">
        <v>65</v>
      </c>
      <c r="C279" s="266">
        <v>0</v>
      </c>
      <c r="D279" s="120">
        <v>0</v>
      </c>
      <c r="E279" s="276">
        <v>0</v>
      </c>
      <c r="F279" s="276">
        <v>0</v>
      </c>
      <c r="G279" s="276">
        <v>0</v>
      </c>
      <c r="H279" s="276">
        <v>0</v>
      </c>
      <c r="I279" s="441">
        <v>0</v>
      </c>
      <c r="J279" s="441">
        <v>0</v>
      </c>
      <c r="K279" s="120">
        <f t="shared" si="16"/>
        <v>0</v>
      </c>
      <c r="L279" s="288">
        <f t="shared" si="17"/>
        <v>0</v>
      </c>
      <c r="M279" s="262"/>
      <c r="N279" s="262"/>
      <c r="O279" s="262"/>
      <c r="P279" s="262"/>
    </row>
    <row r="280" spans="1:16" x14ac:dyDescent="0.25">
      <c r="A280" s="210">
        <v>6208</v>
      </c>
      <c r="B280" s="211" t="s">
        <v>146</v>
      </c>
      <c r="C280" s="266">
        <v>0</v>
      </c>
      <c r="D280" s="120">
        <v>0</v>
      </c>
      <c r="E280" s="276">
        <v>0</v>
      </c>
      <c r="F280" s="276">
        <v>0</v>
      </c>
      <c r="G280" s="276">
        <v>0</v>
      </c>
      <c r="H280" s="276">
        <v>0</v>
      </c>
      <c r="I280" s="441">
        <v>0</v>
      </c>
      <c r="J280" s="441">
        <v>0</v>
      </c>
      <c r="K280" s="120">
        <f t="shared" si="16"/>
        <v>0</v>
      </c>
      <c r="L280" s="288">
        <f t="shared" si="17"/>
        <v>0</v>
      </c>
      <c r="M280" s="262"/>
      <c r="N280" s="262"/>
      <c r="O280" s="262"/>
      <c r="P280" s="262"/>
    </row>
    <row r="281" spans="1:16" x14ac:dyDescent="0.25">
      <c r="A281" s="210">
        <v>6209</v>
      </c>
      <c r="B281" s="211" t="s">
        <v>147</v>
      </c>
      <c r="C281" s="266">
        <v>0</v>
      </c>
      <c r="D281" s="120">
        <v>0</v>
      </c>
      <c r="E281" s="276">
        <v>0</v>
      </c>
      <c r="F281" s="276">
        <v>0</v>
      </c>
      <c r="G281" s="276">
        <v>0</v>
      </c>
      <c r="H281" s="276">
        <v>0</v>
      </c>
      <c r="I281" s="441">
        <v>0</v>
      </c>
      <c r="J281" s="441">
        <v>0</v>
      </c>
      <c r="K281" s="120">
        <f t="shared" si="16"/>
        <v>0</v>
      </c>
      <c r="L281" s="288">
        <f t="shared" si="17"/>
        <v>0</v>
      </c>
      <c r="M281" s="262"/>
      <c r="N281" s="262"/>
      <c r="O281" s="262"/>
      <c r="P281" s="262"/>
    </row>
    <row r="282" spans="1:16" x14ac:dyDescent="0.25">
      <c r="A282" s="210">
        <v>6210</v>
      </c>
      <c r="B282" s="211" t="s">
        <v>148</v>
      </c>
      <c r="C282" s="266">
        <v>0</v>
      </c>
      <c r="D282" s="120">
        <v>0</v>
      </c>
      <c r="E282" s="276">
        <v>0</v>
      </c>
      <c r="F282" s="276">
        <v>0</v>
      </c>
      <c r="G282" s="276">
        <v>0</v>
      </c>
      <c r="H282" s="276">
        <v>0</v>
      </c>
      <c r="I282" s="441">
        <v>0</v>
      </c>
      <c r="J282" s="441">
        <v>0</v>
      </c>
      <c r="K282" s="120">
        <f t="shared" si="16"/>
        <v>0</v>
      </c>
      <c r="L282" s="288">
        <f t="shared" si="17"/>
        <v>0</v>
      </c>
      <c r="M282" s="262"/>
      <c r="N282" s="262"/>
      <c r="O282" s="262"/>
      <c r="P282" s="262"/>
    </row>
    <row r="283" spans="1:16" x14ac:dyDescent="0.25">
      <c r="A283" s="210">
        <v>6211</v>
      </c>
      <c r="B283" s="211" t="s">
        <v>149</v>
      </c>
      <c r="C283" s="266">
        <v>0</v>
      </c>
      <c r="D283" s="120">
        <v>0</v>
      </c>
      <c r="E283" s="276">
        <v>0</v>
      </c>
      <c r="F283" s="276">
        <v>0</v>
      </c>
      <c r="G283" s="276">
        <v>0</v>
      </c>
      <c r="H283" s="276">
        <v>0</v>
      </c>
      <c r="I283" s="441">
        <v>0</v>
      </c>
      <c r="J283" s="441">
        <v>0</v>
      </c>
      <c r="K283" s="120">
        <f t="shared" si="16"/>
        <v>0</v>
      </c>
      <c r="L283" s="288">
        <f t="shared" si="17"/>
        <v>0</v>
      </c>
      <c r="M283" s="262"/>
      <c r="N283" s="262"/>
      <c r="O283" s="262"/>
      <c r="P283" s="262"/>
    </row>
    <row r="284" spans="1:16" x14ac:dyDescent="0.25">
      <c r="A284" s="210">
        <v>6212</v>
      </c>
      <c r="B284" s="211" t="s">
        <v>150</v>
      </c>
      <c r="C284" s="266">
        <v>0</v>
      </c>
      <c r="D284" s="120">
        <v>0</v>
      </c>
      <c r="E284" s="276">
        <v>0</v>
      </c>
      <c r="F284" s="276">
        <v>0</v>
      </c>
      <c r="G284" s="276">
        <v>0</v>
      </c>
      <c r="H284" s="276">
        <v>0</v>
      </c>
      <c r="I284" s="441">
        <v>0</v>
      </c>
      <c r="J284" s="441">
        <v>0</v>
      </c>
      <c r="K284" s="120">
        <f t="shared" si="16"/>
        <v>0</v>
      </c>
      <c r="L284" s="288">
        <f t="shared" si="17"/>
        <v>0</v>
      </c>
      <c r="M284" s="262"/>
      <c r="N284" s="262"/>
      <c r="O284" s="262"/>
      <c r="P284" s="262"/>
    </row>
    <row r="285" spans="1:16" x14ac:dyDescent="0.25">
      <c r="A285" s="210">
        <v>6213</v>
      </c>
      <c r="B285" s="211" t="s">
        <v>151</v>
      </c>
      <c r="C285" s="266">
        <v>0</v>
      </c>
      <c r="D285" s="120">
        <v>0</v>
      </c>
      <c r="E285" s="276">
        <v>0</v>
      </c>
      <c r="F285" s="276">
        <v>0</v>
      </c>
      <c r="G285" s="276">
        <v>0</v>
      </c>
      <c r="H285" s="276">
        <v>0</v>
      </c>
      <c r="I285" s="441">
        <v>0</v>
      </c>
      <c r="J285" s="441">
        <v>0</v>
      </c>
      <c r="K285" s="120">
        <f t="shared" si="16"/>
        <v>0</v>
      </c>
      <c r="L285" s="288">
        <f t="shared" si="17"/>
        <v>0</v>
      </c>
      <c r="M285" s="262"/>
      <c r="N285" s="262"/>
      <c r="O285" s="262"/>
      <c r="P285" s="262"/>
    </row>
    <row r="286" spans="1:16" x14ac:dyDescent="0.25">
      <c r="A286" s="210">
        <v>6214</v>
      </c>
      <c r="B286" s="211" t="s">
        <v>59</v>
      </c>
      <c r="C286" s="266">
        <v>0</v>
      </c>
      <c r="D286" s="120">
        <v>0</v>
      </c>
      <c r="E286" s="276">
        <v>0</v>
      </c>
      <c r="F286" s="276">
        <v>0</v>
      </c>
      <c r="G286" s="276">
        <v>0</v>
      </c>
      <c r="H286" s="276">
        <v>0</v>
      </c>
      <c r="I286" s="441">
        <v>0</v>
      </c>
      <c r="J286" s="441">
        <v>0</v>
      </c>
      <c r="K286" s="120">
        <f t="shared" si="16"/>
        <v>0</v>
      </c>
      <c r="L286" s="288">
        <f t="shared" si="17"/>
        <v>0</v>
      </c>
      <c r="M286" s="262"/>
      <c r="N286" s="262"/>
      <c r="O286" s="262"/>
      <c r="P286" s="262"/>
    </row>
    <row r="287" spans="1:16" x14ac:dyDescent="0.25">
      <c r="A287" s="210">
        <v>6215</v>
      </c>
      <c r="B287" s="211" t="s">
        <v>60</v>
      </c>
      <c r="C287" s="266">
        <v>0</v>
      </c>
      <c r="D287" s="120">
        <v>0</v>
      </c>
      <c r="E287" s="276">
        <v>0</v>
      </c>
      <c r="F287" s="276">
        <v>0</v>
      </c>
      <c r="G287" s="276">
        <v>0</v>
      </c>
      <c r="H287" s="276">
        <v>0</v>
      </c>
      <c r="I287" s="441">
        <v>0</v>
      </c>
      <c r="J287" s="441">
        <v>0</v>
      </c>
      <c r="K287" s="120">
        <f t="shared" si="16"/>
        <v>0</v>
      </c>
      <c r="L287" s="288">
        <f t="shared" si="17"/>
        <v>0</v>
      </c>
      <c r="M287" s="262"/>
      <c r="N287" s="262"/>
      <c r="O287" s="262"/>
      <c r="P287" s="262"/>
    </row>
    <row r="288" spans="1:16" x14ac:dyDescent="0.25">
      <c r="A288" s="210">
        <v>6216</v>
      </c>
      <c r="B288" s="211" t="s">
        <v>153</v>
      </c>
      <c r="C288" s="266">
        <v>0</v>
      </c>
      <c r="D288" s="120">
        <v>0</v>
      </c>
      <c r="E288" s="276">
        <v>0</v>
      </c>
      <c r="F288" s="276">
        <v>0</v>
      </c>
      <c r="G288" s="276">
        <v>0</v>
      </c>
      <c r="H288" s="276">
        <v>0</v>
      </c>
      <c r="I288" s="441">
        <v>0</v>
      </c>
      <c r="J288" s="441">
        <v>0</v>
      </c>
      <c r="K288" s="120">
        <f t="shared" si="16"/>
        <v>0</v>
      </c>
      <c r="L288" s="288">
        <f t="shared" si="17"/>
        <v>0</v>
      </c>
      <c r="M288" s="262"/>
      <c r="N288" s="262"/>
      <c r="O288" s="262"/>
      <c r="P288" s="262"/>
    </row>
    <row r="289" spans="1:16" x14ac:dyDescent="0.25">
      <c r="A289" s="210">
        <v>6217</v>
      </c>
      <c r="B289" s="211" t="s">
        <v>154</v>
      </c>
      <c r="C289" s="266">
        <v>0</v>
      </c>
      <c r="D289" s="120">
        <v>0</v>
      </c>
      <c r="E289" s="276">
        <v>0</v>
      </c>
      <c r="F289" s="276">
        <v>0</v>
      </c>
      <c r="G289" s="276">
        <v>0</v>
      </c>
      <c r="H289" s="276">
        <v>0</v>
      </c>
      <c r="I289" s="441">
        <v>0</v>
      </c>
      <c r="J289" s="441">
        <v>0</v>
      </c>
      <c r="K289" s="120">
        <f t="shared" si="16"/>
        <v>0</v>
      </c>
      <c r="L289" s="288">
        <f t="shared" si="17"/>
        <v>0</v>
      </c>
      <c r="M289" s="262"/>
      <c r="N289" s="262"/>
      <c r="O289" s="262"/>
      <c r="P289" s="262"/>
    </row>
    <row r="290" spans="1:16" x14ac:dyDescent="0.25">
      <c r="A290" s="210">
        <v>6299</v>
      </c>
      <c r="B290" s="211" t="s">
        <v>155</v>
      </c>
      <c r="C290" s="266">
        <v>0</v>
      </c>
      <c r="D290" s="120">
        <v>0</v>
      </c>
      <c r="E290" s="276">
        <v>0</v>
      </c>
      <c r="F290" s="276">
        <v>0</v>
      </c>
      <c r="G290" s="276">
        <v>0</v>
      </c>
      <c r="H290" s="276">
        <v>0</v>
      </c>
      <c r="I290" s="441">
        <v>0</v>
      </c>
      <c r="J290" s="441">
        <v>0</v>
      </c>
      <c r="K290" s="120">
        <f t="shared" si="16"/>
        <v>0</v>
      </c>
      <c r="L290" s="288">
        <f t="shared" si="17"/>
        <v>0</v>
      </c>
      <c r="M290" s="262"/>
      <c r="N290" s="262"/>
      <c r="O290" s="262"/>
      <c r="P290" s="262"/>
    </row>
    <row r="291" spans="1:16" x14ac:dyDescent="0.25">
      <c r="A291" s="210">
        <v>6301</v>
      </c>
      <c r="B291" s="211" t="s">
        <v>156</v>
      </c>
      <c r="C291" s="266">
        <v>0</v>
      </c>
      <c r="D291" s="120">
        <v>1</v>
      </c>
      <c r="E291" s="276">
        <v>0</v>
      </c>
      <c r="F291" s="276">
        <v>0</v>
      </c>
      <c r="G291" s="276">
        <v>0</v>
      </c>
      <c r="H291" s="276">
        <v>0</v>
      </c>
      <c r="I291" s="441">
        <v>0</v>
      </c>
      <c r="J291" s="441">
        <v>0</v>
      </c>
      <c r="K291" s="120">
        <f t="shared" si="16"/>
        <v>0</v>
      </c>
      <c r="L291" s="288">
        <f t="shared" si="17"/>
        <v>1</v>
      </c>
      <c r="M291" s="262"/>
      <c r="N291" s="262"/>
      <c r="O291" s="262"/>
      <c r="P291" s="262"/>
    </row>
    <row r="292" spans="1:16" x14ac:dyDescent="0.25">
      <c r="A292" s="210">
        <v>6302</v>
      </c>
      <c r="B292" s="211" t="s">
        <v>157</v>
      </c>
      <c r="C292" s="266">
        <v>0</v>
      </c>
      <c r="D292" s="120">
        <v>0</v>
      </c>
      <c r="E292" s="276">
        <v>0</v>
      </c>
      <c r="F292" s="276">
        <v>0</v>
      </c>
      <c r="G292" s="276">
        <v>0</v>
      </c>
      <c r="H292" s="276">
        <v>0</v>
      </c>
      <c r="I292" s="441">
        <v>0</v>
      </c>
      <c r="J292" s="441">
        <v>0</v>
      </c>
      <c r="K292" s="120">
        <f t="shared" si="16"/>
        <v>0</v>
      </c>
      <c r="L292" s="288">
        <f t="shared" si="17"/>
        <v>0</v>
      </c>
      <c r="M292" s="262"/>
      <c r="N292" s="262"/>
      <c r="O292" s="262"/>
      <c r="P292" s="262"/>
    </row>
    <row r="293" spans="1:16" x14ac:dyDescent="0.25">
      <c r="A293" s="210">
        <v>6303</v>
      </c>
      <c r="B293" s="211" t="s">
        <v>158</v>
      </c>
      <c r="C293" s="266">
        <v>0</v>
      </c>
      <c r="D293" s="120">
        <v>0</v>
      </c>
      <c r="E293" s="276">
        <v>0</v>
      </c>
      <c r="F293" s="276">
        <v>0</v>
      </c>
      <c r="G293" s="276">
        <v>0</v>
      </c>
      <c r="H293" s="276">
        <v>0</v>
      </c>
      <c r="I293" s="441">
        <v>0</v>
      </c>
      <c r="J293" s="441">
        <v>0</v>
      </c>
      <c r="K293" s="120">
        <f t="shared" si="16"/>
        <v>0</v>
      </c>
      <c r="L293" s="288">
        <f t="shared" si="17"/>
        <v>0</v>
      </c>
      <c r="M293" s="262"/>
      <c r="N293" s="262"/>
      <c r="O293" s="262"/>
      <c r="P293" s="262"/>
    </row>
    <row r="294" spans="1:16" x14ac:dyDescent="0.25">
      <c r="A294" s="210">
        <v>6304</v>
      </c>
      <c r="B294" s="211" t="s">
        <v>159</v>
      </c>
      <c r="C294" s="266">
        <v>0</v>
      </c>
      <c r="D294" s="120">
        <v>0</v>
      </c>
      <c r="E294" s="276">
        <v>0</v>
      </c>
      <c r="F294" s="276">
        <v>0</v>
      </c>
      <c r="G294" s="276">
        <v>0</v>
      </c>
      <c r="H294" s="276">
        <v>0</v>
      </c>
      <c r="I294" s="441">
        <v>0</v>
      </c>
      <c r="J294" s="441">
        <v>0</v>
      </c>
      <c r="K294" s="120">
        <f t="shared" si="16"/>
        <v>0</v>
      </c>
      <c r="L294" s="288">
        <f t="shared" si="17"/>
        <v>0</v>
      </c>
      <c r="M294" s="262"/>
      <c r="N294" s="262"/>
      <c r="O294" s="262"/>
      <c r="P294" s="262"/>
    </row>
    <row r="295" spans="1:16" x14ac:dyDescent="0.25">
      <c r="A295" s="210">
        <v>6305</v>
      </c>
      <c r="B295" s="211" t="s">
        <v>160</v>
      </c>
      <c r="C295" s="266">
        <v>0</v>
      </c>
      <c r="D295" s="120">
        <v>0</v>
      </c>
      <c r="E295" s="276">
        <v>0</v>
      </c>
      <c r="F295" s="276">
        <v>0</v>
      </c>
      <c r="G295" s="276">
        <v>0</v>
      </c>
      <c r="H295" s="276">
        <v>0</v>
      </c>
      <c r="I295" s="441">
        <v>0</v>
      </c>
      <c r="J295" s="441">
        <v>0</v>
      </c>
      <c r="K295" s="120">
        <f t="shared" si="16"/>
        <v>0</v>
      </c>
      <c r="L295" s="288">
        <f t="shared" si="17"/>
        <v>0</v>
      </c>
      <c r="M295" s="262"/>
      <c r="N295" s="262"/>
      <c r="O295" s="262"/>
      <c r="P295" s="262"/>
    </row>
    <row r="296" spans="1:16" x14ac:dyDescent="0.25">
      <c r="A296" s="210">
        <v>6306</v>
      </c>
      <c r="B296" s="211" t="s">
        <v>161</v>
      </c>
      <c r="C296" s="266">
        <v>0</v>
      </c>
      <c r="D296" s="120">
        <v>0</v>
      </c>
      <c r="E296" s="276">
        <v>0</v>
      </c>
      <c r="F296" s="276">
        <v>0</v>
      </c>
      <c r="G296" s="276">
        <v>0</v>
      </c>
      <c r="H296" s="276">
        <v>0</v>
      </c>
      <c r="I296" s="441">
        <v>0</v>
      </c>
      <c r="J296" s="441">
        <v>0</v>
      </c>
      <c r="K296" s="120">
        <f t="shared" si="16"/>
        <v>0</v>
      </c>
      <c r="L296" s="288">
        <f t="shared" si="17"/>
        <v>0</v>
      </c>
      <c r="M296" s="262"/>
      <c r="N296" s="262"/>
      <c r="O296" s="262"/>
      <c r="P296" s="262"/>
    </row>
    <row r="297" spans="1:16" x14ac:dyDescent="0.25">
      <c r="A297" s="210">
        <v>6307</v>
      </c>
      <c r="B297" s="211" t="s">
        <v>162</v>
      </c>
      <c r="C297" s="266">
        <v>0</v>
      </c>
      <c r="D297" s="120">
        <v>0</v>
      </c>
      <c r="E297" s="276">
        <v>0</v>
      </c>
      <c r="F297" s="276">
        <v>0</v>
      </c>
      <c r="G297" s="276">
        <v>0</v>
      </c>
      <c r="H297" s="276">
        <v>0</v>
      </c>
      <c r="I297" s="441">
        <v>0</v>
      </c>
      <c r="J297" s="441">
        <v>0</v>
      </c>
      <c r="K297" s="120">
        <f t="shared" si="16"/>
        <v>0</v>
      </c>
      <c r="L297" s="288">
        <f t="shared" si="17"/>
        <v>0</v>
      </c>
      <c r="M297" s="262"/>
      <c r="N297" s="262"/>
      <c r="O297" s="262"/>
      <c r="P297" s="262"/>
    </row>
    <row r="298" spans="1:16" x14ac:dyDescent="0.25">
      <c r="A298" s="210">
        <v>6308</v>
      </c>
      <c r="B298" s="211" t="s">
        <v>225</v>
      </c>
      <c r="C298" s="266">
        <v>0</v>
      </c>
      <c r="D298" s="120">
        <v>0</v>
      </c>
      <c r="E298" s="276">
        <v>0</v>
      </c>
      <c r="F298" s="276">
        <v>0</v>
      </c>
      <c r="G298" s="276">
        <v>0</v>
      </c>
      <c r="H298" s="276">
        <v>0</v>
      </c>
      <c r="I298" s="441">
        <v>0</v>
      </c>
      <c r="J298" s="441">
        <v>0</v>
      </c>
      <c r="K298" s="120">
        <f t="shared" si="16"/>
        <v>0</v>
      </c>
      <c r="L298" s="288">
        <f t="shared" si="17"/>
        <v>0</v>
      </c>
      <c r="M298" s="262"/>
      <c r="N298" s="262"/>
      <c r="O298" s="262"/>
      <c r="P298" s="262"/>
    </row>
    <row r="299" spans="1:16" x14ac:dyDescent="0.25">
      <c r="A299" s="210">
        <v>6309</v>
      </c>
      <c r="B299" s="211" t="s">
        <v>164</v>
      </c>
      <c r="C299" s="266">
        <v>0</v>
      </c>
      <c r="D299" s="120">
        <v>0</v>
      </c>
      <c r="E299" s="276">
        <v>0</v>
      </c>
      <c r="F299" s="276">
        <v>0</v>
      </c>
      <c r="G299" s="276">
        <v>0</v>
      </c>
      <c r="H299" s="276">
        <v>0</v>
      </c>
      <c r="I299" s="441">
        <v>0</v>
      </c>
      <c r="J299" s="441">
        <v>0</v>
      </c>
      <c r="K299" s="120">
        <f t="shared" si="16"/>
        <v>0</v>
      </c>
      <c r="L299" s="288">
        <f t="shared" si="17"/>
        <v>0</v>
      </c>
      <c r="M299" s="262"/>
      <c r="N299" s="262"/>
      <c r="O299" s="262"/>
      <c r="P299" s="262"/>
    </row>
    <row r="300" spans="1:16" x14ac:dyDescent="0.25">
      <c r="A300" s="210">
        <v>6310</v>
      </c>
      <c r="B300" s="211" t="s">
        <v>86</v>
      </c>
      <c r="C300" s="266">
        <v>0</v>
      </c>
      <c r="D300" s="120">
        <v>0</v>
      </c>
      <c r="E300" s="276">
        <v>0</v>
      </c>
      <c r="F300" s="276">
        <v>0</v>
      </c>
      <c r="G300" s="276">
        <v>0</v>
      </c>
      <c r="H300" s="276">
        <v>0</v>
      </c>
      <c r="I300" s="441">
        <v>0</v>
      </c>
      <c r="J300" s="441">
        <v>0</v>
      </c>
      <c r="K300" s="120">
        <f t="shared" si="16"/>
        <v>0</v>
      </c>
      <c r="L300" s="288">
        <f t="shared" si="17"/>
        <v>0</v>
      </c>
      <c r="M300" s="262"/>
      <c r="N300" s="262"/>
      <c r="O300" s="262"/>
      <c r="P300" s="262"/>
    </row>
    <row r="301" spans="1:16" x14ac:dyDescent="0.25">
      <c r="A301" s="210">
        <v>6311</v>
      </c>
      <c r="B301" s="211" t="s">
        <v>165</v>
      </c>
      <c r="C301" s="266">
        <v>0</v>
      </c>
      <c r="D301" s="120">
        <v>0</v>
      </c>
      <c r="E301" s="276">
        <v>0</v>
      </c>
      <c r="F301" s="276">
        <v>0</v>
      </c>
      <c r="G301" s="276">
        <v>0</v>
      </c>
      <c r="H301" s="276">
        <v>0</v>
      </c>
      <c r="I301" s="441">
        <v>0</v>
      </c>
      <c r="J301" s="441">
        <v>0</v>
      </c>
      <c r="K301" s="120">
        <f t="shared" si="16"/>
        <v>0</v>
      </c>
      <c r="L301" s="288">
        <f t="shared" si="17"/>
        <v>0</v>
      </c>
      <c r="M301" s="262"/>
      <c r="N301" s="262"/>
      <c r="O301" s="262"/>
      <c r="P301" s="262"/>
    </row>
    <row r="302" spans="1:16" x14ac:dyDescent="0.25">
      <c r="A302" s="210">
        <v>6312</v>
      </c>
      <c r="B302" s="211" t="s">
        <v>226</v>
      </c>
      <c r="C302" s="266">
        <v>0</v>
      </c>
      <c r="D302" s="120">
        <v>0</v>
      </c>
      <c r="E302" s="276">
        <v>0</v>
      </c>
      <c r="F302" s="276">
        <v>0</v>
      </c>
      <c r="G302" s="276">
        <v>0</v>
      </c>
      <c r="H302" s="276">
        <v>0</v>
      </c>
      <c r="I302" s="441">
        <v>0</v>
      </c>
      <c r="J302" s="441">
        <v>0</v>
      </c>
      <c r="K302" s="120">
        <f t="shared" si="16"/>
        <v>0</v>
      </c>
      <c r="L302" s="288">
        <f t="shared" si="17"/>
        <v>0</v>
      </c>
      <c r="M302" s="262"/>
      <c r="N302" s="262"/>
      <c r="O302" s="262"/>
      <c r="P302" s="262"/>
    </row>
    <row r="303" spans="1:16" x14ac:dyDescent="0.25">
      <c r="A303" s="210">
        <v>6401</v>
      </c>
      <c r="B303" s="211" t="s">
        <v>167</v>
      </c>
      <c r="C303" s="266">
        <v>0</v>
      </c>
      <c r="D303" s="120">
        <v>0</v>
      </c>
      <c r="E303" s="276">
        <v>0</v>
      </c>
      <c r="F303" s="276">
        <v>0</v>
      </c>
      <c r="G303" s="276">
        <v>0</v>
      </c>
      <c r="H303" s="276">
        <v>0</v>
      </c>
      <c r="I303" s="441">
        <v>0</v>
      </c>
      <c r="J303" s="441">
        <v>0</v>
      </c>
      <c r="K303" s="120">
        <f t="shared" si="16"/>
        <v>0</v>
      </c>
      <c r="L303" s="288">
        <f t="shared" si="17"/>
        <v>0</v>
      </c>
      <c r="M303" s="262"/>
      <c r="N303" s="262"/>
      <c r="O303" s="262"/>
      <c r="P303" s="262"/>
    </row>
    <row r="304" spans="1:16" x14ac:dyDescent="0.25">
      <c r="A304" s="210">
        <v>6402</v>
      </c>
      <c r="B304" s="211" t="s">
        <v>168</v>
      </c>
      <c r="C304" s="266">
        <v>0</v>
      </c>
      <c r="D304" s="120">
        <v>0</v>
      </c>
      <c r="E304" s="276">
        <v>0</v>
      </c>
      <c r="F304" s="276">
        <v>0</v>
      </c>
      <c r="G304" s="276">
        <v>0</v>
      </c>
      <c r="H304" s="276">
        <v>0</v>
      </c>
      <c r="I304" s="441">
        <v>0</v>
      </c>
      <c r="J304" s="441">
        <v>0</v>
      </c>
      <c r="K304" s="120">
        <f t="shared" si="16"/>
        <v>0</v>
      </c>
      <c r="L304" s="288">
        <f t="shared" si="17"/>
        <v>0</v>
      </c>
      <c r="M304" s="262"/>
      <c r="N304" s="262"/>
      <c r="O304" s="262"/>
      <c r="P304" s="262"/>
    </row>
    <row r="305" spans="1:16" x14ac:dyDescent="0.25">
      <c r="A305" s="210">
        <v>6403</v>
      </c>
      <c r="B305" s="211" t="s">
        <v>169</v>
      </c>
      <c r="C305" s="266">
        <v>0</v>
      </c>
      <c r="D305" s="120">
        <v>1</v>
      </c>
      <c r="E305" s="276">
        <v>0</v>
      </c>
      <c r="F305" s="276">
        <v>0</v>
      </c>
      <c r="G305" s="276">
        <v>0</v>
      </c>
      <c r="H305" s="276">
        <v>0</v>
      </c>
      <c r="I305" s="441">
        <v>0</v>
      </c>
      <c r="J305" s="441">
        <v>0</v>
      </c>
      <c r="K305" s="120">
        <f t="shared" si="16"/>
        <v>0</v>
      </c>
      <c r="L305" s="288">
        <f t="shared" si="17"/>
        <v>1</v>
      </c>
      <c r="M305" s="262"/>
      <c r="N305" s="262"/>
      <c r="O305" s="262"/>
      <c r="P305" s="262"/>
    </row>
    <row r="306" spans="1:16" x14ac:dyDescent="0.25">
      <c r="A306" s="210">
        <v>6404</v>
      </c>
      <c r="B306" s="211" t="s">
        <v>175</v>
      </c>
      <c r="C306" s="266">
        <v>0</v>
      </c>
      <c r="D306" s="120">
        <v>0</v>
      </c>
      <c r="E306" s="276">
        <v>0</v>
      </c>
      <c r="F306" s="276">
        <v>0</v>
      </c>
      <c r="G306" s="276">
        <v>0</v>
      </c>
      <c r="H306" s="276">
        <v>0</v>
      </c>
      <c r="I306" s="441">
        <v>0</v>
      </c>
      <c r="J306" s="441">
        <v>0</v>
      </c>
      <c r="K306" s="120">
        <f t="shared" si="16"/>
        <v>0</v>
      </c>
      <c r="L306" s="288">
        <f t="shared" si="17"/>
        <v>0</v>
      </c>
      <c r="M306" s="262"/>
      <c r="N306" s="262"/>
      <c r="O306" s="262"/>
      <c r="P306" s="262"/>
    </row>
    <row r="307" spans="1:16" x14ac:dyDescent="0.25">
      <c r="A307" s="210">
        <v>6499</v>
      </c>
      <c r="B307" s="211" t="s">
        <v>176</v>
      </c>
      <c r="C307" s="266">
        <v>0</v>
      </c>
      <c r="D307" s="120">
        <v>0</v>
      </c>
      <c r="E307" s="276">
        <v>0</v>
      </c>
      <c r="F307" s="276">
        <v>0</v>
      </c>
      <c r="G307" s="276">
        <v>0</v>
      </c>
      <c r="H307" s="276">
        <v>0</v>
      </c>
      <c r="I307" s="441">
        <v>0</v>
      </c>
      <c r="J307" s="441">
        <v>0</v>
      </c>
      <c r="K307" s="120">
        <f t="shared" si="16"/>
        <v>0</v>
      </c>
      <c r="L307" s="288">
        <f t="shared" si="17"/>
        <v>0</v>
      </c>
      <c r="M307" s="262"/>
      <c r="N307" s="262"/>
      <c r="O307" s="262"/>
      <c r="P307" s="262"/>
    </row>
    <row r="308" spans="1:16" x14ac:dyDescent="0.25">
      <c r="A308" s="210">
        <v>6501</v>
      </c>
      <c r="B308" s="211" t="s">
        <v>112</v>
      </c>
      <c r="C308" s="266">
        <v>0</v>
      </c>
      <c r="D308" s="120">
        <v>0</v>
      </c>
      <c r="E308" s="276">
        <v>0</v>
      </c>
      <c r="F308" s="276">
        <v>0</v>
      </c>
      <c r="G308" s="276">
        <v>0</v>
      </c>
      <c r="H308" s="276">
        <v>0</v>
      </c>
      <c r="I308" s="441">
        <v>0</v>
      </c>
      <c r="J308" s="441">
        <v>0</v>
      </c>
      <c r="K308" s="120">
        <f t="shared" si="16"/>
        <v>0</v>
      </c>
      <c r="L308" s="288">
        <f t="shared" si="17"/>
        <v>0</v>
      </c>
      <c r="M308" s="262"/>
      <c r="N308" s="262"/>
      <c r="O308" s="262"/>
      <c r="P308" s="262"/>
    </row>
    <row r="309" spans="1:16" x14ac:dyDescent="0.25">
      <c r="A309" s="210">
        <v>6502</v>
      </c>
      <c r="B309" s="211" t="s">
        <v>177</v>
      </c>
      <c r="C309" s="266">
        <v>0</v>
      </c>
      <c r="D309" s="120">
        <v>1</v>
      </c>
      <c r="E309" s="276">
        <v>0</v>
      </c>
      <c r="F309" s="276">
        <v>0</v>
      </c>
      <c r="G309" s="276">
        <v>0</v>
      </c>
      <c r="H309" s="276">
        <v>0</v>
      </c>
      <c r="I309" s="441">
        <v>0</v>
      </c>
      <c r="J309" s="441">
        <v>0</v>
      </c>
      <c r="K309" s="120">
        <f t="shared" si="16"/>
        <v>0</v>
      </c>
      <c r="L309" s="288">
        <f t="shared" si="17"/>
        <v>1</v>
      </c>
      <c r="M309" s="262"/>
      <c r="N309" s="262"/>
      <c r="O309" s="262"/>
      <c r="P309" s="262"/>
    </row>
    <row r="310" spans="1:16" x14ac:dyDescent="0.25">
      <c r="A310" s="210">
        <v>6503</v>
      </c>
      <c r="B310" s="211" t="s">
        <v>104</v>
      </c>
      <c r="C310" s="266">
        <v>0</v>
      </c>
      <c r="D310" s="120">
        <v>0</v>
      </c>
      <c r="E310" s="276">
        <v>0</v>
      </c>
      <c r="F310" s="276">
        <v>0</v>
      </c>
      <c r="G310" s="276">
        <v>0</v>
      </c>
      <c r="H310" s="276">
        <v>0</v>
      </c>
      <c r="I310" s="441">
        <v>0</v>
      </c>
      <c r="J310" s="441">
        <v>0</v>
      </c>
      <c r="K310" s="120">
        <f t="shared" si="16"/>
        <v>0</v>
      </c>
      <c r="L310" s="288">
        <f t="shared" si="17"/>
        <v>0</v>
      </c>
      <c r="M310" s="262"/>
      <c r="N310" s="262"/>
      <c r="O310" s="262"/>
      <c r="P310" s="262"/>
    </row>
    <row r="311" spans="1:16" x14ac:dyDescent="0.25">
      <c r="A311" s="210">
        <v>6504</v>
      </c>
      <c r="B311" s="211" t="s">
        <v>179</v>
      </c>
      <c r="C311" s="266">
        <v>0</v>
      </c>
      <c r="D311" s="120">
        <v>0</v>
      </c>
      <c r="E311" s="276">
        <v>0</v>
      </c>
      <c r="F311" s="276">
        <v>0</v>
      </c>
      <c r="G311" s="276">
        <v>0</v>
      </c>
      <c r="H311" s="276">
        <v>0</v>
      </c>
      <c r="I311" s="441">
        <v>0</v>
      </c>
      <c r="J311" s="441">
        <v>0</v>
      </c>
      <c r="K311" s="120">
        <f t="shared" si="16"/>
        <v>0</v>
      </c>
      <c r="L311" s="288">
        <f t="shared" si="17"/>
        <v>0</v>
      </c>
      <c r="M311" s="262"/>
      <c r="N311" s="262"/>
      <c r="O311" s="262"/>
      <c r="P311" s="262"/>
    </row>
    <row r="312" spans="1:16" x14ac:dyDescent="0.25">
      <c r="A312" s="210">
        <v>6505</v>
      </c>
      <c r="B312" s="211" t="s">
        <v>180</v>
      </c>
      <c r="C312" s="266">
        <v>0</v>
      </c>
      <c r="D312" s="120">
        <v>0</v>
      </c>
      <c r="E312" s="276">
        <v>0</v>
      </c>
      <c r="F312" s="276">
        <v>0</v>
      </c>
      <c r="G312" s="276">
        <v>0</v>
      </c>
      <c r="H312" s="276">
        <v>0</v>
      </c>
      <c r="I312" s="441">
        <v>0</v>
      </c>
      <c r="J312" s="441">
        <v>0</v>
      </c>
      <c r="K312" s="120">
        <f t="shared" si="16"/>
        <v>0</v>
      </c>
      <c r="L312" s="288">
        <f t="shared" si="17"/>
        <v>0</v>
      </c>
      <c r="M312" s="262"/>
      <c r="N312" s="262"/>
      <c r="O312" s="262"/>
      <c r="P312" s="262"/>
    </row>
    <row r="313" spans="1:16" x14ac:dyDescent="0.25">
      <c r="A313" s="210">
        <v>6506</v>
      </c>
      <c r="B313" s="211" t="s">
        <v>102</v>
      </c>
      <c r="C313" s="266">
        <v>0</v>
      </c>
      <c r="D313" s="120">
        <v>0</v>
      </c>
      <c r="E313" s="276">
        <v>0</v>
      </c>
      <c r="F313" s="276">
        <v>0</v>
      </c>
      <c r="G313" s="276">
        <v>0</v>
      </c>
      <c r="H313" s="276">
        <v>0</v>
      </c>
      <c r="I313" s="441">
        <v>0</v>
      </c>
      <c r="J313" s="441">
        <v>0</v>
      </c>
      <c r="K313" s="120">
        <f t="shared" si="16"/>
        <v>0</v>
      </c>
      <c r="L313" s="288">
        <f t="shared" si="17"/>
        <v>0</v>
      </c>
      <c r="M313" s="262"/>
      <c r="N313" s="262"/>
      <c r="O313" s="262"/>
      <c r="P313" s="262"/>
    </row>
    <row r="314" spans="1:16" x14ac:dyDescent="0.25">
      <c r="A314" s="210">
        <v>6507</v>
      </c>
      <c r="B314" s="211" t="s">
        <v>121</v>
      </c>
      <c r="C314" s="266">
        <v>0</v>
      </c>
      <c r="D314" s="120">
        <v>0</v>
      </c>
      <c r="E314" s="276">
        <v>0</v>
      </c>
      <c r="F314" s="276">
        <v>0</v>
      </c>
      <c r="G314" s="276">
        <v>0</v>
      </c>
      <c r="H314" s="276">
        <v>0</v>
      </c>
      <c r="I314" s="441">
        <v>0</v>
      </c>
      <c r="J314" s="441">
        <v>0</v>
      </c>
      <c r="K314" s="120">
        <f t="shared" si="16"/>
        <v>0</v>
      </c>
      <c r="L314" s="288">
        <f t="shared" si="17"/>
        <v>0</v>
      </c>
      <c r="M314" s="262"/>
      <c r="N314" s="262"/>
      <c r="O314" s="262"/>
      <c r="P314" s="262"/>
    </row>
    <row r="315" spans="1:16" x14ac:dyDescent="0.25">
      <c r="A315" s="210">
        <v>6508</v>
      </c>
      <c r="B315" s="211" t="s">
        <v>87</v>
      </c>
      <c r="C315" s="266">
        <v>0</v>
      </c>
      <c r="D315" s="120">
        <v>0</v>
      </c>
      <c r="E315" s="276">
        <v>0</v>
      </c>
      <c r="F315" s="276">
        <v>0</v>
      </c>
      <c r="G315" s="276">
        <v>0</v>
      </c>
      <c r="H315" s="276">
        <v>0</v>
      </c>
      <c r="I315" s="441">
        <v>0</v>
      </c>
      <c r="J315" s="441">
        <v>0</v>
      </c>
      <c r="K315" s="120">
        <f t="shared" si="16"/>
        <v>0</v>
      </c>
      <c r="L315" s="288">
        <f t="shared" si="17"/>
        <v>0</v>
      </c>
      <c r="M315" s="262"/>
      <c r="N315" s="262"/>
      <c r="O315" s="262"/>
      <c r="P315" s="262"/>
    </row>
    <row r="316" spans="1:16" x14ac:dyDescent="0.25">
      <c r="A316" s="210">
        <v>6509</v>
      </c>
      <c r="B316" s="211" t="s">
        <v>182</v>
      </c>
      <c r="C316" s="266">
        <v>0</v>
      </c>
      <c r="D316" s="120">
        <v>1</v>
      </c>
      <c r="E316" s="276">
        <v>0</v>
      </c>
      <c r="F316" s="276">
        <v>0</v>
      </c>
      <c r="G316" s="276">
        <v>0</v>
      </c>
      <c r="H316" s="276">
        <v>0</v>
      </c>
      <c r="I316" s="441">
        <v>0</v>
      </c>
      <c r="J316" s="441">
        <v>0</v>
      </c>
      <c r="K316" s="120">
        <f t="shared" si="16"/>
        <v>0</v>
      </c>
      <c r="L316" s="288">
        <f t="shared" si="17"/>
        <v>1</v>
      </c>
      <c r="M316" s="262"/>
      <c r="N316" s="262"/>
      <c r="O316" s="262"/>
      <c r="P316" s="262"/>
    </row>
    <row r="317" spans="1:16" x14ac:dyDescent="0.25">
      <c r="A317" s="210">
        <v>6510</v>
      </c>
      <c r="B317" s="211" t="s">
        <v>98</v>
      </c>
      <c r="C317" s="266">
        <v>0</v>
      </c>
      <c r="D317" s="120">
        <v>0</v>
      </c>
      <c r="E317" s="276">
        <v>0</v>
      </c>
      <c r="F317" s="276">
        <v>0</v>
      </c>
      <c r="G317" s="276">
        <v>0</v>
      </c>
      <c r="H317" s="276">
        <v>0</v>
      </c>
      <c r="I317" s="441">
        <v>0</v>
      </c>
      <c r="J317" s="441">
        <v>0</v>
      </c>
      <c r="K317" s="120">
        <f t="shared" si="16"/>
        <v>0</v>
      </c>
      <c r="L317" s="288">
        <f t="shared" si="17"/>
        <v>0</v>
      </c>
      <c r="M317" s="262"/>
      <c r="N317" s="262"/>
      <c r="O317" s="262"/>
      <c r="P317" s="262"/>
    </row>
    <row r="318" spans="1:16" x14ac:dyDescent="0.25">
      <c r="A318" s="210">
        <v>6511</v>
      </c>
      <c r="B318" s="211" t="s">
        <v>103</v>
      </c>
      <c r="C318" s="266">
        <v>0</v>
      </c>
      <c r="D318" s="120">
        <v>0</v>
      </c>
      <c r="E318" s="276">
        <v>0</v>
      </c>
      <c r="F318" s="276">
        <v>0</v>
      </c>
      <c r="G318" s="276">
        <v>0</v>
      </c>
      <c r="H318" s="276">
        <v>0</v>
      </c>
      <c r="I318" s="441">
        <v>0</v>
      </c>
      <c r="J318" s="441">
        <v>0</v>
      </c>
      <c r="K318" s="120">
        <f t="shared" si="16"/>
        <v>0</v>
      </c>
      <c r="L318" s="288">
        <f t="shared" si="17"/>
        <v>0</v>
      </c>
      <c r="M318" s="262"/>
      <c r="N318" s="262"/>
      <c r="O318" s="262"/>
      <c r="P318" s="262"/>
    </row>
    <row r="319" spans="1:16" x14ac:dyDescent="0.25">
      <c r="A319" s="210">
        <v>6512</v>
      </c>
      <c r="B319" s="211" t="s">
        <v>183</v>
      </c>
      <c r="C319" s="266">
        <v>0</v>
      </c>
      <c r="D319" s="120">
        <v>0</v>
      </c>
      <c r="E319" s="276">
        <v>0</v>
      </c>
      <c r="F319" s="276">
        <v>0</v>
      </c>
      <c r="G319" s="276">
        <v>0</v>
      </c>
      <c r="H319" s="276">
        <v>0</v>
      </c>
      <c r="I319" s="441">
        <v>0</v>
      </c>
      <c r="J319" s="441">
        <v>0</v>
      </c>
      <c r="K319" s="120">
        <f t="shared" si="16"/>
        <v>0</v>
      </c>
      <c r="L319" s="288">
        <f t="shared" si="17"/>
        <v>0</v>
      </c>
      <c r="M319" s="262"/>
      <c r="N319" s="262"/>
      <c r="O319" s="262"/>
      <c r="P319" s="262"/>
    </row>
    <row r="320" spans="1:16" x14ac:dyDescent="0.25">
      <c r="A320" s="210">
        <v>6513</v>
      </c>
      <c r="B320" s="211" t="s">
        <v>184</v>
      </c>
      <c r="C320" s="266">
        <v>0</v>
      </c>
      <c r="D320" s="120">
        <v>0</v>
      </c>
      <c r="E320" s="276">
        <v>0</v>
      </c>
      <c r="F320" s="276">
        <v>0</v>
      </c>
      <c r="G320" s="276">
        <v>0</v>
      </c>
      <c r="H320" s="276">
        <v>0</v>
      </c>
      <c r="I320" s="441">
        <v>0</v>
      </c>
      <c r="J320" s="441">
        <v>0</v>
      </c>
      <c r="K320" s="120">
        <f t="shared" si="16"/>
        <v>0</v>
      </c>
      <c r="L320" s="288">
        <f t="shared" si="17"/>
        <v>0</v>
      </c>
      <c r="M320" s="262"/>
      <c r="N320" s="262"/>
      <c r="O320" s="262"/>
      <c r="P320" s="262"/>
    </row>
    <row r="321" spans="1:16" x14ac:dyDescent="0.25">
      <c r="A321" s="210">
        <v>6514</v>
      </c>
      <c r="B321" s="211" t="s">
        <v>108</v>
      </c>
      <c r="C321" s="266">
        <v>0</v>
      </c>
      <c r="D321" s="120">
        <v>1</v>
      </c>
      <c r="E321" s="276">
        <v>0</v>
      </c>
      <c r="F321" s="276">
        <v>0</v>
      </c>
      <c r="G321" s="276">
        <v>0</v>
      </c>
      <c r="H321" s="276">
        <v>0</v>
      </c>
      <c r="I321" s="441">
        <v>0</v>
      </c>
      <c r="J321" s="441">
        <v>0</v>
      </c>
      <c r="K321" s="120">
        <f t="shared" si="16"/>
        <v>0</v>
      </c>
      <c r="L321" s="288">
        <f t="shared" si="17"/>
        <v>1</v>
      </c>
      <c r="M321" s="262"/>
      <c r="N321" s="262"/>
      <c r="O321" s="262"/>
      <c r="P321" s="262"/>
    </row>
    <row r="322" spans="1:16" x14ac:dyDescent="0.25">
      <c r="A322" s="210">
        <v>6515</v>
      </c>
      <c r="B322" s="211" t="s">
        <v>185</v>
      </c>
      <c r="C322" s="266">
        <v>0</v>
      </c>
      <c r="D322" s="120">
        <v>0</v>
      </c>
      <c r="E322" s="276">
        <v>0</v>
      </c>
      <c r="F322" s="276">
        <v>0</v>
      </c>
      <c r="G322" s="276">
        <v>0</v>
      </c>
      <c r="H322" s="276">
        <v>0</v>
      </c>
      <c r="I322" s="441">
        <v>0</v>
      </c>
      <c r="J322" s="441">
        <v>0</v>
      </c>
      <c r="K322" s="120">
        <f t="shared" si="16"/>
        <v>0</v>
      </c>
      <c r="L322" s="288">
        <f t="shared" si="17"/>
        <v>0</v>
      </c>
      <c r="M322" s="262"/>
      <c r="N322" s="262"/>
      <c r="O322" s="262"/>
      <c r="P322" s="262"/>
    </row>
    <row r="323" spans="1:16" x14ac:dyDescent="0.25">
      <c r="A323" s="210">
        <v>6516</v>
      </c>
      <c r="B323" s="211" t="s">
        <v>109</v>
      </c>
      <c r="C323" s="266">
        <v>0</v>
      </c>
      <c r="D323" s="120">
        <v>0</v>
      </c>
      <c r="E323" s="276">
        <v>0</v>
      </c>
      <c r="F323" s="276">
        <v>0</v>
      </c>
      <c r="G323" s="276">
        <v>0</v>
      </c>
      <c r="H323" s="276">
        <v>0</v>
      </c>
      <c r="I323" s="441">
        <v>0</v>
      </c>
      <c r="J323" s="441">
        <v>0</v>
      </c>
      <c r="K323" s="120">
        <f t="shared" si="16"/>
        <v>0</v>
      </c>
      <c r="L323" s="288">
        <f t="shared" si="17"/>
        <v>0</v>
      </c>
      <c r="M323" s="262"/>
      <c r="N323" s="262"/>
      <c r="O323" s="262"/>
      <c r="P323" s="262"/>
    </row>
    <row r="324" spans="1:16" x14ac:dyDescent="0.25">
      <c r="A324" s="210">
        <v>6517</v>
      </c>
      <c r="B324" s="211" t="s">
        <v>186</v>
      </c>
      <c r="C324" s="266">
        <v>0</v>
      </c>
      <c r="D324" s="120">
        <v>0</v>
      </c>
      <c r="E324" s="276">
        <v>0</v>
      </c>
      <c r="F324" s="276">
        <v>0</v>
      </c>
      <c r="G324" s="276">
        <v>0</v>
      </c>
      <c r="H324" s="276">
        <v>0</v>
      </c>
      <c r="I324" s="441">
        <v>0</v>
      </c>
      <c r="J324" s="441">
        <v>0</v>
      </c>
      <c r="K324" s="120">
        <f t="shared" si="16"/>
        <v>0</v>
      </c>
      <c r="L324" s="288">
        <f t="shared" si="17"/>
        <v>0</v>
      </c>
      <c r="M324" s="262"/>
      <c r="N324" s="262"/>
      <c r="O324" s="262"/>
      <c r="P324" s="262"/>
    </row>
    <row r="325" spans="1:16" x14ac:dyDescent="0.25">
      <c r="A325" s="210">
        <v>6518</v>
      </c>
      <c r="B325" s="211" t="s">
        <v>187</v>
      </c>
      <c r="C325" s="266">
        <v>0</v>
      </c>
      <c r="D325" s="120">
        <v>0</v>
      </c>
      <c r="E325" s="276">
        <v>0</v>
      </c>
      <c r="F325" s="276">
        <v>0</v>
      </c>
      <c r="G325" s="276">
        <v>0</v>
      </c>
      <c r="H325" s="276">
        <v>0</v>
      </c>
      <c r="I325" s="441">
        <v>0</v>
      </c>
      <c r="J325" s="441">
        <v>0</v>
      </c>
      <c r="K325" s="120">
        <f t="shared" si="16"/>
        <v>0</v>
      </c>
      <c r="L325" s="288">
        <f t="shared" si="17"/>
        <v>0</v>
      </c>
      <c r="M325" s="262"/>
      <c r="N325" s="262"/>
      <c r="O325" s="262"/>
      <c r="P325" s="262"/>
    </row>
    <row r="326" spans="1:16" x14ac:dyDescent="0.25">
      <c r="A326" s="210">
        <v>6519</v>
      </c>
      <c r="B326" s="211" t="s">
        <v>188</v>
      </c>
      <c r="C326" s="266">
        <v>0</v>
      </c>
      <c r="D326" s="120">
        <v>0</v>
      </c>
      <c r="E326" s="276">
        <v>0</v>
      </c>
      <c r="F326" s="276">
        <v>0</v>
      </c>
      <c r="G326" s="276">
        <v>0</v>
      </c>
      <c r="H326" s="276">
        <v>0</v>
      </c>
      <c r="I326" s="441">
        <v>0</v>
      </c>
      <c r="J326" s="441">
        <v>0</v>
      </c>
      <c r="K326" s="120">
        <f t="shared" si="16"/>
        <v>0</v>
      </c>
      <c r="L326" s="288">
        <f t="shared" si="17"/>
        <v>0</v>
      </c>
      <c r="M326" s="262"/>
      <c r="N326" s="262"/>
      <c r="O326" s="262"/>
      <c r="P326" s="262"/>
    </row>
    <row r="327" spans="1:16" x14ac:dyDescent="0.25">
      <c r="A327" s="210">
        <v>6520</v>
      </c>
      <c r="B327" s="211" t="s">
        <v>227</v>
      </c>
      <c r="C327" s="266">
        <v>0</v>
      </c>
      <c r="D327" s="120">
        <v>0</v>
      </c>
      <c r="E327" s="276">
        <v>0</v>
      </c>
      <c r="F327" s="276">
        <v>0</v>
      </c>
      <c r="G327" s="276">
        <v>0</v>
      </c>
      <c r="H327" s="276">
        <v>0</v>
      </c>
      <c r="I327" s="441">
        <v>0</v>
      </c>
      <c r="J327" s="441">
        <v>0</v>
      </c>
      <c r="K327" s="120">
        <f t="shared" ref="K327:K377" si="18">C327+E327-G327-I327</f>
        <v>0</v>
      </c>
      <c r="L327" s="288">
        <f t="shared" ref="L327:L377" si="19">D327+F327-H327-J327</f>
        <v>0</v>
      </c>
      <c r="M327" s="262"/>
      <c r="N327" s="262"/>
      <c r="O327" s="262"/>
      <c r="P327" s="262"/>
    </row>
    <row r="328" spans="1:16" x14ac:dyDescent="0.25">
      <c r="A328" s="210">
        <v>6521</v>
      </c>
      <c r="B328" s="211" t="s">
        <v>189</v>
      </c>
      <c r="C328" s="266">
        <v>0</v>
      </c>
      <c r="D328" s="120">
        <v>0</v>
      </c>
      <c r="E328" s="276">
        <v>0</v>
      </c>
      <c r="F328" s="276">
        <v>0</v>
      </c>
      <c r="G328" s="276">
        <v>0</v>
      </c>
      <c r="H328" s="276">
        <v>0</v>
      </c>
      <c r="I328" s="441">
        <v>0</v>
      </c>
      <c r="J328" s="441">
        <v>0</v>
      </c>
      <c r="K328" s="120">
        <f t="shared" si="18"/>
        <v>0</v>
      </c>
      <c r="L328" s="288">
        <f t="shared" si="19"/>
        <v>0</v>
      </c>
      <c r="M328" s="262"/>
      <c r="N328" s="262"/>
      <c r="O328" s="262"/>
      <c r="P328" s="262"/>
    </row>
    <row r="329" spans="1:16" x14ac:dyDescent="0.25">
      <c r="A329" s="210">
        <v>6522</v>
      </c>
      <c r="B329" s="211" t="s">
        <v>237</v>
      </c>
      <c r="C329" s="266">
        <v>0</v>
      </c>
      <c r="D329" s="120">
        <v>0</v>
      </c>
      <c r="E329" s="276">
        <v>0</v>
      </c>
      <c r="F329" s="276">
        <v>0</v>
      </c>
      <c r="G329" s="276">
        <v>0</v>
      </c>
      <c r="H329" s="276">
        <v>0</v>
      </c>
      <c r="I329" s="441">
        <v>0</v>
      </c>
      <c r="J329" s="441">
        <v>0</v>
      </c>
      <c r="K329" s="120">
        <f t="shared" si="18"/>
        <v>0</v>
      </c>
      <c r="L329" s="288">
        <f t="shared" si="19"/>
        <v>0</v>
      </c>
      <c r="M329" s="262"/>
      <c r="N329" s="262"/>
      <c r="O329" s="262"/>
      <c r="P329" s="262"/>
    </row>
    <row r="330" spans="1:16" x14ac:dyDescent="0.25">
      <c r="A330" s="210">
        <v>6523</v>
      </c>
      <c r="B330" s="211" t="s">
        <v>191</v>
      </c>
      <c r="C330" s="266">
        <v>0</v>
      </c>
      <c r="D330" s="120">
        <v>0</v>
      </c>
      <c r="E330" s="276">
        <v>0</v>
      </c>
      <c r="F330" s="276">
        <v>0</v>
      </c>
      <c r="G330" s="276">
        <v>0</v>
      </c>
      <c r="H330" s="276">
        <v>0</v>
      </c>
      <c r="I330" s="441">
        <v>0</v>
      </c>
      <c r="J330" s="441">
        <v>0</v>
      </c>
      <c r="K330" s="120">
        <f t="shared" si="18"/>
        <v>0</v>
      </c>
      <c r="L330" s="288">
        <f t="shared" si="19"/>
        <v>0</v>
      </c>
      <c r="M330" s="262"/>
      <c r="N330" s="262"/>
      <c r="O330" s="262"/>
      <c r="P330" s="262"/>
    </row>
    <row r="331" spans="1:16" ht="30" x14ac:dyDescent="0.25">
      <c r="A331" s="210">
        <v>6524</v>
      </c>
      <c r="B331" s="211" t="s">
        <v>192</v>
      </c>
      <c r="C331" s="266">
        <v>0</v>
      </c>
      <c r="D331" s="120">
        <v>0</v>
      </c>
      <c r="E331" s="276">
        <v>0</v>
      </c>
      <c r="F331" s="276">
        <v>0</v>
      </c>
      <c r="G331" s="276">
        <v>0</v>
      </c>
      <c r="H331" s="276">
        <v>0</v>
      </c>
      <c r="I331" s="441">
        <v>0</v>
      </c>
      <c r="J331" s="441">
        <v>0</v>
      </c>
      <c r="K331" s="120">
        <f t="shared" si="18"/>
        <v>0</v>
      </c>
      <c r="L331" s="288">
        <f t="shared" si="19"/>
        <v>0</v>
      </c>
      <c r="M331" s="262"/>
      <c r="N331" s="262"/>
      <c r="O331" s="262"/>
      <c r="P331" s="262"/>
    </row>
    <row r="332" spans="1:16" x14ac:dyDescent="0.25">
      <c r="A332" s="210">
        <v>6525</v>
      </c>
      <c r="B332" s="211" t="s">
        <v>193</v>
      </c>
      <c r="C332" s="266">
        <v>0</v>
      </c>
      <c r="D332" s="120">
        <v>0</v>
      </c>
      <c r="E332" s="276">
        <v>0</v>
      </c>
      <c r="F332" s="276">
        <v>0</v>
      </c>
      <c r="G332" s="276">
        <v>0</v>
      </c>
      <c r="H332" s="276">
        <v>0</v>
      </c>
      <c r="I332" s="441">
        <v>0</v>
      </c>
      <c r="J332" s="441">
        <v>0</v>
      </c>
      <c r="K332" s="120">
        <f t="shared" si="18"/>
        <v>0</v>
      </c>
      <c r="L332" s="288">
        <f t="shared" si="19"/>
        <v>0</v>
      </c>
      <c r="M332" s="262"/>
      <c r="N332" s="262"/>
      <c r="O332" s="262"/>
      <c r="P332" s="262"/>
    </row>
    <row r="333" spans="1:16" x14ac:dyDescent="0.25">
      <c r="A333" s="210">
        <v>6526</v>
      </c>
      <c r="B333" s="211" t="s">
        <v>228</v>
      </c>
      <c r="C333" s="266">
        <v>0</v>
      </c>
      <c r="D333" s="120">
        <v>0</v>
      </c>
      <c r="E333" s="276">
        <v>0</v>
      </c>
      <c r="F333" s="276">
        <v>0</v>
      </c>
      <c r="G333" s="276">
        <v>0</v>
      </c>
      <c r="H333" s="276">
        <v>0</v>
      </c>
      <c r="I333" s="441">
        <v>0</v>
      </c>
      <c r="J333" s="441">
        <v>0</v>
      </c>
      <c r="K333" s="120">
        <f t="shared" si="18"/>
        <v>0</v>
      </c>
      <c r="L333" s="288">
        <f t="shared" si="19"/>
        <v>0</v>
      </c>
      <c r="M333" s="262"/>
      <c r="N333" s="262"/>
      <c r="O333" s="262"/>
      <c r="P333" s="262"/>
    </row>
    <row r="334" spans="1:16" x14ac:dyDescent="0.25">
      <c r="A334" s="210">
        <v>6527</v>
      </c>
      <c r="B334" s="211" t="s">
        <v>229</v>
      </c>
      <c r="C334" s="266">
        <v>0</v>
      </c>
      <c r="D334" s="120">
        <v>0</v>
      </c>
      <c r="E334" s="276">
        <v>0</v>
      </c>
      <c r="F334" s="276">
        <v>0</v>
      </c>
      <c r="G334" s="276">
        <v>0</v>
      </c>
      <c r="H334" s="276">
        <v>0</v>
      </c>
      <c r="I334" s="441">
        <v>0</v>
      </c>
      <c r="J334" s="441">
        <v>0</v>
      </c>
      <c r="K334" s="120">
        <f t="shared" si="18"/>
        <v>0</v>
      </c>
      <c r="L334" s="288">
        <f t="shared" si="19"/>
        <v>0</v>
      </c>
      <c r="M334" s="262"/>
      <c r="N334" s="262"/>
      <c r="O334" s="262"/>
      <c r="P334" s="262"/>
    </row>
    <row r="335" spans="1:16" x14ac:dyDescent="0.25">
      <c r="A335" s="210">
        <v>6528</v>
      </c>
      <c r="B335" s="211" t="s">
        <v>197</v>
      </c>
      <c r="C335" s="266">
        <v>0</v>
      </c>
      <c r="D335" s="120">
        <v>0</v>
      </c>
      <c r="E335" s="276">
        <v>0</v>
      </c>
      <c r="F335" s="276">
        <v>0</v>
      </c>
      <c r="G335" s="276">
        <v>0</v>
      </c>
      <c r="H335" s="276">
        <v>0</v>
      </c>
      <c r="I335" s="441">
        <v>0</v>
      </c>
      <c r="J335" s="441">
        <v>0</v>
      </c>
      <c r="K335" s="120">
        <f t="shared" si="18"/>
        <v>0</v>
      </c>
      <c r="L335" s="288">
        <f t="shared" si="19"/>
        <v>0</v>
      </c>
      <c r="M335" s="262"/>
      <c r="N335" s="262"/>
      <c r="O335" s="262"/>
      <c r="P335" s="262"/>
    </row>
    <row r="336" spans="1:16" ht="30" x14ac:dyDescent="0.25">
      <c r="A336" s="210">
        <v>6529</v>
      </c>
      <c r="B336" s="211" t="s">
        <v>201</v>
      </c>
      <c r="C336" s="266">
        <v>0</v>
      </c>
      <c r="D336" s="120">
        <v>0</v>
      </c>
      <c r="E336" s="276">
        <v>0</v>
      </c>
      <c r="F336" s="276">
        <v>0</v>
      </c>
      <c r="G336" s="276">
        <v>0</v>
      </c>
      <c r="H336" s="276">
        <v>0</v>
      </c>
      <c r="I336" s="441">
        <v>0</v>
      </c>
      <c r="J336" s="441">
        <v>0</v>
      </c>
      <c r="K336" s="120">
        <f t="shared" si="18"/>
        <v>0</v>
      </c>
      <c r="L336" s="288">
        <f t="shared" si="19"/>
        <v>0</v>
      </c>
      <c r="M336" s="262"/>
      <c r="N336" s="262"/>
      <c r="O336" s="262"/>
      <c r="P336" s="262"/>
    </row>
    <row r="337" spans="1:16" ht="30" x14ac:dyDescent="0.25">
      <c r="A337" s="210">
        <v>6599</v>
      </c>
      <c r="B337" s="211" t="s">
        <v>202</v>
      </c>
      <c r="C337" s="266">
        <v>0</v>
      </c>
      <c r="D337" s="120">
        <v>0</v>
      </c>
      <c r="E337" s="276">
        <v>0</v>
      </c>
      <c r="F337" s="276">
        <v>0</v>
      </c>
      <c r="G337" s="276">
        <v>0</v>
      </c>
      <c r="H337" s="276">
        <v>0</v>
      </c>
      <c r="I337" s="441">
        <v>0</v>
      </c>
      <c r="J337" s="441">
        <v>0</v>
      </c>
      <c r="K337" s="120">
        <f t="shared" si="18"/>
        <v>0</v>
      </c>
      <c r="L337" s="288">
        <f t="shared" si="19"/>
        <v>0</v>
      </c>
      <c r="M337" s="262"/>
      <c r="N337" s="262"/>
      <c r="O337" s="262"/>
      <c r="P337" s="262"/>
    </row>
    <row r="338" spans="1:16" x14ac:dyDescent="0.25">
      <c r="A338" s="210">
        <v>6601</v>
      </c>
      <c r="B338" s="211" t="s">
        <v>230</v>
      </c>
      <c r="C338" s="266">
        <v>0</v>
      </c>
      <c r="D338" s="120">
        <v>0</v>
      </c>
      <c r="E338" s="276">
        <v>0</v>
      </c>
      <c r="F338" s="276">
        <v>0</v>
      </c>
      <c r="G338" s="276">
        <v>0</v>
      </c>
      <c r="H338" s="276">
        <v>0</v>
      </c>
      <c r="I338" s="441">
        <v>0</v>
      </c>
      <c r="J338" s="441">
        <v>0</v>
      </c>
      <c r="K338" s="120">
        <f t="shared" si="18"/>
        <v>0</v>
      </c>
      <c r="L338" s="288">
        <f t="shared" si="19"/>
        <v>0</v>
      </c>
      <c r="M338" s="262"/>
      <c r="N338" s="262"/>
      <c r="O338" s="262"/>
      <c r="P338" s="262"/>
    </row>
    <row r="339" spans="1:16" x14ac:dyDescent="0.25">
      <c r="A339" s="210">
        <v>6602</v>
      </c>
      <c r="B339" s="211" t="s">
        <v>205</v>
      </c>
      <c r="C339" s="266">
        <v>0</v>
      </c>
      <c r="D339" s="120">
        <v>0</v>
      </c>
      <c r="E339" s="276">
        <v>0</v>
      </c>
      <c r="F339" s="276">
        <v>0</v>
      </c>
      <c r="G339" s="276">
        <v>0</v>
      </c>
      <c r="H339" s="276">
        <v>0</v>
      </c>
      <c r="I339" s="441">
        <v>0</v>
      </c>
      <c r="J339" s="441">
        <v>0</v>
      </c>
      <c r="K339" s="120">
        <f t="shared" si="18"/>
        <v>0</v>
      </c>
      <c r="L339" s="288">
        <f t="shared" si="19"/>
        <v>0</v>
      </c>
      <c r="M339" s="262"/>
      <c r="N339" s="262"/>
      <c r="O339" s="262"/>
      <c r="P339" s="262"/>
    </row>
    <row r="340" spans="1:16" x14ac:dyDescent="0.25">
      <c r="A340" s="210">
        <v>6603</v>
      </c>
      <c r="B340" s="211" t="s">
        <v>231</v>
      </c>
      <c r="C340" s="266">
        <v>0</v>
      </c>
      <c r="D340" s="120">
        <v>0</v>
      </c>
      <c r="E340" s="276">
        <v>0</v>
      </c>
      <c r="F340" s="276">
        <v>0</v>
      </c>
      <c r="G340" s="276">
        <v>0</v>
      </c>
      <c r="H340" s="276">
        <v>0</v>
      </c>
      <c r="I340" s="441">
        <v>0</v>
      </c>
      <c r="J340" s="441">
        <v>0</v>
      </c>
      <c r="K340" s="120">
        <f t="shared" si="18"/>
        <v>0</v>
      </c>
      <c r="L340" s="288">
        <f t="shared" si="19"/>
        <v>0</v>
      </c>
      <c r="M340" s="262"/>
      <c r="N340" s="262"/>
      <c r="O340" s="262"/>
      <c r="P340" s="262"/>
    </row>
    <row r="341" spans="1:16" x14ac:dyDescent="0.25">
      <c r="A341" s="210">
        <v>6604</v>
      </c>
      <c r="B341" s="211" t="s">
        <v>204</v>
      </c>
      <c r="C341" s="266">
        <v>0</v>
      </c>
      <c r="D341" s="120">
        <v>0</v>
      </c>
      <c r="E341" s="276">
        <v>0</v>
      </c>
      <c r="F341" s="276">
        <v>0</v>
      </c>
      <c r="G341" s="276">
        <v>0</v>
      </c>
      <c r="H341" s="276">
        <v>0</v>
      </c>
      <c r="I341" s="441">
        <v>0</v>
      </c>
      <c r="J341" s="441">
        <v>0</v>
      </c>
      <c r="K341" s="120">
        <f t="shared" si="18"/>
        <v>0</v>
      </c>
      <c r="L341" s="288">
        <f t="shared" si="19"/>
        <v>0</v>
      </c>
      <c r="M341" s="262"/>
      <c r="N341" s="262"/>
      <c r="O341" s="262"/>
      <c r="P341" s="262"/>
    </row>
    <row r="342" spans="1:16" x14ac:dyDescent="0.25">
      <c r="A342" s="210">
        <v>6605</v>
      </c>
      <c r="B342" s="211" t="s">
        <v>98</v>
      </c>
      <c r="C342" s="266">
        <v>0</v>
      </c>
      <c r="D342" s="120">
        <v>0</v>
      </c>
      <c r="E342" s="276">
        <v>0</v>
      </c>
      <c r="F342" s="276">
        <v>0</v>
      </c>
      <c r="G342" s="276">
        <v>0</v>
      </c>
      <c r="H342" s="276">
        <v>0</v>
      </c>
      <c r="I342" s="441">
        <v>0</v>
      </c>
      <c r="J342" s="441">
        <v>0</v>
      </c>
      <c r="K342" s="120">
        <f t="shared" si="18"/>
        <v>0</v>
      </c>
      <c r="L342" s="288">
        <f t="shared" si="19"/>
        <v>0</v>
      </c>
      <c r="M342" s="262"/>
      <c r="N342" s="262"/>
      <c r="O342" s="262"/>
      <c r="P342" s="262"/>
    </row>
    <row r="343" spans="1:16" x14ac:dyDescent="0.25">
      <c r="A343" s="210">
        <v>6606</v>
      </c>
      <c r="B343" s="211" t="s">
        <v>238</v>
      </c>
      <c r="C343" s="266">
        <v>0</v>
      </c>
      <c r="D343" s="120">
        <v>0</v>
      </c>
      <c r="E343" s="276">
        <v>0</v>
      </c>
      <c r="F343" s="276">
        <v>0</v>
      </c>
      <c r="G343" s="276">
        <v>0</v>
      </c>
      <c r="H343" s="276">
        <v>0</v>
      </c>
      <c r="I343" s="441">
        <v>0</v>
      </c>
      <c r="J343" s="441">
        <v>0</v>
      </c>
      <c r="K343" s="120">
        <f t="shared" si="18"/>
        <v>0</v>
      </c>
      <c r="L343" s="291">
        <f t="shared" si="19"/>
        <v>0</v>
      </c>
      <c r="M343" s="262"/>
      <c r="N343" s="262"/>
      <c r="O343" s="262"/>
      <c r="P343" s="262"/>
    </row>
    <row r="344" spans="1:16" x14ac:dyDescent="0.25">
      <c r="A344" s="210">
        <v>6607</v>
      </c>
      <c r="B344" s="211" t="s">
        <v>100</v>
      </c>
      <c r="C344" s="266">
        <v>0</v>
      </c>
      <c r="D344" s="120">
        <v>0</v>
      </c>
      <c r="E344" s="276">
        <v>0</v>
      </c>
      <c r="F344" s="276">
        <v>0</v>
      </c>
      <c r="G344" s="276">
        <v>0</v>
      </c>
      <c r="H344" s="276">
        <v>0</v>
      </c>
      <c r="I344" s="441">
        <v>0</v>
      </c>
      <c r="J344" s="441">
        <v>0</v>
      </c>
      <c r="K344" s="120">
        <f t="shared" si="18"/>
        <v>0</v>
      </c>
      <c r="L344" s="288">
        <f t="shared" si="19"/>
        <v>0</v>
      </c>
      <c r="M344" s="262"/>
      <c r="N344" s="262"/>
      <c r="O344" s="262"/>
      <c r="P344" s="262"/>
    </row>
    <row r="345" spans="1:16" x14ac:dyDescent="0.25">
      <c r="A345" s="210">
        <v>6608</v>
      </c>
      <c r="B345" s="211" t="s">
        <v>197</v>
      </c>
      <c r="C345" s="266">
        <v>0</v>
      </c>
      <c r="D345" s="120">
        <v>0</v>
      </c>
      <c r="E345" s="276">
        <v>0</v>
      </c>
      <c r="F345" s="276">
        <v>0</v>
      </c>
      <c r="G345" s="276">
        <v>0</v>
      </c>
      <c r="H345" s="276">
        <v>0</v>
      </c>
      <c r="I345" s="441">
        <v>0</v>
      </c>
      <c r="J345" s="441">
        <v>0</v>
      </c>
      <c r="K345" s="120">
        <f t="shared" si="18"/>
        <v>0</v>
      </c>
      <c r="L345" s="288">
        <f t="shared" si="19"/>
        <v>0</v>
      </c>
      <c r="M345" s="262"/>
      <c r="N345" s="262"/>
      <c r="O345" s="262"/>
      <c r="P345" s="262"/>
    </row>
    <row r="346" spans="1:16" x14ac:dyDescent="0.25">
      <c r="A346" s="210">
        <v>6609</v>
      </c>
      <c r="B346" s="211" t="s">
        <v>193</v>
      </c>
      <c r="C346" s="266">
        <v>0</v>
      </c>
      <c r="D346" s="120">
        <v>0</v>
      </c>
      <c r="E346" s="276">
        <v>0</v>
      </c>
      <c r="F346" s="276">
        <v>0</v>
      </c>
      <c r="G346" s="276">
        <v>0</v>
      </c>
      <c r="H346" s="276">
        <v>0</v>
      </c>
      <c r="I346" s="441">
        <v>0</v>
      </c>
      <c r="J346" s="441">
        <v>0</v>
      </c>
      <c r="K346" s="120">
        <f t="shared" si="18"/>
        <v>0</v>
      </c>
      <c r="L346" s="288">
        <f t="shared" si="19"/>
        <v>0</v>
      </c>
      <c r="M346" s="262"/>
      <c r="N346" s="262"/>
      <c r="O346" s="262"/>
      <c r="P346" s="262"/>
    </row>
    <row r="347" spans="1:16" x14ac:dyDescent="0.25">
      <c r="A347" s="210">
        <v>6610</v>
      </c>
      <c r="B347" s="211" t="s">
        <v>87</v>
      </c>
      <c r="C347" s="266">
        <v>0</v>
      </c>
      <c r="D347" s="120">
        <v>0</v>
      </c>
      <c r="E347" s="276">
        <v>0</v>
      </c>
      <c r="F347" s="276">
        <v>0</v>
      </c>
      <c r="G347" s="276">
        <v>0</v>
      </c>
      <c r="H347" s="276">
        <v>0</v>
      </c>
      <c r="I347" s="441">
        <v>0</v>
      </c>
      <c r="J347" s="441">
        <v>0</v>
      </c>
      <c r="K347" s="120">
        <f t="shared" si="18"/>
        <v>0</v>
      </c>
      <c r="L347" s="288">
        <f t="shared" si="19"/>
        <v>0</v>
      </c>
      <c r="M347" s="262"/>
      <c r="N347" s="262"/>
      <c r="O347" s="262"/>
      <c r="P347" s="262"/>
    </row>
    <row r="348" spans="1:16" x14ac:dyDescent="0.25">
      <c r="A348" s="210">
        <v>6611</v>
      </c>
      <c r="B348" s="211" t="s">
        <v>102</v>
      </c>
      <c r="C348" s="266">
        <v>0</v>
      </c>
      <c r="D348" s="120">
        <v>0</v>
      </c>
      <c r="E348" s="276">
        <v>0</v>
      </c>
      <c r="F348" s="276">
        <v>0</v>
      </c>
      <c r="G348" s="276">
        <v>0</v>
      </c>
      <c r="H348" s="276">
        <v>0</v>
      </c>
      <c r="I348" s="441">
        <v>0</v>
      </c>
      <c r="J348" s="441">
        <v>0</v>
      </c>
      <c r="K348" s="120">
        <f t="shared" si="18"/>
        <v>0</v>
      </c>
      <c r="L348" s="288">
        <f t="shared" si="19"/>
        <v>0</v>
      </c>
      <c r="M348" s="262"/>
      <c r="N348" s="262"/>
      <c r="O348" s="262"/>
      <c r="P348" s="262"/>
    </row>
    <row r="349" spans="1:16" x14ac:dyDescent="0.25">
      <c r="A349" s="210">
        <v>6612</v>
      </c>
      <c r="B349" s="211" t="s">
        <v>121</v>
      </c>
      <c r="C349" s="266">
        <v>0</v>
      </c>
      <c r="D349" s="120">
        <v>0</v>
      </c>
      <c r="E349" s="276">
        <v>0</v>
      </c>
      <c r="F349" s="276">
        <v>0</v>
      </c>
      <c r="G349" s="276">
        <v>0</v>
      </c>
      <c r="H349" s="276">
        <v>0</v>
      </c>
      <c r="I349" s="441">
        <v>0</v>
      </c>
      <c r="J349" s="441">
        <v>0</v>
      </c>
      <c r="K349" s="120">
        <f t="shared" si="18"/>
        <v>0</v>
      </c>
      <c r="L349" s="288">
        <f t="shared" si="19"/>
        <v>0</v>
      </c>
      <c r="M349" s="262"/>
      <c r="N349" s="262"/>
      <c r="O349" s="262"/>
      <c r="P349" s="262"/>
    </row>
    <row r="350" spans="1:16" x14ac:dyDescent="0.25">
      <c r="A350" s="210">
        <v>6613</v>
      </c>
      <c r="B350" s="211" t="s">
        <v>103</v>
      </c>
      <c r="C350" s="266">
        <v>0</v>
      </c>
      <c r="D350" s="120">
        <v>0</v>
      </c>
      <c r="E350" s="276">
        <v>0</v>
      </c>
      <c r="F350" s="276">
        <v>0</v>
      </c>
      <c r="G350" s="276">
        <v>0</v>
      </c>
      <c r="H350" s="276">
        <v>0</v>
      </c>
      <c r="I350" s="441">
        <v>0</v>
      </c>
      <c r="J350" s="441">
        <v>0</v>
      </c>
      <c r="K350" s="120">
        <f t="shared" si="18"/>
        <v>0</v>
      </c>
      <c r="L350" s="288">
        <f t="shared" si="19"/>
        <v>0</v>
      </c>
      <c r="M350" s="262"/>
      <c r="N350" s="262"/>
      <c r="O350" s="262"/>
      <c r="P350" s="262"/>
    </row>
    <row r="351" spans="1:16" x14ac:dyDescent="0.25">
      <c r="A351" s="210">
        <v>6614</v>
      </c>
      <c r="B351" s="211" t="s">
        <v>108</v>
      </c>
      <c r="C351" s="266">
        <v>0</v>
      </c>
      <c r="D351" s="120">
        <v>1</v>
      </c>
      <c r="E351" s="276">
        <v>0</v>
      </c>
      <c r="F351" s="276">
        <v>0</v>
      </c>
      <c r="G351" s="276">
        <v>0</v>
      </c>
      <c r="H351" s="276">
        <v>0</v>
      </c>
      <c r="I351" s="441">
        <v>0</v>
      </c>
      <c r="J351" s="441">
        <v>0</v>
      </c>
      <c r="K351" s="120">
        <f t="shared" si="18"/>
        <v>0</v>
      </c>
      <c r="L351" s="288">
        <f t="shared" si="19"/>
        <v>1</v>
      </c>
      <c r="M351" s="262"/>
      <c r="N351" s="262"/>
      <c r="O351" s="262"/>
      <c r="P351" s="262"/>
    </row>
    <row r="352" spans="1:16" x14ac:dyDescent="0.25">
      <c r="A352" s="210">
        <v>6615</v>
      </c>
      <c r="B352" s="211" t="s">
        <v>185</v>
      </c>
      <c r="C352" s="266">
        <v>0</v>
      </c>
      <c r="D352" s="120">
        <v>0</v>
      </c>
      <c r="E352" s="276">
        <v>0</v>
      </c>
      <c r="F352" s="276">
        <v>0</v>
      </c>
      <c r="G352" s="276">
        <v>0</v>
      </c>
      <c r="H352" s="276">
        <v>0</v>
      </c>
      <c r="I352" s="441">
        <v>0</v>
      </c>
      <c r="J352" s="441">
        <v>0</v>
      </c>
      <c r="K352" s="120">
        <f t="shared" si="18"/>
        <v>0</v>
      </c>
      <c r="L352" s="288">
        <f t="shared" si="19"/>
        <v>0</v>
      </c>
      <c r="M352" s="262"/>
      <c r="N352" s="262"/>
      <c r="O352" s="262"/>
      <c r="P352" s="262"/>
    </row>
    <row r="353" spans="1:16" x14ac:dyDescent="0.25">
      <c r="A353" s="210">
        <v>6616</v>
      </c>
      <c r="B353" s="211" t="s">
        <v>109</v>
      </c>
      <c r="C353" s="266">
        <v>0</v>
      </c>
      <c r="D353" s="120">
        <v>0</v>
      </c>
      <c r="E353" s="276">
        <v>0</v>
      </c>
      <c r="F353" s="276">
        <v>0</v>
      </c>
      <c r="G353" s="276">
        <v>0</v>
      </c>
      <c r="H353" s="276">
        <v>0</v>
      </c>
      <c r="I353" s="441">
        <v>0</v>
      </c>
      <c r="J353" s="441">
        <v>0</v>
      </c>
      <c r="K353" s="120">
        <f t="shared" si="18"/>
        <v>0</v>
      </c>
      <c r="L353" s="288">
        <f t="shared" si="19"/>
        <v>0</v>
      </c>
      <c r="M353" s="262"/>
      <c r="N353" s="262"/>
      <c r="O353" s="262"/>
      <c r="P353" s="262"/>
    </row>
    <row r="354" spans="1:16" x14ac:dyDescent="0.25">
      <c r="A354" s="210">
        <v>6617</v>
      </c>
      <c r="B354" s="211" t="s">
        <v>186</v>
      </c>
      <c r="C354" s="266">
        <v>0</v>
      </c>
      <c r="D354" s="120">
        <v>0</v>
      </c>
      <c r="E354" s="276">
        <v>0</v>
      </c>
      <c r="F354" s="276">
        <v>0</v>
      </c>
      <c r="G354" s="276">
        <v>0</v>
      </c>
      <c r="H354" s="276">
        <v>0</v>
      </c>
      <c r="I354" s="441">
        <v>0</v>
      </c>
      <c r="J354" s="441">
        <v>0</v>
      </c>
      <c r="K354" s="120">
        <f t="shared" si="18"/>
        <v>0</v>
      </c>
      <c r="L354" s="288">
        <f t="shared" si="19"/>
        <v>0</v>
      </c>
      <c r="M354" s="262"/>
      <c r="N354" s="262"/>
      <c r="O354" s="262"/>
      <c r="P354" s="262"/>
    </row>
    <row r="355" spans="1:16" x14ac:dyDescent="0.25">
      <c r="A355" s="210">
        <v>6618</v>
      </c>
      <c r="B355" s="211" t="s">
        <v>187</v>
      </c>
      <c r="C355" s="266">
        <v>0</v>
      </c>
      <c r="D355" s="120">
        <v>0</v>
      </c>
      <c r="E355" s="276">
        <v>0</v>
      </c>
      <c r="F355" s="276">
        <v>0</v>
      </c>
      <c r="G355" s="276">
        <v>0</v>
      </c>
      <c r="H355" s="276">
        <v>0</v>
      </c>
      <c r="I355" s="441">
        <v>0</v>
      </c>
      <c r="J355" s="441">
        <v>0</v>
      </c>
      <c r="K355" s="120">
        <f t="shared" si="18"/>
        <v>0</v>
      </c>
      <c r="L355" s="288">
        <f t="shared" si="19"/>
        <v>0</v>
      </c>
      <c r="M355" s="262"/>
      <c r="N355" s="262"/>
      <c r="O355" s="262"/>
      <c r="P355" s="262"/>
    </row>
    <row r="356" spans="1:16" x14ac:dyDescent="0.25">
      <c r="A356" s="210">
        <v>6619</v>
      </c>
      <c r="B356" s="211" t="s">
        <v>188</v>
      </c>
      <c r="C356" s="266">
        <v>0</v>
      </c>
      <c r="D356" s="120">
        <v>0</v>
      </c>
      <c r="E356" s="276">
        <v>0</v>
      </c>
      <c r="F356" s="276">
        <v>0</v>
      </c>
      <c r="G356" s="276">
        <v>0</v>
      </c>
      <c r="H356" s="276">
        <v>0</v>
      </c>
      <c r="I356" s="441">
        <v>0</v>
      </c>
      <c r="J356" s="441">
        <v>0</v>
      </c>
      <c r="K356" s="120">
        <f t="shared" si="18"/>
        <v>0</v>
      </c>
      <c r="L356" s="288">
        <f t="shared" si="19"/>
        <v>0</v>
      </c>
      <c r="M356" s="262"/>
      <c r="N356" s="262"/>
      <c r="O356" s="262"/>
      <c r="P356" s="262"/>
    </row>
    <row r="357" spans="1:16" x14ac:dyDescent="0.25">
      <c r="A357" s="210">
        <v>6620</v>
      </c>
      <c r="B357" s="211" t="s">
        <v>191</v>
      </c>
      <c r="C357" s="266">
        <v>0</v>
      </c>
      <c r="D357" s="120">
        <v>0</v>
      </c>
      <c r="E357" s="276">
        <v>0</v>
      </c>
      <c r="F357" s="276">
        <v>0</v>
      </c>
      <c r="G357" s="276">
        <v>0</v>
      </c>
      <c r="H357" s="276">
        <v>0</v>
      </c>
      <c r="I357" s="441">
        <v>0</v>
      </c>
      <c r="J357" s="441">
        <v>0</v>
      </c>
      <c r="K357" s="120">
        <f t="shared" si="18"/>
        <v>0</v>
      </c>
      <c r="L357" s="288">
        <f t="shared" si="19"/>
        <v>0</v>
      </c>
      <c r="M357" s="262"/>
      <c r="N357" s="262"/>
      <c r="O357" s="262"/>
      <c r="P357" s="262"/>
    </row>
    <row r="358" spans="1:16" x14ac:dyDescent="0.25">
      <c r="A358" s="210">
        <v>6621</v>
      </c>
      <c r="B358" s="211" t="s">
        <v>110</v>
      </c>
      <c r="C358" s="266">
        <v>0</v>
      </c>
      <c r="D358" s="120">
        <v>0</v>
      </c>
      <c r="E358" s="276">
        <v>0</v>
      </c>
      <c r="F358" s="276">
        <v>0</v>
      </c>
      <c r="G358" s="276">
        <v>0</v>
      </c>
      <c r="H358" s="276">
        <v>0</v>
      </c>
      <c r="I358" s="441">
        <v>0</v>
      </c>
      <c r="J358" s="441">
        <v>0</v>
      </c>
      <c r="K358" s="120">
        <f t="shared" si="18"/>
        <v>0</v>
      </c>
      <c r="L358" s="288">
        <f t="shared" si="19"/>
        <v>0</v>
      </c>
      <c r="M358" s="262"/>
      <c r="N358" s="262"/>
      <c r="O358" s="262"/>
      <c r="P358" s="262"/>
    </row>
    <row r="359" spans="1:16" x14ac:dyDescent="0.25">
      <c r="A359" s="210">
        <v>6622</v>
      </c>
      <c r="B359" s="211" t="s">
        <v>129</v>
      </c>
      <c r="C359" s="266">
        <v>0</v>
      </c>
      <c r="D359" s="120">
        <v>0</v>
      </c>
      <c r="E359" s="276">
        <v>0</v>
      </c>
      <c r="F359" s="276">
        <v>0</v>
      </c>
      <c r="G359" s="276">
        <v>0</v>
      </c>
      <c r="H359" s="276">
        <v>0</v>
      </c>
      <c r="I359" s="441">
        <v>0</v>
      </c>
      <c r="J359" s="441">
        <v>0</v>
      </c>
      <c r="K359" s="120">
        <f t="shared" si="18"/>
        <v>0</v>
      </c>
      <c r="L359" s="288">
        <f t="shared" si="19"/>
        <v>0</v>
      </c>
      <c r="M359" s="262"/>
      <c r="N359" s="262"/>
      <c r="O359" s="262"/>
      <c r="P359" s="262"/>
    </row>
    <row r="360" spans="1:16" x14ac:dyDescent="0.25">
      <c r="A360" s="210">
        <v>6623</v>
      </c>
      <c r="B360" s="211" t="s">
        <v>77</v>
      </c>
      <c r="C360" s="266">
        <v>0</v>
      </c>
      <c r="D360" s="120">
        <v>0</v>
      </c>
      <c r="E360" s="276">
        <v>0</v>
      </c>
      <c r="F360" s="276">
        <v>0</v>
      </c>
      <c r="G360" s="276">
        <v>0</v>
      </c>
      <c r="H360" s="276">
        <v>0</v>
      </c>
      <c r="I360" s="441">
        <v>0</v>
      </c>
      <c r="J360" s="441">
        <v>0</v>
      </c>
      <c r="K360" s="120">
        <f t="shared" si="18"/>
        <v>0</v>
      </c>
      <c r="L360" s="288">
        <f t="shared" si="19"/>
        <v>0</v>
      </c>
      <c r="M360" s="262"/>
      <c r="N360" s="262"/>
      <c r="O360" s="262"/>
      <c r="P360" s="262"/>
    </row>
    <row r="361" spans="1:16" x14ac:dyDescent="0.25">
      <c r="A361" s="210">
        <v>6624</v>
      </c>
      <c r="B361" s="211" t="s">
        <v>234</v>
      </c>
      <c r="C361" s="266">
        <v>0</v>
      </c>
      <c r="D361" s="120">
        <v>0</v>
      </c>
      <c r="E361" s="276">
        <v>0</v>
      </c>
      <c r="F361" s="276">
        <v>0</v>
      </c>
      <c r="G361" s="276">
        <v>0</v>
      </c>
      <c r="H361" s="276">
        <v>0</v>
      </c>
      <c r="I361" s="441">
        <v>0</v>
      </c>
      <c r="J361" s="441">
        <v>0</v>
      </c>
      <c r="K361" s="120">
        <f t="shared" si="18"/>
        <v>0</v>
      </c>
      <c r="L361" s="288">
        <f t="shared" si="19"/>
        <v>0</v>
      </c>
      <c r="M361" s="262"/>
      <c r="N361" s="262"/>
      <c r="O361" s="262"/>
      <c r="P361" s="262"/>
    </row>
    <row r="362" spans="1:16" x14ac:dyDescent="0.25">
      <c r="A362" s="210">
        <v>6625</v>
      </c>
      <c r="B362" s="211" t="s">
        <v>107</v>
      </c>
      <c r="C362" s="266">
        <v>0</v>
      </c>
      <c r="D362" s="120">
        <v>0</v>
      </c>
      <c r="E362" s="276">
        <v>0</v>
      </c>
      <c r="F362" s="276">
        <v>0</v>
      </c>
      <c r="G362" s="276">
        <v>0</v>
      </c>
      <c r="H362" s="276">
        <v>0</v>
      </c>
      <c r="I362" s="441">
        <v>0</v>
      </c>
      <c r="J362" s="441">
        <v>0</v>
      </c>
      <c r="K362" s="120">
        <f t="shared" si="18"/>
        <v>0</v>
      </c>
      <c r="L362" s="288">
        <f t="shared" si="19"/>
        <v>0</v>
      </c>
      <c r="M362" s="262"/>
      <c r="N362" s="262"/>
      <c r="O362" s="262"/>
      <c r="P362" s="262"/>
    </row>
    <row r="363" spans="1:16" x14ac:dyDescent="0.25">
      <c r="A363" s="210">
        <v>6626</v>
      </c>
      <c r="B363" s="211" t="s">
        <v>112</v>
      </c>
      <c r="C363" s="266">
        <v>0</v>
      </c>
      <c r="D363" s="120">
        <v>0</v>
      </c>
      <c r="E363" s="276">
        <v>0</v>
      </c>
      <c r="F363" s="276">
        <v>0</v>
      </c>
      <c r="G363" s="276">
        <v>0</v>
      </c>
      <c r="H363" s="276">
        <v>0</v>
      </c>
      <c r="I363" s="441">
        <v>0</v>
      </c>
      <c r="J363" s="441">
        <v>0</v>
      </c>
      <c r="K363" s="120">
        <f t="shared" si="18"/>
        <v>0</v>
      </c>
      <c r="L363" s="288">
        <f t="shared" si="19"/>
        <v>0</v>
      </c>
      <c r="M363" s="262"/>
      <c r="N363" s="262"/>
      <c r="O363" s="262"/>
      <c r="P363" s="262"/>
    </row>
    <row r="364" spans="1:16" x14ac:dyDescent="0.25">
      <c r="A364" s="210">
        <v>6627</v>
      </c>
      <c r="B364" s="211" t="s">
        <v>104</v>
      </c>
      <c r="C364" s="266">
        <v>0</v>
      </c>
      <c r="D364" s="120">
        <v>0</v>
      </c>
      <c r="E364" s="276">
        <v>0</v>
      </c>
      <c r="F364" s="276">
        <v>0</v>
      </c>
      <c r="G364" s="276">
        <v>0</v>
      </c>
      <c r="H364" s="276">
        <v>0</v>
      </c>
      <c r="I364" s="441">
        <v>0</v>
      </c>
      <c r="J364" s="441">
        <v>0</v>
      </c>
      <c r="K364" s="120">
        <f t="shared" si="18"/>
        <v>0</v>
      </c>
      <c r="L364" s="288">
        <f t="shared" si="19"/>
        <v>0</v>
      </c>
      <c r="M364" s="262"/>
      <c r="N364" s="262"/>
      <c r="O364" s="262"/>
      <c r="P364" s="262"/>
    </row>
    <row r="365" spans="1:16" x14ac:dyDescent="0.25">
      <c r="A365" s="210">
        <v>6628</v>
      </c>
      <c r="B365" s="211" t="s">
        <v>239</v>
      </c>
      <c r="C365" s="266">
        <v>0</v>
      </c>
      <c r="D365" s="120">
        <v>1</v>
      </c>
      <c r="E365" s="276">
        <v>0</v>
      </c>
      <c r="F365" s="276">
        <v>0</v>
      </c>
      <c r="G365" s="276">
        <v>0</v>
      </c>
      <c r="H365" s="276">
        <v>0</v>
      </c>
      <c r="I365" s="441">
        <v>0</v>
      </c>
      <c r="J365" s="441">
        <v>0</v>
      </c>
      <c r="K365" s="120">
        <f t="shared" si="18"/>
        <v>0</v>
      </c>
      <c r="L365" s="288">
        <f t="shared" si="19"/>
        <v>1</v>
      </c>
      <c r="M365" s="262"/>
      <c r="N365" s="262"/>
      <c r="O365" s="262"/>
      <c r="P365" s="262"/>
    </row>
    <row r="366" spans="1:16" x14ac:dyDescent="0.25">
      <c r="A366" s="210">
        <v>6629</v>
      </c>
      <c r="B366" s="211" t="s">
        <v>121</v>
      </c>
      <c r="C366" s="266">
        <v>0</v>
      </c>
      <c r="D366" s="120">
        <v>0</v>
      </c>
      <c r="E366" s="276">
        <v>0</v>
      </c>
      <c r="F366" s="276">
        <v>0</v>
      </c>
      <c r="G366" s="276">
        <v>0</v>
      </c>
      <c r="H366" s="276">
        <v>0</v>
      </c>
      <c r="I366" s="441">
        <v>0</v>
      </c>
      <c r="J366" s="441">
        <v>0</v>
      </c>
      <c r="K366" s="120">
        <f t="shared" si="18"/>
        <v>0</v>
      </c>
      <c r="L366" s="288">
        <f t="shared" si="19"/>
        <v>0</v>
      </c>
      <c r="M366" s="262"/>
      <c r="N366" s="262"/>
      <c r="O366" s="262"/>
      <c r="P366" s="262"/>
    </row>
    <row r="367" spans="1:16" x14ac:dyDescent="0.25">
      <c r="A367" s="210">
        <v>6630</v>
      </c>
      <c r="B367" s="211" t="s">
        <v>136</v>
      </c>
      <c r="C367" s="266">
        <v>0</v>
      </c>
      <c r="D367" s="120">
        <v>0</v>
      </c>
      <c r="E367" s="276">
        <v>0</v>
      </c>
      <c r="F367" s="276">
        <v>0</v>
      </c>
      <c r="G367" s="276">
        <v>0</v>
      </c>
      <c r="H367" s="276">
        <v>0</v>
      </c>
      <c r="I367" s="441">
        <v>0</v>
      </c>
      <c r="J367" s="441">
        <v>0</v>
      </c>
      <c r="K367" s="120">
        <f t="shared" si="18"/>
        <v>0</v>
      </c>
      <c r="L367" s="288">
        <f t="shared" si="19"/>
        <v>0</v>
      </c>
      <c r="M367" s="262"/>
      <c r="N367" s="262"/>
      <c r="O367" s="262"/>
      <c r="P367" s="262"/>
    </row>
    <row r="368" spans="1:16" x14ac:dyDescent="0.25">
      <c r="A368" s="210">
        <v>6631</v>
      </c>
      <c r="B368" s="211" t="s">
        <v>117</v>
      </c>
      <c r="C368" s="266">
        <v>0</v>
      </c>
      <c r="D368" s="120">
        <v>0</v>
      </c>
      <c r="E368" s="276">
        <v>0</v>
      </c>
      <c r="F368" s="276">
        <v>0</v>
      </c>
      <c r="G368" s="276">
        <v>0</v>
      </c>
      <c r="H368" s="276">
        <v>0</v>
      </c>
      <c r="I368" s="441">
        <v>0</v>
      </c>
      <c r="J368" s="441">
        <v>0</v>
      </c>
      <c r="K368" s="120">
        <f t="shared" si="18"/>
        <v>0</v>
      </c>
      <c r="L368" s="288">
        <f t="shared" si="19"/>
        <v>0</v>
      </c>
      <c r="M368" s="262"/>
      <c r="N368" s="262"/>
      <c r="O368" s="262"/>
      <c r="P368" s="262"/>
    </row>
    <row r="369" spans="1:16" x14ac:dyDescent="0.25">
      <c r="A369" s="210">
        <v>6632</v>
      </c>
      <c r="B369" s="211" t="s">
        <v>116</v>
      </c>
      <c r="C369" s="266">
        <v>0</v>
      </c>
      <c r="D369" s="120">
        <v>0</v>
      </c>
      <c r="E369" s="276">
        <v>0</v>
      </c>
      <c r="F369" s="276">
        <v>0</v>
      </c>
      <c r="G369" s="276">
        <v>0</v>
      </c>
      <c r="H369" s="276">
        <v>0</v>
      </c>
      <c r="I369" s="441">
        <v>0</v>
      </c>
      <c r="J369" s="441">
        <v>0</v>
      </c>
      <c r="K369" s="120">
        <f t="shared" si="18"/>
        <v>0</v>
      </c>
      <c r="L369" s="288">
        <f t="shared" si="19"/>
        <v>0</v>
      </c>
      <c r="M369" s="262"/>
      <c r="N369" s="262"/>
      <c r="O369" s="262"/>
      <c r="P369" s="262"/>
    </row>
    <row r="370" spans="1:16" x14ac:dyDescent="0.25">
      <c r="A370" s="210">
        <v>6633</v>
      </c>
      <c r="B370" s="211" t="s">
        <v>114</v>
      </c>
      <c r="C370" s="266">
        <v>0</v>
      </c>
      <c r="D370" s="120">
        <v>0</v>
      </c>
      <c r="E370" s="276">
        <v>0</v>
      </c>
      <c r="F370" s="276">
        <v>0</v>
      </c>
      <c r="G370" s="276">
        <v>0</v>
      </c>
      <c r="H370" s="276">
        <v>0</v>
      </c>
      <c r="I370" s="441">
        <v>0</v>
      </c>
      <c r="J370" s="441">
        <v>0</v>
      </c>
      <c r="K370" s="120">
        <f t="shared" si="18"/>
        <v>0</v>
      </c>
      <c r="L370" s="288">
        <f t="shared" si="19"/>
        <v>0</v>
      </c>
      <c r="M370" s="262"/>
      <c r="N370" s="262"/>
      <c r="O370" s="262"/>
      <c r="P370" s="262"/>
    </row>
    <row r="371" spans="1:16" x14ac:dyDescent="0.25">
      <c r="A371" s="210">
        <v>6634</v>
      </c>
      <c r="B371" s="211" t="s">
        <v>55</v>
      </c>
      <c r="C371" s="266">
        <v>0</v>
      </c>
      <c r="D371" s="120">
        <v>0</v>
      </c>
      <c r="E371" s="276">
        <v>0</v>
      </c>
      <c r="F371" s="276">
        <v>0</v>
      </c>
      <c r="G371" s="276">
        <v>0</v>
      </c>
      <c r="H371" s="276">
        <v>0</v>
      </c>
      <c r="I371" s="441">
        <v>0</v>
      </c>
      <c r="J371" s="441">
        <v>0</v>
      </c>
      <c r="K371" s="120">
        <f t="shared" si="18"/>
        <v>0</v>
      </c>
      <c r="L371" s="288">
        <f t="shared" si="19"/>
        <v>0</v>
      </c>
      <c r="M371" s="262"/>
      <c r="N371" s="262"/>
      <c r="O371" s="262"/>
      <c r="P371" s="262"/>
    </row>
    <row r="372" spans="1:16" x14ac:dyDescent="0.25">
      <c r="A372" s="210">
        <v>6635</v>
      </c>
      <c r="B372" s="211" t="s">
        <v>119</v>
      </c>
      <c r="C372" s="266">
        <v>0</v>
      </c>
      <c r="D372" s="120">
        <v>0</v>
      </c>
      <c r="E372" s="276">
        <v>0</v>
      </c>
      <c r="F372" s="276">
        <v>0</v>
      </c>
      <c r="G372" s="276">
        <v>0</v>
      </c>
      <c r="H372" s="276">
        <v>0</v>
      </c>
      <c r="I372" s="441">
        <v>0</v>
      </c>
      <c r="J372" s="441">
        <v>0</v>
      </c>
      <c r="K372" s="120">
        <f t="shared" si="18"/>
        <v>0</v>
      </c>
      <c r="L372" s="288">
        <f t="shared" si="19"/>
        <v>0</v>
      </c>
      <c r="M372" s="262"/>
      <c r="N372" s="262"/>
      <c r="O372" s="262"/>
      <c r="P372" s="262"/>
    </row>
    <row r="373" spans="1:16" x14ac:dyDescent="0.25">
      <c r="A373" s="210">
        <v>6636</v>
      </c>
      <c r="B373" s="211" t="s">
        <v>145</v>
      </c>
      <c r="C373" s="266">
        <v>0</v>
      </c>
      <c r="D373" s="120">
        <v>0</v>
      </c>
      <c r="E373" s="276">
        <v>0</v>
      </c>
      <c r="F373" s="276">
        <v>0</v>
      </c>
      <c r="G373" s="276">
        <v>0</v>
      </c>
      <c r="H373" s="276">
        <v>0</v>
      </c>
      <c r="I373" s="441">
        <v>0</v>
      </c>
      <c r="J373" s="441">
        <v>0</v>
      </c>
      <c r="K373" s="120">
        <f t="shared" si="18"/>
        <v>0</v>
      </c>
      <c r="L373" s="288">
        <f t="shared" si="19"/>
        <v>0</v>
      </c>
      <c r="M373" s="262"/>
      <c r="N373" s="262"/>
      <c r="O373" s="262"/>
      <c r="P373" s="262"/>
    </row>
    <row r="374" spans="1:16" x14ac:dyDescent="0.25">
      <c r="A374" s="210">
        <v>6637</v>
      </c>
      <c r="B374" s="211" t="s">
        <v>65</v>
      </c>
      <c r="C374" s="266">
        <v>0</v>
      </c>
      <c r="D374" s="120">
        <v>0</v>
      </c>
      <c r="E374" s="276">
        <v>0</v>
      </c>
      <c r="F374" s="276">
        <v>0</v>
      </c>
      <c r="G374" s="276">
        <v>0</v>
      </c>
      <c r="H374" s="276">
        <v>0</v>
      </c>
      <c r="I374" s="441">
        <v>0</v>
      </c>
      <c r="J374" s="441">
        <v>0</v>
      </c>
      <c r="K374" s="120">
        <f t="shared" si="18"/>
        <v>0</v>
      </c>
      <c r="L374" s="288">
        <f t="shared" si="19"/>
        <v>0</v>
      </c>
      <c r="M374" s="262"/>
      <c r="N374" s="262"/>
      <c r="O374" s="262"/>
      <c r="P374" s="262"/>
    </row>
    <row r="375" spans="1:16" x14ac:dyDescent="0.25">
      <c r="A375" s="210">
        <v>6638</v>
      </c>
      <c r="B375" s="211" t="s">
        <v>120</v>
      </c>
      <c r="C375" s="266">
        <v>0</v>
      </c>
      <c r="D375" s="120">
        <v>0</v>
      </c>
      <c r="E375" s="276">
        <v>0</v>
      </c>
      <c r="F375" s="276">
        <v>0</v>
      </c>
      <c r="G375" s="276">
        <v>0</v>
      </c>
      <c r="H375" s="276">
        <v>0</v>
      </c>
      <c r="I375" s="441">
        <v>0</v>
      </c>
      <c r="J375" s="441">
        <v>0</v>
      </c>
      <c r="K375" s="120">
        <f t="shared" si="18"/>
        <v>0</v>
      </c>
      <c r="L375" s="288">
        <f t="shared" si="19"/>
        <v>0</v>
      </c>
      <c r="M375" s="262"/>
      <c r="N375" s="262"/>
      <c r="O375" s="262"/>
      <c r="P375" s="262"/>
    </row>
    <row r="376" spans="1:16" ht="30" x14ac:dyDescent="0.25">
      <c r="A376" s="210">
        <v>6639</v>
      </c>
      <c r="B376" s="211" t="s">
        <v>216</v>
      </c>
      <c r="C376" s="266">
        <v>0</v>
      </c>
      <c r="D376" s="120">
        <v>0</v>
      </c>
      <c r="E376" s="276">
        <v>0</v>
      </c>
      <c r="F376" s="276">
        <v>0</v>
      </c>
      <c r="G376" s="276">
        <v>0</v>
      </c>
      <c r="H376" s="276">
        <v>0</v>
      </c>
      <c r="I376" s="441">
        <v>0</v>
      </c>
      <c r="J376" s="441">
        <v>0</v>
      </c>
      <c r="K376" s="120">
        <f t="shared" si="18"/>
        <v>0</v>
      </c>
      <c r="L376" s="288">
        <f t="shared" si="19"/>
        <v>0</v>
      </c>
      <c r="M376" s="262"/>
      <c r="N376" s="262"/>
      <c r="O376" s="262"/>
      <c r="P376" s="262"/>
    </row>
    <row r="377" spans="1:16" ht="30" x14ac:dyDescent="0.25">
      <c r="A377" s="204">
        <v>6699</v>
      </c>
      <c r="B377" s="205" t="s">
        <v>217</v>
      </c>
      <c r="C377" s="266">
        <v>0</v>
      </c>
      <c r="D377" s="120">
        <v>0</v>
      </c>
      <c r="E377" s="276">
        <v>0</v>
      </c>
      <c r="F377" s="276">
        <v>0</v>
      </c>
      <c r="G377" s="276">
        <v>0</v>
      </c>
      <c r="H377" s="276">
        <v>0</v>
      </c>
      <c r="I377" s="441">
        <v>0</v>
      </c>
      <c r="J377" s="441">
        <v>0</v>
      </c>
      <c r="K377" s="209">
        <f t="shared" si="18"/>
        <v>0</v>
      </c>
      <c r="L377" s="287">
        <f t="shared" si="19"/>
        <v>0</v>
      </c>
      <c r="M377" s="262"/>
      <c r="N377" s="262"/>
      <c r="O377" s="262"/>
      <c r="P377" s="262"/>
    </row>
    <row r="378" spans="1:16" x14ac:dyDescent="0.25">
      <c r="A378" s="216">
        <v>7000</v>
      </c>
      <c r="B378" s="217" t="s">
        <v>236</v>
      </c>
      <c r="C378" s="280"/>
      <c r="D378" s="281"/>
      <c r="E378" s="282"/>
      <c r="F378" s="282"/>
      <c r="G378" s="346"/>
      <c r="H378" s="282"/>
      <c r="I378" s="443"/>
      <c r="J378" s="443"/>
      <c r="K378" s="203"/>
      <c r="L378" s="286"/>
      <c r="M378" s="262"/>
      <c r="N378" s="262"/>
      <c r="O378" s="262"/>
      <c r="P378" s="262"/>
    </row>
    <row r="379" spans="1:16" x14ac:dyDescent="0.25">
      <c r="A379" s="204">
        <v>7101</v>
      </c>
      <c r="B379" s="205" t="s">
        <v>136</v>
      </c>
      <c r="C379" s="268">
        <v>0</v>
      </c>
      <c r="D379" s="209">
        <v>0</v>
      </c>
      <c r="E379" s="275">
        <v>0</v>
      </c>
      <c r="F379" s="275">
        <v>0</v>
      </c>
      <c r="G379" s="275">
        <v>0</v>
      </c>
      <c r="H379" s="275">
        <v>0</v>
      </c>
      <c r="I379" s="440">
        <v>0</v>
      </c>
      <c r="J379" s="440">
        <v>0</v>
      </c>
      <c r="K379" s="209">
        <f t="shared" ref="K379:K442" si="20">C379+E379-G379-I379</f>
        <v>0</v>
      </c>
      <c r="L379" s="287">
        <f t="shared" ref="L379:L442" si="21">D379+F379-H379-J379</f>
        <v>0</v>
      </c>
      <c r="M379" s="262"/>
      <c r="N379" s="262"/>
      <c r="O379" s="262"/>
      <c r="P379" s="262"/>
    </row>
    <row r="380" spans="1:16" x14ac:dyDescent="0.25">
      <c r="A380" s="210">
        <v>7102</v>
      </c>
      <c r="B380" s="211" t="s">
        <v>219</v>
      </c>
      <c r="C380" s="266">
        <v>0</v>
      </c>
      <c r="D380" s="120">
        <v>0</v>
      </c>
      <c r="E380" s="276">
        <v>0</v>
      </c>
      <c r="F380" s="276">
        <v>0</v>
      </c>
      <c r="G380" s="276">
        <v>0</v>
      </c>
      <c r="H380" s="276">
        <v>0</v>
      </c>
      <c r="I380" s="441">
        <v>0</v>
      </c>
      <c r="J380" s="441">
        <v>0</v>
      </c>
      <c r="K380" s="120">
        <f t="shared" si="20"/>
        <v>0</v>
      </c>
      <c r="L380" s="288">
        <f t="shared" si="21"/>
        <v>0</v>
      </c>
      <c r="M380" s="262"/>
      <c r="N380" s="262"/>
      <c r="O380" s="262"/>
      <c r="P380" s="262"/>
    </row>
    <row r="381" spans="1:16" x14ac:dyDescent="0.25">
      <c r="A381" s="210">
        <v>7103</v>
      </c>
      <c r="B381" s="211" t="s">
        <v>132</v>
      </c>
      <c r="C381" s="266">
        <v>0</v>
      </c>
      <c r="D381" s="120">
        <v>0</v>
      </c>
      <c r="E381" s="276">
        <v>0</v>
      </c>
      <c r="F381" s="276">
        <v>0</v>
      </c>
      <c r="G381" s="276">
        <v>0</v>
      </c>
      <c r="H381" s="276">
        <v>0</v>
      </c>
      <c r="I381" s="441">
        <v>0</v>
      </c>
      <c r="J381" s="441">
        <v>0</v>
      </c>
      <c r="K381" s="120">
        <f t="shared" si="20"/>
        <v>0</v>
      </c>
      <c r="L381" s="288">
        <f t="shared" si="21"/>
        <v>0</v>
      </c>
      <c r="M381" s="262"/>
      <c r="N381" s="262"/>
      <c r="O381" s="262"/>
      <c r="P381" s="262"/>
    </row>
    <row r="382" spans="1:16" x14ac:dyDescent="0.25">
      <c r="A382" s="210">
        <v>7104</v>
      </c>
      <c r="B382" s="211" t="s">
        <v>116</v>
      </c>
      <c r="C382" s="266">
        <v>0</v>
      </c>
      <c r="D382" s="120">
        <v>0</v>
      </c>
      <c r="E382" s="276">
        <v>0</v>
      </c>
      <c r="F382" s="276">
        <v>0</v>
      </c>
      <c r="G382" s="276">
        <v>0</v>
      </c>
      <c r="H382" s="276">
        <v>0</v>
      </c>
      <c r="I382" s="441">
        <v>0</v>
      </c>
      <c r="J382" s="441">
        <v>0</v>
      </c>
      <c r="K382" s="120">
        <f t="shared" si="20"/>
        <v>0</v>
      </c>
      <c r="L382" s="288">
        <f t="shared" si="21"/>
        <v>0</v>
      </c>
      <c r="M382" s="262"/>
      <c r="N382" s="262"/>
      <c r="O382" s="262"/>
      <c r="P382" s="262"/>
    </row>
    <row r="383" spans="1:16" x14ac:dyDescent="0.25">
      <c r="A383" s="210">
        <v>7105</v>
      </c>
      <c r="B383" s="211" t="s">
        <v>220</v>
      </c>
      <c r="C383" s="266">
        <v>0</v>
      </c>
      <c r="D383" s="120">
        <v>0</v>
      </c>
      <c r="E383" s="276">
        <v>0</v>
      </c>
      <c r="F383" s="276">
        <v>0</v>
      </c>
      <c r="G383" s="276">
        <v>0</v>
      </c>
      <c r="H383" s="276">
        <v>0</v>
      </c>
      <c r="I383" s="441">
        <v>0</v>
      </c>
      <c r="J383" s="441">
        <v>0</v>
      </c>
      <c r="K383" s="120">
        <f t="shared" si="20"/>
        <v>0</v>
      </c>
      <c r="L383" s="288">
        <f t="shared" si="21"/>
        <v>0</v>
      </c>
      <c r="M383" s="262"/>
      <c r="N383" s="262"/>
      <c r="O383" s="262"/>
      <c r="P383" s="262"/>
    </row>
    <row r="384" spans="1:16" x14ac:dyDescent="0.25">
      <c r="A384" s="210">
        <v>7106</v>
      </c>
      <c r="B384" s="211" t="s">
        <v>114</v>
      </c>
      <c r="C384" s="266">
        <v>0</v>
      </c>
      <c r="D384" s="120">
        <v>0</v>
      </c>
      <c r="E384" s="276">
        <v>0</v>
      </c>
      <c r="F384" s="276">
        <v>0</v>
      </c>
      <c r="G384" s="276">
        <v>0</v>
      </c>
      <c r="H384" s="276">
        <v>0</v>
      </c>
      <c r="I384" s="441">
        <v>0</v>
      </c>
      <c r="J384" s="441">
        <v>0</v>
      </c>
      <c r="K384" s="120">
        <f t="shared" si="20"/>
        <v>0</v>
      </c>
      <c r="L384" s="288">
        <f t="shared" si="21"/>
        <v>0</v>
      </c>
      <c r="M384" s="262"/>
      <c r="N384" s="262"/>
      <c r="O384" s="262"/>
      <c r="P384" s="262"/>
    </row>
    <row r="385" spans="1:16" x14ac:dyDescent="0.25">
      <c r="A385" s="210">
        <v>7107</v>
      </c>
      <c r="B385" s="211" t="s">
        <v>221</v>
      </c>
      <c r="C385" s="266">
        <v>0</v>
      </c>
      <c r="D385" s="120">
        <v>0</v>
      </c>
      <c r="E385" s="276">
        <v>0</v>
      </c>
      <c r="F385" s="276">
        <v>0</v>
      </c>
      <c r="G385" s="276">
        <v>0</v>
      </c>
      <c r="H385" s="276">
        <v>0</v>
      </c>
      <c r="I385" s="441">
        <v>0</v>
      </c>
      <c r="J385" s="441">
        <v>0</v>
      </c>
      <c r="K385" s="120">
        <f t="shared" si="20"/>
        <v>0</v>
      </c>
      <c r="L385" s="288">
        <f t="shared" si="21"/>
        <v>0</v>
      </c>
      <c r="M385" s="262"/>
      <c r="N385" s="262"/>
      <c r="O385" s="262"/>
      <c r="P385" s="262"/>
    </row>
    <row r="386" spans="1:16" x14ac:dyDescent="0.25">
      <c r="A386" s="210">
        <v>7108</v>
      </c>
      <c r="B386" s="211" t="s">
        <v>222</v>
      </c>
      <c r="C386" s="266">
        <v>0</v>
      </c>
      <c r="D386" s="120">
        <v>0</v>
      </c>
      <c r="E386" s="276">
        <v>0</v>
      </c>
      <c r="F386" s="276">
        <v>0</v>
      </c>
      <c r="G386" s="276">
        <v>0</v>
      </c>
      <c r="H386" s="276">
        <v>0</v>
      </c>
      <c r="I386" s="441">
        <v>0</v>
      </c>
      <c r="J386" s="441">
        <v>0</v>
      </c>
      <c r="K386" s="120">
        <f t="shared" si="20"/>
        <v>0</v>
      </c>
      <c r="L386" s="288">
        <f t="shared" si="21"/>
        <v>0</v>
      </c>
      <c r="M386" s="262"/>
      <c r="N386" s="262"/>
      <c r="O386" s="262"/>
      <c r="P386" s="262"/>
    </row>
    <row r="387" spans="1:16" x14ac:dyDescent="0.25">
      <c r="A387" s="210">
        <v>7109</v>
      </c>
      <c r="B387" s="211" t="s">
        <v>223</v>
      </c>
      <c r="C387" s="266">
        <v>0</v>
      </c>
      <c r="D387" s="120">
        <v>0</v>
      </c>
      <c r="E387" s="276">
        <v>0</v>
      </c>
      <c r="F387" s="276">
        <v>0</v>
      </c>
      <c r="G387" s="276">
        <v>0</v>
      </c>
      <c r="H387" s="276">
        <v>0</v>
      </c>
      <c r="I387" s="441">
        <v>0</v>
      </c>
      <c r="J387" s="441">
        <v>0</v>
      </c>
      <c r="K387" s="120">
        <f t="shared" si="20"/>
        <v>0</v>
      </c>
      <c r="L387" s="288">
        <f t="shared" si="21"/>
        <v>0</v>
      </c>
      <c r="M387" s="262"/>
      <c r="N387" s="262"/>
      <c r="O387" s="262"/>
      <c r="P387" s="262"/>
    </row>
    <row r="388" spans="1:16" ht="30" x14ac:dyDescent="0.25">
      <c r="A388" s="210">
        <v>7199</v>
      </c>
      <c r="B388" s="211" t="s">
        <v>224</v>
      </c>
      <c r="C388" s="266">
        <v>0</v>
      </c>
      <c r="D388" s="120">
        <v>0</v>
      </c>
      <c r="E388" s="276">
        <v>0</v>
      </c>
      <c r="F388" s="276">
        <v>0</v>
      </c>
      <c r="G388" s="276">
        <v>0</v>
      </c>
      <c r="H388" s="276">
        <v>0</v>
      </c>
      <c r="I388" s="441">
        <v>0</v>
      </c>
      <c r="J388" s="441">
        <v>0</v>
      </c>
      <c r="K388" s="120">
        <f t="shared" si="20"/>
        <v>0</v>
      </c>
      <c r="L388" s="288">
        <f t="shared" si="21"/>
        <v>0</v>
      </c>
      <c r="M388" s="262"/>
      <c r="N388" s="262"/>
      <c r="O388" s="262"/>
      <c r="P388" s="262"/>
    </row>
    <row r="389" spans="1:16" x14ac:dyDescent="0.25">
      <c r="A389" s="210">
        <v>7201</v>
      </c>
      <c r="B389" s="211" t="s">
        <v>632</v>
      </c>
      <c r="C389" s="266">
        <v>0</v>
      </c>
      <c r="D389" s="120">
        <v>0</v>
      </c>
      <c r="E389" s="276">
        <v>0</v>
      </c>
      <c r="F389" s="276">
        <v>0</v>
      </c>
      <c r="G389" s="276">
        <v>0</v>
      </c>
      <c r="H389" s="276">
        <v>0</v>
      </c>
      <c r="I389" s="441">
        <v>0</v>
      </c>
      <c r="J389" s="441">
        <v>0</v>
      </c>
      <c r="K389" s="120">
        <f t="shared" si="20"/>
        <v>0</v>
      </c>
      <c r="L389" s="288">
        <f t="shared" si="21"/>
        <v>0</v>
      </c>
      <c r="M389" s="262"/>
      <c r="N389" s="262"/>
      <c r="O389" s="262"/>
      <c r="P389" s="262"/>
    </row>
    <row r="390" spans="1:16" x14ac:dyDescent="0.25">
      <c r="A390" s="210">
        <v>7202</v>
      </c>
      <c r="B390" s="211" t="s">
        <v>63</v>
      </c>
      <c r="C390" s="266">
        <v>0</v>
      </c>
      <c r="D390" s="120">
        <v>0</v>
      </c>
      <c r="E390" s="276">
        <v>0</v>
      </c>
      <c r="F390" s="276">
        <v>0</v>
      </c>
      <c r="G390" s="276">
        <v>0</v>
      </c>
      <c r="H390" s="276">
        <v>0</v>
      </c>
      <c r="I390" s="441">
        <v>0</v>
      </c>
      <c r="J390" s="441">
        <v>0</v>
      </c>
      <c r="K390" s="120">
        <f t="shared" si="20"/>
        <v>0</v>
      </c>
      <c r="L390" s="288">
        <f t="shared" si="21"/>
        <v>0</v>
      </c>
      <c r="M390" s="262"/>
      <c r="N390" s="262"/>
      <c r="O390" s="262"/>
      <c r="P390" s="262"/>
    </row>
    <row r="391" spans="1:16" x14ac:dyDescent="0.25">
      <c r="A391" s="210">
        <v>7203</v>
      </c>
      <c r="B391" s="211" t="s">
        <v>119</v>
      </c>
      <c r="C391" s="266">
        <v>0</v>
      </c>
      <c r="D391" s="120">
        <v>0</v>
      </c>
      <c r="E391" s="276">
        <v>0</v>
      </c>
      <c r="F391" s="276">
        <v>0</v>
      </c>
      <c r="G391" s="276">
        <v>0</v>
      </c>
      <c r="H391" s="276">
        <v>0</v>
      </c>
      <c r="I391" s="441">
        <v>0</v>
      </c>
      <c r="J391" s="441">
        <v>0</v>
      </c>
      <c r="K391" s="120">
        <f t="shared" si="20"/>
        <v>0</v>
      </c>
      <c r="L391" s="288">
        <f t="shared" si="21"/>
        <v>0</v>
      </c>
      <c r="M391" s="262"/>
      <c r="N391" s="262"/>
      <c r="O391" s="262"/>
      <c r="P391" s="262"/>
    </row>
    <row r="392" spans="1:16" x14ac:dyDescent="0.25">
      <c r="A392" s="210">
        <v>7204</v>
      </c>
      <c r="B392" s="211" t="s">
        <v>145</v>
      </c>
      <c r="C392" s="266">
        <v>0</v>
      </c>
      <c r="D392" s="120">
        <v>0</v>
      </c>
      <c r="E392" s="276">
        <v>0</v>
      </c>
      <c r="F392" s="276">
        <v>0</v>
      </c>
      <c r="G392" s="276">
        <v>0</v>
      </c>
      <c r="H392" s="276">
        <v>0</v>
      </c>
      <c r="I392" s="441">
        <v>0</v>
      </c>
      <c r="J392" s="441">
        <v>0</v>
      </c>
      <c r="K392" s="120">
        <f t="shared" si="20"/>
        <v>0</v>
      </c>
      <c r="L392" s="288">
        <f t="shared" si="21"/>
        <v>0</v>
      </c>
      <c r="M392" s="262"/>
      <c r="N392" s="262"/>
      <c r="O392" s="262"/>
      <c r="P392" s="262"/>
    </row>
    <row r="393" spans="1:16" x14ac:dyDescent="0.25">
      <c r="A393" s="210">
        <v>7205</v>
      </c>
      <c r="B393" s="211" t="s">
        <v>120</v>
      </c>
      <c r="C393" s="266">
        <v>0</v>
      </c>
      <c r="D393" s="120">
        <v>0</v>
      </c>
      <c r="E393" s="276">
        <v>0</v>
      </c>
      <c r="F393" s="276">
        <v>0</v>
      </c>
      <c r="G393" s="276">
        <v>0</v>
      </c>
      <c r="H393" s="276">
        <v>0</v>
      </c>
      <c r="I393" s="441">
        <v>0</v>
      </c>
      <c r="J393" s="441">
        <v>0</v>
      </c>
      <c r="K393" s="120">
        <f t="shared" si="20"/>
        <v>0</v>
      </c>
      <c r="L393" s="288">
        <f t="shared" si="21"/>
        <v>0</v>
      </c>
      <c r="M393" s="262"/>
      <c r="N393" s="262"/>
      <c r="O393" s="262"/>
      <c r="P393" s="262"/>
    </row>
    <row r="394" spans="1:16" x14ac:dyDescent="0.25">
      <c r="A394" s="210">
        <v>7206</v>
      </c>
      <c r="B394" s="211" t="s">
        <v>55</v>
      </c>
      <c r="C394" s="266">
        <v>0</v>
      </c>
      <c r="D394" s="120">
        <v>0</v>
      </c>
      <c r="E394" s="276">
        <v>0</v>
      </c>
      <c r="F394" s="276">
        <v>0</v>
      </c>
      <c r="G394" s="276">
        <v>0</v>
      </c>
      <c r="H394" s="276">
        <v>0</v>
      </c>
      <c r="I394" s="441">
        <v>0</v>
      </c>
      <c r="J394" s="441">
        <v>0</v>
      </c>
      <c r="K394" s="120">
        <f t="shared" si="20"/>
        <v>0</v>
      </c>
      <c r="L394" s="288">
        <f t="shared" si="21"/>
        <v>0</v>
      </c>
      <c r="M394" s="262"/>
      <c r="N394" s="262"/>
      <c r="O394" s="262"/>
      <c r="P394" s="262"/>
    </row>
    <row r="395" spans="1:16" x14ac:dyDescent="0.25">
      <c r="A395" s="210">
        <v>7207</v>
      </c>
      <c r="B395" s="211" t="s">
        <v>65</v>
      </c>
      <c r="C395" s="266">
        <v>0</v>
      </c>
      <c r="D395" s="120">
        <v>0</v>
      </c>
      <c r="E395" s="276">
        <v>0</v>
      </c>
      <c r="F395" s="276">
        <v>0</v>
      </c>
      <c r="G395" s="276">
        <v>0</v>
      </c>
      <c r="H395" s="276">
        <v>0</v>
      </c>
      <c r="I395" s="441">
        <v>0</v>
      </c>
      <c r="J395" s="441">
        <v>0</v>
      </c>
      <c r="K395" s="120">
        <f t="shared" si="20"/>
        <v>0</v>
      </c>
      <c r="L395" s="288">
        <f t="shared" si="21"/>
        <v>0</v>
      </c>
      <c r="M395" s="262"/>
      <c r="N395" s="262"/>
      <c r="O395" s="262"/>
      <c r="P395" s="262"/>
    </row>
    <row r="396" spans="1:16" x14ac:dyDescent="0.25">
      <c r="A396" s="210">
        <v>7208</v>
      </c>
      <c r="B396" s="211" t="s">
        <v>146</v>
      </c>
      <c r="C396" s="266">
        <v>0</v>
      </c>
      <c r="D396" s="120">
        <v>0</v>
      </c>
      <c r="E396" s="276">
        <v>0</v>
      </c>
      <c r="F396" s="276">
        <v>0</v>
      </c>
      <c r="G396" s="276">
        <v>0</v>
      </c>
      <c r="H396" s="276">
        <v>0</v>
      </c>
      <c r="I396" s="441">
        <v>0</v>
      </c>
      <c r="J396" s="441">
        <v>0</v>
      </c>
      <c r="K396" s="120">
        <f t="shared" si="20"/>
        <v>0</v>
      </c>
      <c r="L396" s="288">
        <f t="shared" si="21"/>
        <v>0</v>
      </c>
      <c r="M396" s="262"/>
      <c r="N396" s="262"/>
      <c r="O396" s="262"/>
      <c r="P396" s="262"/>
    </row>
    <row r="397" spans="1:16" x14ac:dyDescent="0.25">
      <c r="A397" s="210">
        <v>7209</v>
      </c>
      <c r="B397" s="211" t="s">
        <v>147</v>
      </c>
      <c r="C397" s="266">
        <v>0</v>
      </c>
      <c r="D397" s="120">
        <v>0</v>
      </c>
      <c r="E397" s="276">
        <v>0</v>
      </c>
      <c r="F397" s="276">
        <v>0</v>
      </c>
      <c r="G397" s="276">
        <v>0</v>
      </c>
      <c r="H397" s="276">
        <v>0</v>
      </c>
      <c r="I397" s="441">
        <v>0</v>
      </c>
      <c r="J397" s="441">
        <v>0</v>
      </c>
      <c r="K397" s="120">
        <f t="shared" si="20"/>
        <v>0</v>
      </c>
      <c r="L397" s="288">
        <f t="shared" si="21"/>
        <v>0</v>
      </c>
      <c r="M397" s="262"/>
      <c r="N397" s="262"/>
      <c r="O397" s="262"/>
      <c r="P397" s="262"/>
    </row>
    <row r="398" spans="1:16" x14ac:dyDescent="0.25">
      <c r="A398" s="210">
        <v>7210</v>
      </c>
      <c r="B398" s="211" t="s">
        <v>148</v>
      </c>
      <c r="C398" s="266">
        <v>0</v>
      </c>
      <c r="D398" s="120">
        <v>0</v>
      </c>
      <c r="E398" s="276">
        <v>0</v>
      </c>
      <c r="F398" s="276">
        <v>0</v>
      </c>
      <c r="G398" s="276">
        <v>0</v>
      </c>
      <c r="H398" s="276">
        <v>0</v>
      </c>
      <c r="I398" s="441">
        <v>0</v>
      </c>
      <c r="J398" s="441">
        <v>0</v>
      </c>
      <c r="K398" s="120">
        <f t="shared" si="20"/>
        <v>0</v>
      </c>
      <c r="L398" s="288">
        <f t="shared" si="21"/>
        <v>0</v>
      </c>
      <c r="M398" s="262"/>
      <c r="N398" s="262"/>
      <c r="O398" s="262"/>
      <c r="P398" s="262"/>
    </row>
    <row r="399" spans="1:16" x14ac:dyDescent="0.25">
      <c r="A399" s="210">
        <v>7211</v>
      </c>
      <c r="B399" s="211" t="s">
        <v>149</v>
      </c>
      <c r="C399" s="266">
        <v>0</v>
      </c>
      <c r="D399" s="120">
        <v>0</v>
      </c>
      <c r="E399" s="276">
        <v>0</v>
      </c>
      <c r="F399" s="276">
        <v>0</v>
      </c>
      <c r="G399" s="276">
        <v>0</v>
      </c>
      <c r="H399" s="276">
        <v>0</v>
      </c>
      <c r="I399" s="441">
        <v>0</v>
      </c>
      <c r="J399" s="441">
        <v>0</v>
      </c>
      <c r="K399" s="120">
        <f t="shared" si="20"/>
        <v>0</v>
      </c>
      <c r="L399" s="288">
        <f t="shared" si="21"/>
        <v>0</v>
      </c>
      <c r="M399" s="262"/>
      <c r="N399" s="262"/>
      <c r="O399" s="262"/>
      <c r="P399" s="262"/>
    </row>
    <row r="400" spans="1:16" x14ac:dyDescent="0.25">
      <c r="A400" s="210">
        <v>7212</v>
      </c>
      <c r="B400" s="211" t="s">
        <v>150</v>
      </c>
      <c r="C400" s="266">
        <v>0</v>
      </c>
      <c r="D400" s="120">
        <v>0</v>
      </c>
      <c r="E400" s="276">
        <v>0</v>
      </c>
      <c r="F400" s="276">
        <v>0</v>
      </c>
      <c r="G400" s="276">
        <v>0</v>
      </c>
      <c r="H400" s="276">
        <v>0</v>
      </c>
      <c r="I400" s="441">
        <v>0</v>
      </c>
      <c r="J400" s="441">
        <v>0</v>
      </c>
      <c r="K400" s="120">
        <f t="shared" si="20"/>
        <v>0</v>
      </c>
      <c r="L400" s="288">
        <f t="shared" si="21"/>
        <v>0</v>
      </c>
      <c r="M400" s="262"/>
      <c r="N400" s="262"/>
      <c r="O400" s="262"/>
      <c r="P400" s="262"/>
    </row>
    <row r="401" spans="1:16" x14ac:dyDescent="0.25">
      <c r="A401" s="210">
        <v>7213</v>
      </c>
      <c r="B401" s="211" t="s">
        <v>151</v>
      </c>
      <c r="C401" s="266">
        <v>0</v>
      </c>
      <c r="D401" s="120">
        <v>0</v>
      </c>
      <c r="E401" s="276">
        <v>0</v>
      </c>
      <c r="F401" s="276">
        <v>0</v>
      </c>
      <c r="G401" s="276">
        <v>0</v>
      </c>
      <c r="H401" s="276">
        <v>0</v>
      </c>
      <c r="I401" s="441">
        <v>0</v>
      </c>
      <c r="J401" s="441">
        <v>0</v>
      </c>
      <c r="K401" s="120">
        <f t="shared" si="20"/>
        <v>0</v>
      </c>
      <c r="L401" s="288">
        <f t="shared" si="21"/>
        <v>0</v>
      </c>
      <c r="M401" s="262"/>
      <c r="N401" s="262"/>
      <c r="O401" s="262"/>
      <c r="P401" s="262"/>
    </row>
    <row r="402" spans="1:16" x14ac:dyDescent="0.25">
      <c r="A402" s="210">
        <v>7214</v>
      </c>
      <c r="B402" s="211" t="s">
        <v>59</v>
      </c>
      <c r="C402" s="266">
        <v>0</v>
      </c>
      <c r="D402" s="120">
        <v>0</v>
      </c>
      <c r="E402" s="276">
        <v>0</v>
      </c>
      <c r="F402" s="276">
        <v>0</v>
      </c>
      <c r="G402" s="276">
        <v>0</v>
      </c>
      <c r="H402" s="276">
        <v>0</v>
      </c>
      <c r="I402" s="441">
        <v>0</v>
      </c>
      <c r="J402" s="441">
        <v>0</v>
      </c>
      <c r="K402" s="120">
        <f t="shared" si="20"/>
        <v>0</v>
      </c>
      <c r="L402" s="288">
        <f t="shared" si="21"/>
        <v>0</v>
      </c>
      <c r="M402" s="262"/>
      <c r="N402" s="262"/>
      <c r="O402" s="262"/>
      <c r="P402" s="262"/>
    </row>
    <row r="403" spans="1:16" x14ac:dyDescent="0.25">
      <c r="A403" s="210">
        <v>7215</v>
      </c>
      <c r="B403" s="211" t="s">
        <v>60</v>
      </c>
      <c r="C403" s="266">
        <v>0</v>
      </c>
      <c r="D403" s="120">
        <v>0</v>
      </c>
      <c r="E403" s="276">
        <v>0</v>
      </c>
      <c r="F403" s="276">
        <v>0</v>
      </c>
      <c r="G403" s="276">
        <v>0</v>
      </c>
      <c r="H403" s="276">
        <v>0</v>
      </c>
      <c r="I403" s="441">
        <v>0</v>
      </c>
      <c r="J403" s="441">
        <v>0</v>
      </c>
      <c r="K403" s="120">
        <f t="shared" si="20"/>
        <v>0</v>
      </c>
      <c r="L403" s="288">
        <f t="shared" si="21"/>
        <v>0</v>
      </c>
      <c r="M403" s="262"/>
      <c r="N403" s="262"/>
      <c r="O403" s="262"/>
      <c r="P403" s="262"/>
    </row>
    <row r="404" spans="1:16" x14ac:dyDescent="0.25">
      <c r="A404" s="210">
        <v>7216</v>
      </c>
      <c r="B404" s="211" t="s">
        <v>153</v>
      </c>
      <c r="C404" s="266">
        <v>0</v>
      </c>
      <c r="D404" s="120">
        <v>0</v>
      </c>
      <c r="E404" s="276">
        <v>0</v>
      </c>
      <c r="F404" s="276">
        <v>0</v>
      </c>
      <c r="G404" s="276">
        <v>0</v>
      </c>
      <c r="H404" s="276">
        <v>0</v>
      </c>
      <c r="I404" s="441">
        <v>0</v>
      </c>
      <c r="J404" s="441">
        <v>0</v>
      </c>
      <c r="K404" s="120">
        <f t="shared" si="20"/>
        <v>0</v>
      </c>
      <c r="L404" s="288">
        <f t="shared" si="21"/>
        <v>0</v>
      </c>
      <c r="M404" s="262"/>
      <c r="N404" s="262"/>
      <c r="O404" s="262"/>
      <c r="P404" s="262"/>
    </row>
    <row r="405" spans="1:16" x14ac:dyDescent="0.25">
      <c r="A405" s="210">
        <v>7217</v>
      </c>
      <c r="B405" s="211" t="s">
        <v>154</v>
      </c>
      <c r="C405" s="266">
        <v>0</v>
      </c>
      <c r="D405" s="120">
        <v>0</v>
      </c>
      <c r="E405" s="276">
        <v>0</v>
      </c>
      <c r="F405" s="276">
        <v>0</v>
      </c>
      <c r="G405" s="276">
        <v>0</v>
      </c>
      <c r="H405" s="276">
        <v>0</v>
      </c>
      <c r="I405" s="441">
        <v>0</v>
      </c>
      <c r="J405" s="441">
        <v>0</v>
      </c>
      <c r="K405" s="120">
        <f t="shared" si="20"/>
        <v>0</v>
      </c>
      <c r="L405" s="288">
        <f t="shared" si="21"/>
        <v>0</v>
      </c>
      <c r="M405" s="262"/>
      <c r="N405" s="262"/>
      <c r="O405" s="262"/>
      <c r="P405" s="262"/>
    </row>
    <row r="406" spans="1:16" x14ac:dyDescent="0.25">
      <c r="A406" s="210">
        <v>7299</v>
      </c>
      <c r="B406" s="211" t="s">
        <v>155</v>
      </c>
      <c r="C406" s="266">
        <v>0</v>
      </c>
      <c r="D406" s="120">
        <v>0</v>
      </c>
      <c r="E406" s="276">
        <v>0</v>
      </c>
      <c r="F406" s="276">
        <v>0</v>
      </c>
      <c r="G406" s="276">
        <v>0</v>
      </c>
      <c r="H406" s="276">
        <v>0</v>
      </c>
      <c r="I406" s="441">
        <v>0</v>
      </c>
      <c r="J406" s="441">
        <v>0</v>
      </c>
      <c r="K406" s="120">
        <f t="shared" si="20"/>
        <v>0</v>
      </c>
      <c r="L406" s="288">
        <f t="shared" si="21"/>
        <v>0</v>
      </c>
      <c r="M406" s="262"/>
      <c r="N406" s="262"/>
      <c r="O406" s="262"/>
      <c r="P406" s="262"/>
    </row>
    <row r="407" spans="1:16" x14ac:dyDescent="0.25">
      <c r="A407" s="210">
        <v>7301</v>
      </c>
      <c r="B407" s="211" t="s">
        <v>156</v>
      </c>
      <c r="C407" s="266">
        <v>0</v>
      </c>
      <c r="D407" s="120">
        <v>0</v>
      </c>
      <c r="E407" s="276">
        <v>0</v>
      </c>
      <c r="F407" s="276">
        <v>0</v>
      </c>
      <c r="G407" s="276">
        <v>0</v>
      </c>
      <c r="H407" s="276">
        <v>0</v>
      </c>
      <c r="I407" s="441">
        <v>0</v>
      </c>
      <c r="J407" s="441">
        <v>0</v>
      </c>
      <c r="K407" s="120">
        <f t="shared" si="20"/>
        <v>0</v>
      </c>
      <c r="L407" s="288">
        <f t="shared" si="21"/>
        <v>0</v>
      </c>
      <c r="M407" s="262"/>
      <c r="N407" s="262"/>
      <c r="O407" s="262"/>
      <c r="P407" s="262"/>
    </row>
    <row r="408" spans="1:16" x14ac:dyDescent="0.25">
      <c r="A408" s="210">
        <v>7302</v>
      </c>
      <c r="B408" s="211" t="s">
        <v>157</v>
      </c>
      <c r="C408" s="266">
        <v>0</v>
      </c>
      <c r="D408" s="120">
        <v>0</v>
      </c>
      <c r="E408" s="276">
        <v>0</v>
      </c>
      <c r="F408" s="276">
        <v>0</v>
      </c>
      <c r="G408" s="276">
        <v>0</v>
      </c>
      <c r="H408" s="276">
        <v>0</v>
      </c>
      <c r="I408" s="441">
        <v>0</v>
      </c>
      <c r="J408" s="441">
        <v>0</v>
      </c>
      <c r="K408" s="120">
        <f t="shared" si="20"/>
        <v>0</v>
      </c>
      <c r="L408" s="288">
        <f t="shared" si="21"/>
        <v>0</v>
      </c>
      <c r="M408" s="262"/>
      <c r="N408" s="262"/>
      <c r="O408" s="262"/>
      <c r="P408" s="262"/>
    </row>
    <row r="409" spans="1:16" x14ac:dyDescent="0.25">
      <c r="A409" s="210">
        <v>7303</v>
      </c>
      <c r="B409" s="211" t="s">
        <v>158</v>
      </c>
      <c r="C409" s="266">
        <v>0</v>
      </c>
      <c r="D409" s="120">
        <v>0</v>
      </c>
      <c r="E409" s="276">
        <v>0</v>
      </c>
      <c r="F409" s="276">
        <v>0</v>
      </c>
      <c r="G409" s="276">
        <v>0</v>
      </c>
      <c r="H409" s="276">
        <v>0</v>
      </c>
      <c r="I409" s="441">
        <v>0</v>
      </c>
      <c r="J409" s="441">
        <v>0</v>
      </c>
      <c r="K409" s="120">
        <f t="shared" si="20"/>
        <v>0</v>
      </c>
      <c r="L409" s="288">
        <f t="shared" si="21"/>
        <v>0</v>
      </c>
      <c r="M409" s="262"/>
      <c r="N409" s="262"/>
      <c r="O409" s="262"/>
      <c r="P409" s="262"/>
    </row>
    <row r="410" spans="1:16" x14ac:dyDescent="0.25">
      <c r="A410" s="210">
        <v>7304</v>
      </c>
      <c r="B410" s="211" t="s">
        <v>159</v>
      </c>
      <c r="C410" s="266">
        <v>0</v>
      </c>
      <c r="D410" s="120">
        <v>0</v>
      </c>
      <c r="E410" s="276">
        <v>0</v>
      </c>
      <c r="F410" s="276">
        <v>0</v>
      </c>
      <c r="G410" s="276">
        <v>0</v>
      </c>
      <c r="H410" s="276">
        <v>0</v>
      </c>
      <c r="I410" s="441">
        <v>0</v>
      </c>
      <c r="J410" s="441">
        <v>0</v>
      </c>
      <c r="K410" s="120">
        <f t="shared" si="20"/>
        <v>0</v>
      </c>
      <c r="L410" s="288">
        <f t="shared" si="21"/>
        <v>0</v>
      </c>
      <c r="M410" s="262"/>
      <c r="N410" s="262"/>
      <c r="O410" s="262"/>
      <c r="P410" s="262"/>
    </row>
    <row r="411" spans="1:16" x14ac:dyDescent="0.25">
      <c r="A411" s="210">
        <v>7305</v>
      </c>
      <c r="B411" s="211" t="s">
        <v>160</v>
      </c>
      <c r="C411" s="266">
        <v>0</v>
      </c>
      <c r="D411" s="120">
        <v>0</v>
      </c>
      <c r="E411" s="276">
        <v>0</v>
      </c>
      <c r="F411" s="276">
        <v>0</v>
      </c>
      <c r="G411" s="276">
        <v>0</v>
      </c>
      <c r="H411" s="276">
        <v>0</v>
      </c>
      <c r="I411" s="441">
        <v>0</v>
      </c>
      <c r="J411" s="441">
        <v>0</v>
      </c>
      <c r="K411" s="120">
        <f t="shared" si="20"/>
        <v>0</v>
      </c>
      <c r="L411" s="288">
        <f t="shared" si="21"/>
        <v>0</v>
      </c>
      <c r="M411" s="262"/>
      <c r="N411" s="262"/>
      <c r="O411" s="262"/>
      <c r="P411" s="262"/>
    </row>
    <row r="412" spans="1:16" x14ac:dyDescent="0.25">
      <c r="A412" s="210">
        <v>7306</v>
      </c>
      <c r="B412" s="211" t="s">
        <v>161</v>
      </c>
      <c r="C412" s="266">
        <v>0</v>
      </c>
      <c r="D412" s="120">
        <v>0</v>
      </c>
      <c r="E412" s="276">
        <v>0</v>
      </c>
      <c r="F412" s="276">
        <v>0</v>
      </c>
      <c r="G412" s="276">
        <v>0</v>
      </c>
      <c r="H412" s="276">
        <v>0</v>
      </c>
      <c r="I412" s="441">
        <v>0</v>
      </c>
      <c r="J412" s="441">
        <v>0</v>
      </c>
      <c r="K412" s="120">
        <f t="shared" si="20"/>
        <v>0</v>
      </c>
      <c r="L412" s="288">
        <f t="shared" si="21"/>
        <v>0</v>
      </c>
      <c r="M412" s="262"/>
      <c r="N412" s="262"/>
      <c r="O412" s="262"/>
      <c r="P412" s="262"/>
    </row>
    <row r="413" spans="1:16" x14ac:dyDescent="0.25">
      <c r="A413" s="210">
        <v>7307</v>
      </c>
      <c r="B413" s="211" t="s">
        <v>162</v>
      </c>
      <c r="C413" s="266">
        <v>0</v>
      </c>
      <c r="D413" s="120">
        <v>0</v>
      </c>
      <c r="E413" s="276">
        <v>0</v>
      </c>
      <c r="F413" s="276">
        <v>0</v>
      </c>
      <c r="G413" s="276">
        <v>0</v>
      </c>
      <c r="H413" s="276">
        <v>0</v>
      </c>
      <c r="I413" s="441">
        <v>0</v>
      </c>
      <c r="J413" s="441">
        <v>0</v>
      </c>
      <c r="K413" s="120">
        <f t="shared" si="20"/>
        <v>0</v>
      </c>
      <c r="L413" s="288">
        <f t="shared" si="21"/>
        <v>0</v>
      </c>
      <c r="M413" s="262"/>
      <c r="N413" s="262"/>
      <c r="O413" s="262"/>
      <c r="P413" s="262"/>
    </row>
    <row r="414" spans="1:16" x14ac:dyDescent="0.25">
      <c r="A414" s="210">
        <v>7308</v>
      </c>
      <c r="B414" s="211" t="s">
        <v>225</v>
      </c>
      <c r="C414" s="266">
        <v>0</v>
      </c>
      <c r="D414" s="120">
        <v>0</v>
      </c>
      <c r="E414" s="276">
        <v>0</v>
      </c>
      <c r="F414" s="276">
        <v>0</v>
      </c>
      <c r="G414" s="276">
        <v>0</v>
      </c>
      <c r="H414" s="276">
        <v>0</v>
      </c>
      <c r="I414" s="441">
        <v>0</v>
      </c>
      <c r="J414" s="441">
        <v>0</v>
      </c>
      <c r="K414" s="120">
        <f t="shared" si="20"/>
        <v>0</v>
      </c>
      <c r="L414" s="288">
        <f t="shared" si="21"/>
        <v>0</v>
      </c>
      <c r="M414" s="262"/>
      <c r="N414" s="262"/>
      <c r="O414" s="262"/>
      <c r="P414" s="262"/>
    </row>
    <row r="415" spans="1:16" x14ac:dyDescent="0.25">
      <c r="A415" s="210">
        <v>7309</v>
      </c>
      <c r="B415" s="211" t="s">
        <v>164</v>
      </c>
      <c r="C415" s="266">
        <v>0</v>
      </c>
      <c r="D415" s="120">
        <v>0</v>
      </c>
      <c r="E415" s="276">
        <v>0</v>
      </c>
      <c r="F415" s="276">
        <v>0</v>
      </c>
      <c r="G415" s="276">
        <v>0</v>
      </c>
      <c r="H415" s="276">
        <v>0</v>
      </c>
      <c r="I415" s="441">
        <v>0</v>
      </c>
      <c r="J415" s="441">
        <v>0</v>
      </c>
      <c r="K415" s="120">
        <f t="shared" si="20"/>
        <v>0</v>
      </c>
      <c r="L415" s="288">
        <f t="shared" si="21"/>
        <v>0</v>
      </c>
      <c r="M415" s="262"/>
      <c r="N415" s="262"/>
      <c r="O415" s="262"/>
      <c r="P415" s="262"/>
    </row>
    <row r="416" spans="1:16" x14ac:dyDescent="0.25">
      <c r="A416" s="210">
        <v>7310</v>
      </c>
      <c r="B416" s="211" t="s">
        <v>86</v>
      </c>
      <c r="C416" s="266">
        <v>0</v>
      </c>
      <c r="D416" s="120">
        <v>0</v>
      </c>
      <c r="E416" s="276">
        <v>0</v>
      </c>
      <c r="F416" s="276">
        <v>0</v>
      </c>
      <c r="G416" s="276">
        <v>0</v>
      </c>
      <c r="H416" s="276">
        <v>0</v>
      </c>
      <c r="I416" s="441">
        <v>0</v>
      </c>
      <c r="J416" s="441">
        <v>0</v>
      </c>
      <c r="K416" s="120">
        <f t="shared" si="20"/>
        <v>0</v>
      </c>
      <c r="L416" s="288">
        <f t="shared" si="21"/>
        <v>0</v>
      </c>
      <c r="M416" s="262"/>
      <c r="N416" s="262"/>
      <c r="O416" s="262"/>
      <c r="P416" s="262"/>
    </row>
    <row r="417" spans="1:16" x14ac:dyDescent="0.25">
      <c r="A417" s="210">
        <v>7311</v>
      </c>
      <c r="B417" s="211" t="s">
        <v>165</v>
      </c>
      <c r="C417" s="266">
        <v>0</v>
      </c>
      <c r="D417" s="120">
        <v>0</v>
      </c>
      <c r="E417" s="276">
        <v>0</v>
      </c>
      <c r="F417" s="276">
        <v>0</v>
      </c>
      <c r="G417" s="276">
        <v>0</v>
      </c>
      <c r="H417" s="276">
        <v>0</v>
      </c>
      <c r="I417" s="441">
        <v>0</v>
      </c>
      <c r="J417" s="441">
        <v>0</v>
      </c>
      <c r="K417" s="120">
        <f t="shared" si="20"/>
        <v>0</v>
      </c>
      <c r="L417" s="288">
        <f t="shared" si="21"/>
        <v>0</v>
      </c>
      <c r="M417" s="262"/>
      <c r="N417" s="262"/>
      <c r="O417" s="262"/>
      <c r="P417" s="262"/>
    </row>
    <row r="418" spans="1:16" x14ac:dyDescent="0.25">
      <c r="A418" s="210">
        <v>7399</v>
      </c>
      <c r="B418" s="211" t="s">
        <v>166</v>
      </c>
      <c r="C418" s="266">
        <v>0</v>
      </c>
      <c r="D418" s="120">
        <v>0</v>
      </c>
      <c r="E418" s="276">
        <v>0</v>
      </c>
      <c r="F418" s="276">
        <v>0</v>
      </c>
      <c r="G418" s="276">
        <v>0</v>
      </c>
      <c r="H418" s="276">
        <v>0</v>
      </c>
      <c r="I418" s="441">
        <v>0</v>
      </c>
      <c r="J418" s="441">
        <v>0</v>
      </c>
      <c r="K418" s="120">
        <f t="shared" si="20"/>
        <v>0</v>
      </c>
      <c r="L418" s="288">
        <f t="shared" si="21"/>
        <v>0</v>
      </c>
      <c r="M418" s="262"/>
      <c r="N418" s="262"/>
      <c r="O418" s="262"/>
      <c r="P418" s="262"/>
    </row>
    <row r="419" spans="1:16" x14ac:dyDescent="0.25">
      <c r="A419" s="210">
        <v>7401</v>
      </c>
      <c r="B419" s="211" t="s">
        <v>167</v>
      </c>
      <c r="C419" s="266">
        <v>0</v>
      </c>
      <c r="D419" s="120">
        <v>0</v>
      </c>
      <c r="E419" s="276">
        <v>0</v>
      </c>
      <c r="F419" s="276">
        <v>0</v>
      </c>
      <c r="G419" s="276">
        <v>0</v>
      </c>
      <c r="H419" s="276">
        <v>0</v>
      </c>
      <c r="I419" s="441">
        <v>0</v>
      </c>
      <c r="J419" s="441">
        <v>0</v>
      </c>
      <c r="K419" s="120">
        <f t="shared" si="20"/>
        <v>0</v>
      </c>
      <c r="L419" s="288">
        <f t="shared" si="21"/>
        <v>0</v>
      </c>
      <c r="M419" s="262"/>
      <c r="N419" s="262"/>
      <c r="O419" s="262"/>
      <c r="P419" s="262"/>
    </row>
    <row r="420" spans="1:16" x14ac:dyDescent="0.25">
      <c r="A420" s="210">
        <v>7402</v>
      </c>
      <c r="B420" s="211" t="s">
        <v>168</v>
      </c>
      <c r="C420" s="266">
        <v>0</v>
      </c>
      <c r="D420" s="120">
        <v>0</v>
      </c>
      <c r="E420" s="276">
        <v>0</v>
      </c>
      <c r="F420" s="276">
        <v>0</v>
      </c>
      <c r="G420" s="276">
        <v>0</v>
      </c>
      <c r="H420" s="276">
        <v>0</v>
      </c>
      <c r="I420" s="441">
        <v>0</v>
      </c>
      <c r="J420" s="441">
        <v>0</v>
      </c>
      <c r="K420" s="120">
        <f t="shared" si="20"/>
        <v>0</v>
      </c>
      <c r="L420" s="288">
        <f t="shared" si="21"/>
        <v>0</v>
      </c>
      <c r="M420" s="262"/>
      <c r="N420" s="262"/>
      <c r="O420" s="262"/>
      <c r="P420" s="262"/>
    </row>
    <row r="421" spans="1:16" x14ac:dyDescent="0.25">
      <c r="A421" s="210">
        <v>7403</v>
      </c>
      <c r="B421" s="211" t="s">
        <v>169</v>
      </c>
      <c r="C421" s="266">
        <v>0</v>
      </c>
      <c r="D421" s="120">
        <v>0</v>
      </c>
      <c r="E421" s="276">
        <v>0</v>
      </c>
      <c r="F421" s="276">
        <v>0</v>
      </c>
      <c r="G421" s="276">
        <v>0</v>
      </c>
      <c r="H421" s="276">
        <v>0</v>
      </c>
      <c r="I421" s="441">
        <v>0</v>
      </c>
      <c r="J421" s="441">
        <v>0</v>
      </c>
      <c r="K421" s="120">
        <f t="shared" si="20"/>
        <v>0</v>
      </c>
      <c r="L421" s="288">
        <f t="shared" si="21"/>
        <v>0</v>
      </c>
      <c r="M421" s="262"/>
      <c r="N421" s="262"/>
      <c r="O421" s="262"/>
      <c r="P421" s="262"/>
    </row>
    <row r="422" spans="1:16" x14ac:dyDescent="0.25">
      <c r="A422" s="210">
        <v>7404</v>
      </c>
      <c r="B422" s="211" t="s">
        <v>175</v>
      </c>
      <c r="C422" s="266">
        <v>0</v>
      </c>
      <c r="D422" s="120">
        <v>0</v>
      </c>
      <c r="E422" s="276">
        <v>0</v>
      </c>
      <c r="F422" s="276">
        <v>0</v>
      </c>
      <c r="G422" s="276">
        <v>0</v>
      </c>
      <c r="H422" s="276">
        <v>0</v>
      </c>
      <c r="I422" s="441">
        <v>0</v>
      </c>
      <c r="J422" s="441">
        <v>0</v>
      </c>
      <c r="K422" s="120">
        <f t="shared" si="20"/>
        <v>0</v>
      </c>
      <c r="L422" s="288">
        <f t="shared" si="21"/>
        <v>0</v>
      </c>
      <c r="M422" s="262"/>
      <c r="N422" s="262"/>
      <c r="O422" s="262"/>
      <c r="P422" s="262"/>
    </row>
    <row r="423" spans="1:16" x14ac:dyDescent="0.25">
      <c r="A423" s="210">
        <v>7499</v>
      </c>
      <c r="B423" s="211" t="s">
        <v>176</v>
      </c>
      <c r="C423" s="266">
        <v>0</v>
      </c>
      <c r="D423" s="120">
        <v>0</v>
      </c>
      <c r="E423" s="276">
        <v>0</v>
      </c>
      <c r="F423" s="276">
        <v>0</v>
      </c>
      <c r="G423" s="276">
        <v>0</v>
      </c>
      <c r="H423" s="276">
        <v>0</v>
      </c>
      <c r="I423" s="441">
        <v>0</v>
      </c>
      <c r="J423" s="441">
        <v>0</v>
      </c>
      <c r="K423" s="120">
        <f t="shared" si="20"/>
        <v>0</v>
      </c>
      <c r="L423" s="288">
        <f t="shared" si="21"/>
        <v>0</v>
      </c>
      <c r="M423" s="262"/>
      <c r="N423" s="262"/>
      <c r="O423" s="262"/>
      <c r="P423" s="262"/>
    </row>
    <row r="424" spans="1:16" x14ac:dyDescent="0.25">
      <c r="A424" s="210">
        <v>7501</v>
      </c>
      <c r="B424" s="211" t="s">
        <v>112</v>
      </c>
      <c r="C424" s="266">
        <v>0</v>
      </c>
      <c r="D424" s="120">
        <v>0</v>
      </c>
      <c r="E424" s="276">
        <v>0</v>
      </c>
      <c r="F424" s="276">
        <v>0</v>
      </c>
      <c r="G424" s="276">
        <v>0</v>
      </c>
      <c r="H424" s="276">
        <v>0</v>
      </c>
      <c r="I424" s="441">
        <v>0</v>
      </c>
      <c r="J424" s="441">
        <v>0</v>
      </c>
      <c r="K424" s="120">
        <f t="shared" si="20"/>
        <v>0</v>
      </c>
      <c r="L424" s="288">
        <f t="shared" si="21"/>
        <v>0</v>
      </c>
      <c r="M424" s="262"/>
      <c r="N424" s="262"/>
      <c r="O424" s="262"/>
      <c r="P424" s="262"/>
    </row>
    <row r="425" spans="1:16" x14ac:dyDescent="0.25">
      <c r="A425" s="210">
        <v>7502</v>
      </c>
      <c r="B425" s="211" t="s">
        <v>177</v>
      </c>
      <c r="C425" s="266">
        <v>0</v>
      </c>
      <c r="D425" s="120">
        <v>0</v>
      </c>
      <c r="E425" s="276">
        <v>0</v>
      </c>
      <c r="F425" s="276">
        <v>0</v>
      </c>
      <c r="G425" s="276">
        <v>0</v>
      </c>
      <c r="H425" s="276">
        <v>0</v>
      </c>
      <c r="I425" s="441">
        <v>0</v>
      </c>
      <c r="J425" s="441">
        <v>0</v>
      </c>
      <c r="K425" s="120">
        <f t="shared" si="20"/>
        <v>0</v>
      </c>
      <c r="L425" s="288">
        <f t="shared" si="21"/>
        <v>0</v>
      </c>
      <c r="M425" s="262"/>
      <c r="N425" s="262"/>
      <c r="O425" s="262"/>
      <c r="P425" s="262"/>
    </row>
    <row r="426" spans="1:16" x14ac:dyDescent="0.25">
      <c r="A426" s="210">
        <v>7503</v>
      </c>
      <c r="B426" s="211" t="s">
        <v>104</v>
      </c>
      <c r="C426" s="266">
        <v>0</v>
      </c>
      <c r="D426" s="120">
        <v>0</v>
      </c>
      <c r="E426" s="276">
        <v>0</v>
      </c>
      <c r="F426" s="276">
        <v>0</v>
      </c>
      <c r="G426" s="276">
        <v>0</v>
      </c>
      <c r="H426" s="276">
        <v>0</v>
      </c>
      <c r="I426" s="441">
        <v>0</v>
      </c>
      <c r="J426" s="441">
        <v>0</v>
      </c>
      <c r="K426" s="120">
        <f t="shared" si="20"/>
        <v>0</v>
      </c>
      <c r="L426" s="288">
        <f t="shared" si="21"/>
        <v>0</v>
      </c>
      <c r="M426" s="262"/>
      <c r="N426" s="262"/>
      <c r="O426" s="262"/>
      <c r="P426" s="262"/>
    </row>
    <row r="427" spans="1:16" x14ac:dyDescent="0.25">
      <c r="A427" s="210">
        <v>7504</v>
      </c>
      <c r="B427" s="211" t="s">
        <v>179</v>
      </c>
      <c r="C427" s="266">
        <v>0</v>
      </c>
      <c r="D427" s="120">
        <v>0</v>
      </c>
      <c r="E427" s="276">
        <v>0</v>
      </c>
      <c r="F427" s="276">
        <v>0</v>
      </c>
      <c r="G427" s="276">
        <v>0</v>
      </c>
      <c r="H427" s="276">
        <v>0</v>
      </c>
      <c r="I427" s="441">
        <v>0</v>
      </c>
      <c r="J427" s="441">
        <v>0</v>
      </c>
      <c r="K427" s="120">
        <f t="shared" si="20"/>
        <v>0</v>
      </c>
      <c r="L427" s="288">
        <f t="shared" si="21"/>
        <v>0</v>
      </c>
      <c r="M427" s="262"/>
      <c r="N427" s="262"/>
      <c r="O427" s="262"/>
      <c r="P427" s="262"/>
    </row>
    <row r="428" spans="1:16" x14ac:dyDescent="0.25">
      <c r="A428" s="210">
        <v>7505</v>
      </c>
      <c r="B428" s="211" t="s">
        <v>180</v>
      </c>
      <c r="C428" s="266">
        <v>0</v>
      </c>
      <c r="D428" s="120">
        <v>0</v>
      </c>
      <c r="E428" s="276">
        <v>0</v>
      </c>
      <c r="F428" s="276">
        <v>0</v>
      </c>
      <c r="G428" s="276">
        <v>0</v>
      </c>
      <c r="H428" s="276">
        <v>0</v>
      </c>
      <c r="I428" s="441">
        <v>0</v>
      </c>
      <c r="J428" s="441">
        <v>0</v>
      </c>
      <c r="K428" s="120">
        <f t="shared" si="20"/>
        <v>0</v>
      </c>
      <c r="L428" s="288">
        <f t="shared" si="21"/>
        <v>0</v>
      </c>
      <c r="M428" s="262"/>
      <c r="N428" s="262"/>
      <c r="O428" s="262"/>
      <c r="P428" s="262"/>
    </row>
    <row r="429" spans="1:16" x14ac:dyDescent="0.25">
      <c r="A429" s="210">
        <v>7506</v>
      </c>
      <c r="B429" s="211" t="s">
        <v>102</v>
      </c>
      <c r="C429" s="266">
        <v>0</v>
      </c>
      <c r="D429" s="120">
        <v>0</v>
      </c>
      <c r="E429" s="276">
        <v>0</v>
      </c>
      <c r="F429" s="276">
        <v>0</v>
      </c>
      <c r="G429" s="276">
        <v>0</v>
      </c>
      <c r="H429" s="276">
        <v>0</v>
      </c>
      <c r="I429" s="441">
        <v>0</v>
      </c>
      <c r="J429" s="441">
        <v>0</v>
      </c>
      <c r="K429" s="120">
        <f t="shared" si="20"/>
        <v>0</v>
      </c>
      <c r="L429" s="288">
        <f t="shared" si="21"/>
        <v>0</v>
      </c>
      <c r="M429" s="262"/>
      <c r="N429" s="262"/>
      <c r="O429" s="262"/>
      <c r="P429" s="262"/>
    </row>
    <row r="430" spans="1:16" x14ac:dyDescent="0.25">
      <c r="A430" s="210">
        <v>7507</v>
      </c>
      <c r="B430" s="211" t="s">
        <v>121</v>
      </c>
      <c r="C430" s="266">
        <v>0</v>
      </c>
      <c r="D430" s="120">
        <v>0</v>
      </c>
      <c r="E430" s="276">
        <v>0</v>
      </c>
      <c r="F430" s="276">
        <v>0</v>
      </c>
      <c r="G430" s="276">
        <v>0</v>
      </c>
      <c r="H430" s="276">
        <v>0</v>
      </c>
      <c r="I430" s="441">
        <v>0</v>
      </c>
      <c r="J430" s="441">
        <v>0</v>
      </c>
      <c r="K430" s="120">
        <f t="shared" si="20"/>
        <v>0</v>
      </c>
      <c r="L430" s="288">
        <f t="shared" si="21"/>
        <v>0</v>
      </c>
      <c r="M430" s="262"/>
      <c r="N430" s="262"/>
      <c r="O430" s="262"/>
      <c r="P430" s="262"/>
    </row>
    <row r="431" spans="1:16" x14ac:dyDescent="0.25">
      <c r="A431" s="210">
        <v>7508</v>
      </c>
      <c r="B431" s="211" t="s">
        <v>87</v>
      </c>
      <c r="C431" s="266">
        <v>0</v>
      </c>
      <c r="D431" s="120">
        <v>0</v>
      </c>
      <c r="E431" s="276">
        <v>0</v>
      </c>
      <c r="F431" s="276">
        <v>0</v>
      </c>
      <c r="G431" s="276">
        <v>0</v>
      </c>
      <c r="H431" s="276">
        <v>0</v>
      </c>
      <c r="I431" s="441">
        <v>0</v>
      </c>
      <c r="J431" s="441">
        <v>0</v>
      </c>
      <c r="K431" s="120">
        <f t="shared" si="20"/>
        <v>0</v>
      </c>
      <c r="L431" s="288">
        <f t="shared" si="21"/>
        <v>0</v>
      </c>
      <c r="M431" s="262"/>
      <c r="N431" s="262"/>
      <c r="O431" s="262"/>
      <c r="P431" s="262"/>
    </row>
    <row r="432" spans="1:16" x14ac:dyDescent="0.25">
      <c r="A432" s="210">
        <v>7509</v>
      </c>
      <c r="B432" s="211" t="s">
        <v>182</v>
      </c>
      <c r="C432" s="266">
        <v>0</v>
      </c>
      <c r="D432" s="120">
        <v>0</v>
      </c>
      <c r="E432" s="276">
        <v>0</v>
      </c>
      <c r="F432" s="276">
        <v>0</v>
      </c>
      <c r="G432" s="276">
        <v>0</v>
      </c>
      <c r="H432" s="276">
        <v>0</v>
      </c>
      <c r="I432" s="441">
        <v>0</v>
      </c>
      <c r="J432" s="441">
        <v>0</v>
      </c>
      <c r="K432" s="120">
        <f t="shared" si="20"/>
        <v>0</v>
      </c>
      <c r="L432" s="288">
        <f t="shared" si="21"/>
        <v>0</v>
      </c>
      <c r="M432" s="262"/>
      <c r="N432" s="262"/>
      <c r="O432" s="262"/>
      <c r="P432" s="262"/>
    </row>
    <row r="433" spans="1:16" x14ac:dyDescent="0.25">
      <c r="A433" s="210">
        <v>7510</v>
      </c>
      <c r="B433" s="211" t="s">
        <v>98</v>
      </c>
      <c r="C433" s="266">
        <v>0</v>
      </c>
      <c r="D433" s="120">
        <v>0</v>
      </c>
      <c r="E433" s="276">
        <v>0</v>
      </c>
      <c r="F433" s="276">
        <v>0</v>
      </c>
      <c r="G433" s="276">
        <v>0</v>
      </c>
      <c r="H433" s="276">
        <v>0</v>
      </c>
      <c r="I433" s="441">
        <v>0</v>
      </c>
      <c r="J433" s="441">
        <v>0</v>
      </c>
      <c r="K433" s="120">
        <f t="shared" si="20"/>
        <v>0</v>
      </c>
      <c r="L433" s="288">
        <f t="shared" si="21"/>
        <v>0</v>
      </c>
      <c r="M433" s="262"/>
      <c r="N433" s="262"/>
      <c r="O433" s="262"/>
      <c r="P433" s="262"/>
    </row>
    <row r="434" spans="1:16" x14ac:dyDescent="0.25">
      <c r="A434" s="210">
        <v>7511</v>
      </c>
      <c r="B434" s="211" t="s">
        <v>103</v>
      </c>
      <c r="C434" s="266">
        <v>0</v>
      </c>
      <c r="D434" s="120">
        <v>0</v>
      </c>
      <c r="E434" s="276">
        <v>0</v>
      </c>
      <c r="F434" s="276">
        <v>0</v>
      </c>
      <c r="G434" s="276">
        <v>0</v>
      </c>
      <c r="H434" s="276">
        <v>0</v>
      </c>
      <c r="I434" s="441">
        <v>0</v>
      </c>
      <c r="J434" s="441">
        <v>0</v>
      </c>
      <c r="K434" s="120">
        <f t="shared" si="20"/>
        <v>0</v>
      </c>
      <c r="L434" s="288">
        <f t="shared" si="21"/>
        <v>0</v>
      </c>
      <c r="M434" s="262"/>
      <c r="N434" s="262"/>
      <c r="O434" s="262"/>
      <c r="P434" s="262"/>
    </row>
    <row r="435" spans="1:16" x14ac:dyDescent="0.25">
      <c r="A435" s="210">
        <v>7512</v>
      </c>
      <c r="B435" s="211" t="s">
        <v>183</v>
      </c>
      <c r="C435" s="266">
        <v>0</v>
      </c>
      <c r="D435" s="120">
        <v>0</v>
      </c>
      <c r="E435" s="276">
        <v>0</v>
      </c>
      <c r="F435" s="276">
        <v>0</v>
      </c>
      <c r="G435" s="276">
        <v>0</v>
      </c>
      <c r="H435" s="276">
        <v>0</v>
      </c>
      <c r="I435" s="441">
        <v>0</v>
      </c>
      <c r="J435" s="441">
        <v>0</v>
      </c>
      <c r="K435" s="120">
        <f t="shared" si="20"/>
        <v>0</v>
      </c>
      <c r="L435" s="288">
        <f t="shared" si="21"/>
        <v>0</v>
      </c>
      <c r="M435" s="262"/>
      <c r="N435" s="262"/>
      <c r="O435" s="262"/>
      <c r="P435" s="262"/>
    </row>
    <row r="436" spans="1:16" x14ac:dyDescent="0.25">
      <c r="A436" s="210">
        <v>7513</v>
      </c>
      <c r="B436" s="211" t="s">
        <v>184</v>
      </c>
      <c r="C436" s="266">
        <v>0</v>
      </c>
      <c r="D436" s="120">
        <v>0</v>
      </c>
      <c r="E436" s="276">
        <v>0</v>
      </c>
      <c r="F436" s="276">
        <v>0</v>
      </c>
      <c r="G436" s="276">
        <v>0</v>
      </c>
      <c r="H436" s="276">
        <v>0</v>
      </c>
      <c r="I436" s="441">
        <v>0</v>
      </c>
      <c r="J436" s="441">
        <v>0</v>
      </c>
      <c r="K436" s="120">
        <f t="shared" si="20"/>
        <v>0</v>
      </c>
      <c r="L436" s="288">
        <f t="shared" si="21"/>
        <v>0</v>
      </c>
      <c r="M436" s="262"/>
      <c r="N436" s="262"/>
      <c r="O436" s="262"/>
      <c r="P436" s="262"/>
    </row>
    <row r="437" spans="1:16" x14ac:dyDescent="0.25">
      <c r="A437" s="210">
        <v>7514</v>
      </c>
      <c r="B437" s="211" t="s">
        <v>108</v>
      </c>
      <c r="C437" s="266">
        <v>0</v>
      </c>
      <c r="D437" s="120">
        <v>0</v>
      </c>
      <c r="E437" s="276">
        <v>0</v>
      </c>
      <c r="F437" s="276">
        <v>0</v>
      </c>
      <c r="G437" s="276">
        <v>0</v>
      </c>
      <c r="H437" s="276">
        <v>0</v>
      </c>
      <c r="I437" s="441">
        <v>0</v>
      </c>
      <c r="J437" s="441">
        <v>0</v>
      </c>
      <c r="K437" s="120">
        <f t="shared" si="20"/>
        <v>0</v>
      </c>
      <c r="L437" s="288">
        <f t="shared" si="21"/>
        <v>0</v>
      </c>
      <c r="M437" s="262"/>
      <c r="N437" s="262"/>
      <c r="O437" s="262"/>
      <c r="P437" s="262"/>
    </row>
    <row r="438" spans="1:16" x14ac:dyDescent="0.25">
      <c r="A438" s="210">
        <v>7515</v>
      </c>
      <c r="B438" s="211" t="s">
        <v>185</v>
      </c>
      <c r="C438" s="266">
        <v>0</v>
      </c>
      <c r="D438" s="120">
        <v>0</v>
      </c>
      <c r="E438" s="276">
        <v>0</v>
      </c>
      <c r="F438" s="276">
        <v>0</v>
      </c>
      <c r="G438" s="276">
        <v>0</v>
      </c>
      <c r="H438" s="276">
        <v>0</v>
      </c>
      <c r="I438" s="441">
        <v>0</v>
      </c>
      <c r="J438" s="441">
        <v>0</v>
      </c>
      <c r="K438" s="120">
        <f t="shared" si="20"/>
        <v>0</v>
      </c>
      <c r="L438" s="288">
        <f t="shared" si="21"/>
        <v>0</v>
      </c>
      <c r="M438" s="262"/>
      <c r="N438" s="262"/>
      <c r="O438" s="262"/>
      <c r="P438" s="262"/>
    </row>
    <row r="439" spans="1:16" x14ac:dyDescent="0.25">
      <c r="A439" s="210">
        <v>7516</v>
      </c>
      <c r="B439" s="211" t="s">
        <v>109</v>
      </c>
      <c r="C439" s="266">
        <v>0</v>
      </c>
      <c r="D439" s="120">
        <v>0</v>
      </c>
      <c r="E439" s="276">
        <v>0</v>
      </c>
      <c r="F439" s="276">
        <v>0</v>
      </c>
      <c r="G439" s="276">
        <v>0</v>
      </c>
      <c r="H439" s="276">
        <v>0</v>
      </c>
      <c r="I439" s="441">
        <v>0</v>
      </c>
      <c r="J439" s="441">
        <v>0</v>
      </c>
      <c r="K439" s="120">
        <f t="shared" si="20"/>
        <v>0</v>
      </c>
      <c r="L439" s="288">
        <f t="shared" si="21"/>
        <v>0</v>
      </c>
      <c r="M439" s="262"/>
      <c r="N439" s="262"/>
      <c r="O439" s="262"/>
      <c r="P439" s="262"/>
    </row>
    <row r="440" spans="1:16" x14ac:dyDescent="0.25">
      <c r="A440" s="210">
        <v>7517</v>
      </c>
      <c r="B440" s="211" t="s">
        <v>186</v>
      </c>
      <c r="C440" s="266">
        <v>0</v>
      </c>
      <c r="D440" s="120">
        <v>0</v>
      </c>
      <c r="E440" s="276">
        <v>0</v>
      </c>
      <c r="F440" s="276">
        <v>0</v>
      </c>
      <c r="G440" s="276">
        <v>0</v>
      </c>
      <c r="H440" s="276">
        <v>0</v>
      </c>
      <c r="I440" s="441">
        <v>0</v>
      </c>
      <c r="J440" s="441">
        <v>0</v>
      </c>
      <c r="K440" s="120">
        <f t="shared" si="20"/>
        <v>0</v>
      </c>
      <c r="L440" s="288">
        <f t="shared" si="21"/>
        <v>0</v>
      </c>
      <c r="M440" s="262"/>
      <c r="N440" s="262"/>
      <c r="O440" s="262"/>
      <c r="P440" s="262"/>
    </row>
    <row r="441" spans="1:16" x14ac:dyDescent="0.25">
      <c r="A441" s="210">
        <v>7518</v>
      </c>
      <c r="B441" s="211" t="s">
        <v>187</v>
      </c>
      <c r="C441" s="266">
        <v>0</v>
      </c>
      <c r="D441" s="120">
        <v>0</v>
      </c>
      <c r="E441" s="276">
        <v>0</v>
      </c>
      <c r="F441" s="276">
        <v>0</v>
      </c>
      <c r="G441" s="276">
        <v>0</v>
      </c>
      <c r="H441" s="276">
        <v>0</v>
      </c>
      <c r="I441" s="441">
        <v>0</v>
      </c>
      <c r="J441" s="441">
        <v>0</v>
      </c>
      <c r="K441" s="120">
        <f t="shared" si="20"/>
        <v>0</v>
      </c>
      <c r="L441" s="288">
        <f t="shared" si="21"/>
        <v>0</v>
      </c>
      <c r="M441" s="262"/>
      <c r="N441" s="262"/>
      <c r="O441" s="262"/>
      <c r="P441" s="262"/>
    </row>
    <row r="442" spans="1:16" x14ac:dyDescent="0.25">
      <c r="A442" s="210">
        <v>7519</v>
      </c>
      <c r="B442" s="211" t="s">
        <v>188</v>
      </c>
      <c r="C442" s="266">
        <v>0</v>
      </c>
      <c r="D442" s="120">
        <v>0</v>
      </c>
      <c r="E442" s="276">
        <v>0</v>
      </c>
      <c r="F442" s="276">
        <v>0</v>
      </c>
      <c r="G442" s="276">
        <v>0</v>
      </c>
      <c r="H442" s="276">
        <v>0</v>
      </c>
      <c r="I442" s="441">
        <v>0</v>
      </c>
      <c r="J442" s="441">
        <v>0</v>
      </c>
      <c r="K442" s="120">
        <f t="shared" si="20"/>
        <v>0</v>
      </c>
      <c r="L442" s="288">
        <f t="shared" si="21"/>
        <v>0</v>
      </c>
      <c r="M442" s="262"/>
      <c r="N442" s="262"/>
      <c r="O442" s="262"/>
      <c r="P442" s="262"/>
    </row>
    <row r="443" spans="1:16" x14ac:dyDescent="0.25">
      <c r="A443" s="210">
        <v>7520</v>
      </c>
      <c r="B443" s="211" t="s">
        <v>227</v>
      </c>
      <c r="C443" s="266">
        <v>0</v>
      </c>
      <c r="D443" s="120">
        <v>0</v>
      </c>
      <c r="E443" s="276">
        <v>0</v>
      </c>
      <c r="F443" s="276">
        <v>0</v>
      </c>
      <c r="G443" s="276">
        <v>0</v>
      </c>
      <c r="H443" s="276">
        <v>0</v>
      </c>
      <c r="I443" s="441">
        <v>0</v>
      </c>
      <c r="J443" s="441">
        <v>0</v>
      </c>
      <c r="K443" s="120">
        <f t="shared" ref="K443:K494" si="22">C443+E443-G443-I443</f>
        <v>0</v>
      </c>
      <c r="L443" s="288">
        <f t="shared" ref="L443:L494" si="23">D443+F443-H443-J443</f>
        <v>0</v>
      </c>
      <c r="M443" s="262"/>
      <c r="N443" s="262"/>
      <c r="O443" s="262"/>
      <c r="P443" s="262"/>
    </row>
    <row r="444" spans="1:16" x14ac:dyDescent="0.25">
      <c r="A444" s="210">
        <v>7521</v>
      </c>
      <c r="B444" s="211" t="s">
        <v>189</v>
      </c>
      <c r="C444" s="266">
        <v>0</v>
      </c>
      <c r="D444" s="120">
        <v>0</v>
      </c>
      <c r="E444" s="276">
        <v>0</v>
      </c>
      <c r="F444" s="276">
        <v>0</v>
      </c>
      <c r="G444" s="276">
        <v>0</v>
      </c>
      <c r="H444" s="276">
        <v>0</v>
      </c>
      <c r="I444" s="441">
        <v>0</v>
      </c>
      <c r="J444" s="441">
        <v>0</v>
      </c>
      <c r="K444" s="120">
        <f t="shared" si="22"/>
        <v>0</v>
      </c>
      <c r="L444" s="288">
        <f t="shared" si="23"/>
        <v>0</v>
      </c>
      <c r="M444" s="262"/>
      <c r="N444" s="262"/>
      <c r="O444" s="262"/>
      <c r="P444" s="262"/>
    </row>
    <row r="445" spans="1:16" x14ac:dyDescent="0.25">
      <c r="A445" s="210">
        <v>7522</v>
      </c>
      <c r="B445" s="211" t="s">
        <v>237</v>
      </c>
      <c r="C445" s="266">
        <v>0</v>
      </c>
      <c r="D445" s="120">
        <v>0</v>
      </c>
      <c r="E445" s="276">
        <v>0</v>
      </c>
      <c r="F445" s="276">
        <v>0</v>
      </c>
      <c r="G445" s="276">
        <v>0</v>
      </c>
      <c r="H445" s="276">
        <v>0</v>
      </c>
      <c r="I445" s="441">
        <v>0</v>
      </c>
      <c r="J445" s="441">
        <v>0</v>
      </c>
      <c r="K445" s="120">
        <f t="shared" si="22"/>
        <v>0</v>
      </c>
      <c r="L445" s="288">
        <f t="shared" si="23"/>
        <v>0</v>
      </c>
      <c r="M445" s="262"/>
      <c r="N445" s="262"/>
      <c r="O445" s="262"/>
      <c r="P445" s="262"/>
    </row>
    <row r="446" spans="1:16" x14ac:dyDescent="0.25">
      <c r="A446" s="210">
        <v>7523</v>
      </c>
      <c r="B446" s="211" t="s">
        <v>191</v>
      </c>
      <c r="C446" s="266">
        <v>0</v>
      </c>
      <c r="D446" s="120">
        <v>0</v>
      </c>
      <c r="E446" s="276">
        <v>0</v>
      </c>
      <c r="F446" s="276">
        <v>0</v>
      </c>
      <c r="G446" s="276">
        <v>0</v>
      </c>
      <c r="H446" s="276">
        <v>0</v>
      </c>
      <c r="I446" s="441">
        <v>0</v>
      </c>
      <c r="J446" s="441">
        <v>0</v>
      </c>
      <c r="K446" s="120">
        <f t="shared" si="22"/>
        <v>0</v>
      </c>
      <c r="L446" s="288">
        <f t="shared" si="23"/>
        <v>0</v>
      </c>
      <c r="M446" s="262"/>
      <c r="N446" s="262"/>
      <c r="O446" s="262"/>
      <c r="P446" s="262"/>
    </row>
    <row r="447" spans="1:16" ht="30" x14ac:dyDescent="0.25">
      <c r="A447" s="210">
        <v>7524</v>
      </c>
      <c r="B447" s="211" t="s">
        <v>192</v>
      </c>
      <c r="C447" s="266">
        <v>0</v>
      </c>
      <c r="D447" s="120">
        <v>0</v>
      </c>
      <c r="E447" s="276">
        <v>0</v>
      </c>
      <c r="F447" s="276">
        <v>0</v>
      </c>
      <c r="G447" s="276">
        <v>0</v>
      </c>
      <c r="H447" s="276">
        <v>0</v>
      </c>
      <c r="I447" s="441">
        <v>0</v>
      </c>
      <c r="J447" s="441">
        <v>0</v>
      </c>
      <c r="K447" s="120">
        <f t="shared" si="22"/>
        <v>0</v>
      </c>
      <c r="L447" s="288">
        <f t="shared" si="23"/>
        <v>0</v>
      </c>
      <c r="M447" s="262"/>
      <c r="N447" s="262"/>
      <c r="O447" s="262"/>
      <c r="P447" s="262"/>
    </row>
    <row r="448" spans="1:16" x14ac:dyDescent="0.25">
      <c r="A448" s="210">
        <v>7525</v>
      </c>
      <c r="B448" s="211" t="s">
        <v>193</v>
      </c>
      <c r="C448" s="266">
        <v>0</v>
      </c>
      <c r="D448" s="120">
        <v>0</v>
      </c>
      <c r="E448" s="276">
        <v>0</v>
      </c>
      <c r="F448" s="276">
        <v>0</v>
      </c>
      <c r="G448" s="276">
        <v>0</v>
      </c>
      <c r="H448" s="276">
        <v>0</v>
      </c>
      <c r="I448" s="441">
        <v>0</v>
      </c>
      <c r="J448" s="441">
        <v>0</v>
      </c>
      <c r="K448" s="120">
        <f t="shared" si="22"/>
        <v>0</v>
      </c>
      <c r="L448" s="288">
        <f t="shared" si="23"/>
        <v>0</v>
      </c>
      <c r="M448" s="262"/>
      <c r="N448" s="262"/>
      <c r="O448" s="262"/>
      <c r="P448" s="262"/>
    </row>
    <row r="449" spans="1:16" x14ac:dyDescent="0.25">
      <c r="A449" s="210">
        <v>7526</v>
      </c>
      <c r="B449" s="211" t="s">
        <v>228</v>
      </c>
      <c r="C449" s="266">
        <v>0</v>
      </c>
      <c r="D449" s="120">
        <v>0</v>
      </c>
      <c r="E449" s="276">
        <v>0</v>
      </c>
      <c r="F449" s="276">
        <v>0</v>
      </c>
      <c r="G449" s="276">
        <v>0</v>
      </c>
      <c r="H449" s="276">
        <v>0</v>
      </c>
      <c r="I449" s="441">
        <v>0</v>
      </c>
      <c r="J449" s="441">
        <v>0</v>
      </c>
      <c r="K449" s="120">
        <f t="shared" si="22"/>
        <v>0</v>
      </c>
      <c r="L449" s="288">
        <f t="shared" si="23"/>
        <v>0</v>
      </c>
      <c r="M449" s="262"/>
      <c r="N449" s="262"/>
      <c r="O449" s="262"/>
      <c r="P449" s="262"/>
    </row>
    <row r="450" spans="1:16" x14ac:dyDescent="0.25">
      <c r="A450" s="210">
        <v>7527</v>
      </c>
      <c r="B450" s="211" t="s">
        <v>229</v>
      </c>
      <c r="C450" s="266">
        <v>0</v>
      </c>
      <c r="D450" s="120">
        <v>0</v>
      </c>
      <c r="E450" s="276">
        <v>0</v>
      </c>
      <c r="F450" s="276">
        <v>0</v>
      </c>
      <c r="G450" s="276">
        <v>0</v>
      </c>
      <c r="H450" s="276">
        <v>0</v>
      </c>
      <c r="I450" s="441">
        <v>0</v>
      </c>
      <c r="J450" s="441">
        <v>0</v>
      </c>
      <c r="K450" s="120">
        <f t="shared" si="22"/>
        <v>0</v>
      </c>
      <c r="L450" s="288">
        <f t="shared" si="23"/>
        <v>0</v>
      </c>
      <c r="M450" s="262"/>
      <c r="N450" s="262"/>
      <c r="O450" s="262"/>
      <c r="P450" s="262"/>
    </row>
    <row r="451" spans="1:16" x14ac:dyDescent="0.25">
      <c r="A451" s="210">
        <v>7528</v>
      </c>
      <c r="B451" s="211" t="s">
        <v>197</v>
      </c>
      <c r="C451" s="266">
        <v>0</v>
      </c>
      <c r="D451" s="120">
        <v>0</v>
      </c>
      <c r="E451" s="276">
        <v>0</v>
      </c>
      <c r="F451" s="276">
        <v>0</v>
      </c>
      <c r="G451" s="276">
        <v>0</v>
      </c>
      <c r="H451" s="276">
        <v>0</v>
      </c>
      <c r="I451" s="441">
        <v>0</v>
      </c>
      <c r="J451" s="441">
        <v>0</v>
      </c>
      <c r="K451" s="120">
        <f t="shared" si="22"/>
        <v>0</v>
      </c>
      <c r="L451" s="288">
        <f t="shared" si="23"/>
        <v>0</v>
      </c>
      <c r="M451" s="262"/>
      <c r="N451" s="262"/>
      <c r="O451" s="262"/>
      <c r="P451" s="262"/>
    </row>
    <row r="452" spans="1:16" ht="30" x14ac:dyDescent="0.25">
      <c r="A452" s="210">
        <v>7529</v>
      </c>
      <c r="B452" s="211" t="s">
        <v>201</v>
      </c>
      <c r="C452" s="266">
        <v>0</v>
      </c>
      <c r="D452" s="120">
        <v>0</v>
      </c>
      <c r="E452" s="276">
        <v>0</v>
      </c>
      <c r="F452" s="276">
        <v>0</v>
      </c>
      <c r="G452" s="276">
        <v>0</v>
      </c>
      <c r="H452" s="276">
        <v>0</v>
      </c>
      <c r="I452" s="441">
        <v>0</v>
      </c>
      <c r="J452" s="441">
        <v>0</v>
      </c>
      <c r="K452" s="120">
        <f t="shared" si="22"/>
        <v>0</v>
      </c>
      <c r="L452" s="288">
        <f t="shared" si="23"/>
        <v>0</v>
      </c>
      <c r="M452" s="262"/>
      <c r="N452" s="262"/>
      <c r="O452" s="262"/>
      <c r="P452" s="262"/>
    </row>
    <row r="453" spans="1:16" ht="30" x14ac:dyDescent="0.25">
      <c r="A453" s="210">
        <v>7599</v>
      </c>
      <c r="B453" s="211" t="s">
        <v>202</v>
      </c>
      <c r="C453" s="266">
        <v>0</v>
      </c>
      <c r="D453" s="120">
        <v>0</v>
      </c>
      <c r="E453" s="276">
        <v>0</v>
      </c>
      <c r="F453" s="276">
        <v>0</v>
      </c>
      <c r="G453" s="276">
        <v>0</v>
      </c>
      <c r="H453" s="276">
        <v>0</v>
      </c>
      <c r="I453" s="441">
        <v>0</v>
      </c>
      <c r="J453" s="441">
        <v>0</v>
      </c>
      <c r="K453" s="120">
        <f t="shared" si="22"/>
        <v>0</v>
      </c>
      <c r="L453" s="288">
        <f t="shared" si="23"/>
        <v>0</v>
      </c>
      <c r="M453" s="262"/>
      <c r="N453" s="262"/>
      <c r="O453" s="262"/>
      <c r="P453" s="262"/>
    </row>
    <row r="454" spans="1:16" x14ac:dyDescent="0.25">
      <c r="A454" s="210">
        <v>7601</v>
      </c>
      <c r="B454" s="211" t="s">
        <v>230</v>
      </c>
      <c r="C454" s="266">
        <v>0</v>
      </c>
      <c r="D454" s="120">
        <v>0</v>
      </c>
      <c r="E454" s="276">
        <v>0</v>
      </c>
      <c r="F454" s="276">
        <v>0</v>
      </c>
      <c r="G454" s="276">
        <v>0</v>
      </c>
      <c r="H454" s="276">
        <v>0</v>
      </c>
      <c r="I454" s="441">
        <v>0</v>
      </c>
      <c r="J454" s="441">
        <v>0</v>
      </c>
      <c r="K454" s="120">
        <f t="shared" si="22"/>
        <v>0</v>
      </c>
      <c r="L454" s="288">
        <f t="shared" si="23"/>
        <v>0</v>
      </c>
      <c r="M454" s="262"/>
      <c r="N454" s="262"/>
      <c r="O454" s="262"/>
      <c r="P454" s="262"/>
    </row>
    <row r="455" spans="1:16" x14ac:dyDescent="0.25">
      <c r="A455" s="210">
        <v>7602</v>
      </c>
      <c r="B455" s="211" t="s">
        <v>205</v>
      </c>
      <c r="C455" s="266">
        <v>0</v>
      </c>
      <c r="D455" s="120">
        <v>0</v>
      </c>
      <c r="E455" s="276">
        <v>0</v>
      </c>
      <c r="F455" s="276">
        <v>0</v>
      </c>
      <c r="G455" s="276">
        <v>0</v>
      </c>
      <c r="H455" s="276">
        <v>0</v>
      </c>
      <c r="I455" s="441">
        <v>0</v>
      </c>
      <c r="J455" s="441">
        <v>0</v>
      </c>
      <c r="K455" s="120">
        <f t="shared" si="22"/>
        <v>0</v>
      </c>
      <c r="L455" s="288">
        <f t="shared" si="23"/>
        <v>0</v>
      </c>
      <c r="M455" s="262"/>
      <c r="N455" s="262"/>
      <c r="O455" s="262"/>
      <c r="P455" s="262"/>
    </row>
    <row r="456" spans="1:16" x14ac:dyDescent="0.25">
      <c r="A456" s="210">
        <v>7603</v>
      </c>
      <c r="B456" s="211" t="s">
        <v>231</v>
      </c>
      <c r="C456" s="266">
        <v>0</v>
      </c>
      <c r="D456" s="120">
        <v>0</v>
      </c>
      <c r="E456" s="276">
        <v>0</v>
      </c>
      <c r="F456" s="276">
        <v>0</v>
      </c>
      <c r="G456" s="276">
        <v>0</v>
      </c>
      <c r="H456" s="276">
        <v>0</v>
      </c>
      <c r="I456" s="441">
        <v>0</v>
      </c>
      <c r="J456" s="441">
        <v>0</v>
      </c>
      <c r="K456" s="120">
        <f t="shared" si="22"/>
        <v>0</v>
      </c>
      <c r="L456" s="288">
        <f t="shared" si="23"/>
        <v>0</v>
      </c>
      <c r="M456" s="262"/>
      <c r="N456" s="262"/>
      <c r="O456" s="262"/>
      <c r="P456" s="262"/>
    </row>
    <row r="457" spans="1:16" x14ac:dyDescent="0.25">
      <c r="A457" s="210">
        <v>7604</v>
      </c>
      <c r="B457" s="211" t="s">
        <v>204</v>
      </c>
      <c r="C457" s="266">
        <v>0</v>
      </c>
      <c r="D457" s="120">
        <v>0</v>
      </c>
      <c r="E457" s="276">
        <v>0</v>
      </c>
      <c r="F457" s="276">
        <v>0</v>
      </c>
      <c r="G457" s="276">
        <v>0</v>
      </c>
      <c r="H457" s="276">
        <v>0</v>
      </c>
      <c r="I457" s="441">
        <v>0</v>
      </c>
      <c r="J457" s="441">
        <v>0</v>
      </c>
      <c r="K457" s="120">
        <f t="shared" si="22"/>
        <v>0</v>
      </c>
      <c r="L457" s="288">
        <f t="shared" si="23"/>
        <v>0</v>
      </c>
      <c r="M457" s="262"/>
      <c r="N457" s="262"/>
      <c r="O457" s="262"/>
      <c r="P457" s="262"/>
    </row>
    <row r="458" spans="1:16" x14ac:dyDescent="0.25">
      <c r="A458" s="210">
        <v>7605</v>
      </c>
      <c r="B458" s="211" t="s">
        <v>98</v>
      </c>
      <c r="C458" s="266">
        <v>0</v>
      </c>
      <c r="D458" s="120">
        <v>0</v>
      </c>
      <c r="E458" s="276">
        <v>0</v>
      </c>
      <c r="F458" s="276">
        <v>0</v>
      </c>
      <c r="G458" s="276">
        <v>0</v>
      </c>
      <c r="H458" s="276">
        <v>0</v>
      </c>
      <c r="I458" s="441">
        <v>0</v>
      </c>
      <c r="J458" s="441">
        <v>0</v>
      </c>
      <c r="K458" s="120">
        <f t="shared" si="22"/>
        <v>0</v>
      </c>
      <c r="L458" s="288">
        <f t="shared" si="23"/>
        <v>0</v>
      </c>
      <c r="M458" s="262"/>
      <c r="N458" s="262"/>
      <c r="O458" s="262"/>
      <c r="P458" s="262"/>
    </row>
    <row r="459" spans="1:16" x14ac:dyDescent="0.25">
      <c r="A459" s="210">
        <v>7606</v>
      </c>
      <c r="B459" s="211" t="s">
        <v>238</v>
      </c>
      <c r="C459" s="266">
        <v>0</v>
      </c>
      <c r="D459" s="120">
        <v>0</v>
      </c>
      <c r="E459" s="276">
        <v>0</v>
      </c>
      <c r="F459" s="276">
        <v>0</v>
      </c>
      <c r="G459" s="276">
        <v>0</v>
      </c>
      <c r="H459" s="276">
        <v>0</v>
      </c>
      <c r="I459" s="441">
        <v>0</v>
      </c>
      <c r="J459" s="441">
        <v>0</v>
      </c>
      <c r="K459" s="120">
        <f t="shared" si="22"/>
        <v>0</v>
      </c>
      <c r="L459" s="288">
        <f t="shared" si="23"/>
        <v>0</v>
      </c>
      <c r="M459" s="262"/>
      <c r="N459" s="262"/>
      <c r="O459" s="262"/>
      <c r="P459" s="262"/>
    </row>
    <row r="460" spans="1:16" x14ac:dyDescent="0.25">
      <c r="A460" s="210">
        <v>7607</v>
      </c>
      <c r="B460" s="211" t="s">
        <v>100</v>
      </c>
      <c r="C460" s="266">
        <v>0</v>
      </c>
      <c r="D460" s="120">
        <v>0</v>
      </c>
      <c r="E460" s="276">
        <v>0</v>
      </c>
      <c r="F460" s="276">
        <v>0</v>
      </c>
      <c r="G460" s="276">
        <v>0</v>
      </c>
      <c r="H460" s="276">
        <v>0</v>
      </c>
      <c r="I460" s="441">
        <v>0</v>
      </c>
      <c r="J460" s="441">
        <v>0</v>
      </c>
      <c r="K460" s="120">
        <f t="shared" si="22"/>
        <v>0</v>
      </c>
      <c r="L460" s="288">
        <f t="shared" si="23"/>
        <v>0</v>
      </c>
      <c r="M460" s="262"/>
      <c r="N460" s="262"/>
      <c r="O460" s="262"/>
      <c r="P460" s="262"/>
    </row>
    <row r="461" spans="1:16" x14ac:dyDescent="0.25">
      <c r="A461" s="210">
        <v>7608</v>
      </c>
      <c r="B461" s="211" t="s">
        <v>197</v>
      </c>
      <c r="C461" s="266">
        <v>0</v>
      </c>
      <c r="D461" s="120">
        <v>0</v>
      </c>
      <c r="E461" s="276">
        <v>0</v>
      </c>
      <c r="F461" s="276">
        <v>0</v>
      </c>
      <c r="G461" s="276">
        <v>0</v>
      </c>
      <c r="H461" s="276">
        <v>0</v>
      </c>
      <c r="I461" s="441">
        <v>0</v>
      </c>
      <c r="J461" s="441">
        <v>0</v>
      </c>
      <c r="K461" s="120">
        <f t="shared" si="22"/>
        <v>0</v>
      </c>
      <c r="L461" s="288">
        <f t="shared" si="23"/>
        <v>0</v>
      </c>
      <c r="M461" s="262"/>
      <c r="N461" s="262"/>
      <c r="O461" s="262"/>
      <c r="P461" s="262"/>
    </row>
    <row r="462" spans="1:16" x14ac:dyDescent="0.25">
      <c r="A462" s="210">
        <v>7609</v>
      </c>
      <c r="B462" s="211" t="s">
        <v>193</v>
      </c>
      <c r="C462" s="266">
        <v>0</v>
      </c>
      <c r="D462" s="120">
        <v>0</v>
      </c>
      <c r="E462" s="276">
        <v>0</v>
      </c>
      <c r="F462" s="276">
        <v>0</v>
      </c>
      <c r="G462" s="276">
        <v>0</v>
      </c>
      <c r="H462" s="276">
        <v>0</v>
      </c>
      <c r="I462" s="441">
        <v>0</v>
      </c>
      <c r="J462" s="441">
        <v>0</v>
      </c>
      <c r="K462" s="120">
        <f t="shared" si="22"/>
        <v>0</v>
      </c>
      <c r="L462" s="288">
        <f t="shared" si="23"/>
        <v>0</v>
      </c>
      <c r="M462" s="262"/>
      <c r="N462" s="262"/>
      <c r="O462" s="262"/>
      <c r="P462" s="262"/>
    </row>
    <row r="463" spans="1:16" x14ac:dyDescent="0.25">
      <c r="A463" s="210">
        <v>7610</v>
      </c>
      <c r="B463" s="211" t="s">
        <v>87</v>
      </c>
      <c r="C463" s="266">
        <v>0</v>
      </c>
      <c r="D463" s="120">
        <v>0</v>
      </c>
      <c r="E463" s="276">
        <v>0</v>
      </c>
      <c r="F463" s="276">
        <v>0</v>
      </c>
      <c r="G463" s="276">
        <v>0</v>
      </c>
      <c r="H463" s="276">
        <v>0</v>
      </c>
      <c r="I463" s="441">
        <v>0</v>
      </c>
      <c r="J463" s="441">
        <v>0</v>
      </c>
      <c r="K463" s="120">
        <f t="shared" si="22"/>
        <v>0</v>
      </c>
      <c r="L463" s="288">
        <f t="shared" si="23"/>
        <v>0</v>
      </c>
      <c r="M463" s="262"/>
      <c r="N463" s="262"/>
      <c r="O463" s="262"/>
      <c r="P463" s="262"/>
    </row>
    <row r="464" spans="1:16" x14ac:dyDescent="0.25">
      <c r="A464" s="210">
        <v>7611</v>
      </c>
      <c r="B464" s="211" t="s">
        <v>102</v>
      </c>
      <c r="C464" s="266">
        <v>0</v>
      </c>
      <c r="D464" s="120">
        <v>0</v>
      </c>
      <c r="E464" s="276">
        <v>0</v>
      </c>
      <c r="F464" s="276">
        <v>0</v>
      </c>
      <c r="G464" s="276">
        <v>0</v>
      </c>
      <c r="H464" s="276">
        <v>0</v>
      </c>
      <c r="I464" s="441">
        <v>0</v>
      </c>
      <c r="J464" s="441">
        <v>0</v>
      </c>
      <c r="K464" s="120">
        <f t="shared" si="22"/>
        <v>0</v>
      </c>
      <c r="L464" s="288">
        <f t="shared" si="23"/>
        <v>0</v>
      </c>
      <c r="M464" s="262"/>
      <c r="N464" s="262"/>
      <c r="O464" s="262"/>
      <c r="P464" s="262"/>
    </row>
    <row r="465" spans="1:16" x14ac:dyDescent="0.25">
      <c r="A465" s="210">
        <v>7612</v>
      </c>
      <c r="B465" s="211" t="s">
        <v>121</v>
      </c>
      <c r="C465" s="266">
        <v>0</v>
      </c>
      <c r="D465" s="120">
        <v>0</v>
      </c>
      <c r="E465" s="276">
        <v>0</v>
      </c>
      <c r="F465" s="276">
        <v>0</v>
      </c>
      <c r="G465" s="276">
        <v>0</v>
      </c>
      <c r="H465" s="276">
        <v>0</v>
      </c>
      <c r="I465" s="441">
        <v>0</v>
      </c>
      <c r="J465" s="441">
        <v>0</v>
      </c>
      <c r="K465" s="120">
        <f t="shared" si="22"/>
        <v>0</v>
      </c>
      <c r="L465" s="288">
        <f t="shared" si="23"/>
        <v>0</v>
      </c>
      <c r="M465" s="262"/>
      <c r="N465" s="262"/>
      <c r="O465" s="262"/>
      <c r="P465" s="262"/>
    </row>
    <row r="466" spans="1:16" x14ac:dyDescent="0.25">
      <c r="A466" s="210">
        <v>7613</v>
      </c>
      <c r="B466" s="211" t="s">
        <v>103</v>
      </c>
      <c r="C466" s="266">
        <v>0</v>
      </c>
      <c r="D466" s="120">
        <v>0</v>
      </c>
      <c r="E466" s="276">
        <v>0</v>
      </c>
      <c r="F466" s="276">
        <v>0</v>
      </c>
      <c r="G466" s="276">
        <v>0</v>
      </c>
      <c r="H466" s="276">
        <v>0</v>
      </c>
      <c r="I466" s="441">
        <v>0</v>
      </c>
      <c r="J466" s="441">
        <v>0</v>
      </c>
      <c r="K466" s="120">
        <f t="shared" si="22"/>
        <v>0</v>
      </c>
      <c r="L466" s="288">
        <f t="shared" si="23"/>
        <v>0</v>
      </c>
      <c r="M466" s="262"/>
      <c r="N466" s="262"/>
      <c r="O466" s="262"/>
      <c r="P466" s="262"/>
    </row>
    <row r="467" spans="1:16" x14ac:dyDescent="0.25">
      <c r="A467" s="210">
        <v>7614</v>
      </c>
      <c r="B467" s="211" t="s">
        <v>108</v>
      </c>
      <c r="C467" s="266">
        <v>0</v>
      </c>
      <c r="D467" s="120">
        <v>0</v>
      </c>
      <c r="E467" s="276">
        <v>0</v>
      </c>
      <c r="F467" s="276">
        <v>0</v>
      </c>
      <c r="G467" s="276">
        <v>0</v>
      </c>
      <c r="H467" s="276">
        <v>0</v>
      </c>
      <c r="I467" s="441">
        <v>0</v>
      </c>
      <c r="J467" s="441">
        <v>0</v>
      </c>
      <c r="K467" s="120">
        <f t="shared" si="22"/>
        <v>0</v>
      </c>
      <c r="L467" s="288">
        <f t="shared" si="23"/>
        <v>0</v>
      </c>
      <c r="M467" s="262"/>
      <c r="N467" s="262"/>
      <c r="O467" s="262"/>
      <c r="P467" s="262"/>
    </row>
    <row r="468" spans="1:16" x14ac:dyDescent="0.25">
      <c r="A468" s="210">
        <v>7615</v>
      </c>
      <c r="B468" s="211" t="s">
        <v>185</v>
      </c>
      <c r="C468" s="266">
        <v>0</v>
      </c>
      <c r="D468" s="120">
        <v>0</v>
      </c>
      <c r="E468" s="276">
        <v>0</v>
      </c>
      <c r="F468" s="276">
        <v>0</v>
      </c>
      <c r="G468" s="276">
        <v>0</v>
      </c>
      <c r="H468" s="276">
        <v>0</v>
      </c>
      <c r="I468" s="441">
        <v>0</v>
      </c>
      <c r="J468" s="441">
        <v>0</v>
      </c>
      <c r="K468" s="120">
        <f t="shared" si="22"/>
        <v>0</v>
      </c>
      <c r="L468" s="288">
        <f t="shared" si="23"/>
        <v>0</v>
      </c>
      <c r="M468" s="262"/>
      <c r="N468" s="262"/>
      <c r="O468" s="262"/>
      <c r="P468" s="262"/>
    </row>
    <row r="469" spans="1:16" x14ac:dyDescent="0.25">
      <c r="A469" s="210">
        <v>7616</v>
      </c>
      <c r="B469" s="211" t="s">
        <v>109</v>
      </c>
      <c r="C469" s="266">
        <v>0</v>
      </c>
      <c r="D469" s="120">
        <v>0</v>
      </c>
      <c r="E469" s="276">
        <v>0</v>
      </c>
      <c r="F469" s="276">
        <v>0</v>
      </c>
      <c r="G469" s="276">
        <v>0</v>
      </c>
      <c r="H469" s="276">
        <v>0</v>
      </c>
      <c r="I469" s="441">
        <v>0</v>
      </c>
      <c r="J469" s="441">
        <v>0</v>
      </c>
      <c r="K469" s="120">
        <f t="shared" si="22"/>
        <v>0</v>
      </c>
      <c r="L469" s="288">
        <f t="shared" si="23"/>
        <v>0</v>
      </c>
      <c r="M469" s="262"/>
      <c r="N469" s="262"/>
      <c r="O469" s="262"/>
      <c r="P469" s="262"/>
    </row>
    <row r="470" spans="1:16" x14ac:dyDescent="0.25">
      <c r="A470" s="210">
        <v>7617</v>
      </c>
      <c r="B470" s="211" t="s">
        <v>186</v>
      </c>
      <c r="C470" s="266">
        <v>0</v>
      </c>
      <c r="D470" s="120">
        <v>0</v>
      </c>
      <c r="E470" s="276">
        <v>0</v>
      </c>
      <c r="F470" s="276">
        <v>0</v>
      </c>
      <c r="G470" s="276">
        <v>0</v>
      </c>
      <c r="H470" s="276">
        <v>0</v>
      </c>
      <c r="I470" s="441">
        <v>0</v>
      </c>
      <c r="J470" s="441">
        <v>0</v>
      </c>
      <c r="K470" s="120">
        <f t="shared" si="22"/>
        <v>0</v>
      </c>
      <c r="L470" s="288">
        <f t="shared" si="23"/>
        <v>0</v>
      </c>
      <c r="M470" s="262"/>
      <c r="N470" s="262"/>
      <c r="O470" s="262"/>
      <c r="P470" s="262"/>
    </row>
    <row r="471" spans="1:16" x14ac:dyDescent="0.25">
      <c r="A471" s="210">
        <v>7618</v>
      </c>
      <c r="B471" s="211" t="s">
        <v>187</v>
      </c>
      <c r="C471" s="266">
        <v>0</v>
      </c>
      <c r="D471" s="120">
        <v>0</v>
      </c>
      <c r="E471" s="276">
        <v>0</v>
      </c>
      <c r="F471" s="276">
        <v>0</v>
      </c>
      <c r="G471" s="276">
        <v>0</v>
      </c>
      <c r="H471" s="276">
        <v>0</v>
      </c>
      <c r="I471" s="441">
        <v>0</v>
      </c>
      <c r="J471" s="441">
        <v>0</v>
      </c>
      <c r="K471" s="120">
        <f t="shared" si="22"/>
        <v>0</v>
      </c>
      <c r="L471" s="288">
        <f t="shared" si="23"/>
        <v>0</v>
      </c>
      <c r="M471" s="262"/>
      <c r="N471" s="262"/>
      <c r="O471" s="262"/>
      <c r="P471" s="262"/>
    </row>
    <row r="472" spans="1:16" x14ac:dyDescent="0.25">
      <c r="A472" s="210">
        <v>7619</v>
      </c>
      <c r="B472" s="211" t="s">
        <v>188</v>
      </c>
      <c r="C472" s="266">
        <v>0</v>
      </c>
      <c r="D472" s="120">
        <v>0</v>
      </c>
      <c r="E472" s="276">
        <v>0</v>
      </c>
      <c r="F472" s="276">
        <v>0</v>
      </c>
      <c r="G472" s="276">
        <v>0</v>
      </c>
      <c r="H472" s="276">
        <v>0</v>
      </c>
      <c r="I472" s="441">
        <v>0</v>
      </c>
      <c r="J472" s="441">
        <v>0</v>
      </c>
      <c r="K472" s="120">
        <f t="shared" si="22"/>
        <v>0</v>
      </c>
      <c r="L472" s="288">
        <f t="shared" si="23"/>
        <v>0</v>
      </c>
      <c r="M472" s="262"/>
      <c r="N472" s="262"/>
      <c r="O472" s="262"/>
      <c r="P472" s="262"/>
    </row>
    <row r="473" spans="1:16" x14ac:dyDescent="0.25">
      <c r="A473" s="210">
        <v>7620</v>
      </c>
      <c r="B473" s="211" t="s">
        <v>191</v>
      </c>
      <c r="C473" s="266">
        <v>0</v>
      </c>
      <c r="D473" s="120">
        <v>0</v>
      </c>
      <c r="E473" s="276">
        <v>0</v>
      </c>
      <c r="F473" s="276">
        <v>0</v>
      </c>
      <c r="G473" s="276">
        <v>0</v>
      </c>
      <c r="H473" s="276">
        <v>0</v>
      </c>
      <c r="I473" s="441">
        <v>0</v>
      </c>
      <c r="J473" s="441">
        <v>0</v>
      </c>
      <c r="K473" s="120">
        <f t="shared" si="22"/>
        <v>0</v>
      </c>
      <c r="L473" s="288">
        <f t="shared" si="23"/>
        <v>0</v>
      </c>
      <c r="M473" s="262"/>
      <c r="N473" s="262"/>
      <c r="O473" s="262"/>
      <c r="P473" s="262"/>
    </row>
    <row r="474" spans="1:16" x14ac:dyDescent="0.25">
      <c r="A474" s="210">
        <v>7621</v>
      </c>
      <c r="B474" s="211" t="s">
        <v>110</v>
      </c>
      <c r="C474" s="266">
        <v>0</v>
      </c>
      <c r="D474" s="120">
        <v>0</v>
      </c>
      <c r="E474" s="276">
        <v>0</v>
      </c>
      <c r="F474" s="276">
        <v>0</v>
      </c>
      <c r="G474" s="276">
        <v>0</v>
      </c>
      <c r="H474" s="276">
        <v>0</v>
      </c>
      <c r="I474" s="441">
        <v>0</v>
      </c>
      <c r="J474" s="441">
        <v>0</v>
      </c>
      <c r="K474" s="120">
        <f t="shared" si="22"/>
        <v>0</v>
      </c>
      <c r="L474" s="288">
        <f t="shared" si="23"/>
        <v>0</v>
      </c>
      <c r="M474" s="262"/>
      <c r="N474" s="262"/>
      <c r="O474" s="262"/>
      <c r="P474" s="262"/>
    </row>
    <row r="475" spans="1:16" x14ac:dyDescent="0.25">
      <c r="A475" s="210">
        <v>7622</v>
      </c>
      <c r="B475" s="211" t="s">
        <v>129</v>
      </c>
      <c r="C475" s="266">
        <v>0</v>
      </c>
      <c r="D475" s="120">
        <v>0</v>
      </c>
      <c r="E475" s="276">
        <v>0</v>
      </c>
      <c r="F475" s="276">
        <v>0</v>
      </c>
      <c r="G475" s="276">
        <v>0</v>
      </c>
      <c r="H475" s="276">
        <v>0</v>
      </c>
      <c r="I475" s="441">
        <v>0</v>
      </c>
      <c r="J475" s="441">
        <v>0</v>
      </c>
      <c r="K475" s="120">
        <f t="shared" si="22"/>
        <v>0</v>
      </c>
      <c r="L475" s="288">
        <f t="shared" si="23"/>
        <v>0</v>
      </c>
      <c r="M475" s="262"/>
      <c r="N475" s="262"/>
      <c r="O475" s="262"/>
      <c r="P475" s="262"/>
    </row>
    <row r="476" spans="1:16" x14ac:dyDescent="0.25">
      <c r="A476" s="210">
        <v>7623</v>
      </c>
      <c r="B476" s="211" t="s">
        <v>77</v>
      </c>
      <c r="C476" s="266">
        <v>0</v>
      </c>
      <c r="D476" s="120">
        <v>0</v>
      </c>
      <c r="E476" s="276">
        <v>0</v>
      </c>
      <c r="F476" s="276">
        <v>0</v>
      </c>
      <c r="G476" s="276">
        <v>0</v>
      </c>
      <c r="H476" s="276">
        <v>0</v>
      </c>
      <c r="I476" s="441">
        <v>0</v>
      </c>
      <c r="J476" s="441">
        <v>0</v>
      </c>
      <c r="K476" s="120">
        <f t="shared" si="22"/>
        <v>0</v>
      </c>
      <c r="L476" s="288">
        <f t="shared" si="23"/>
        <v>0</v>
      </c>
      <c r="M476" s="262"/>
      <c r="N476" s="262"/>
      <c r="O476" s="262"/>
      <c r="P476" s="262"/>
    </row>
    <row r="477" spans="1:16" x14ac:dyDescent="0.25">
      <c r="A477" s="210">
        <v>7624</v>
      </c>
      <c r="B477" s="211" t="s">
        <v>234</v>
      </c>
      <c r="C477" s="266">
        <v>0</v>
      </c>
      <c r="D477" s="120">
        <v>0</v>
      </c>
      <c r="E477" s="276">
        <v>0</v>
      </c>
      <c r="F477" s="276">
        <v>0</v>
      </c>
      <c r="G477" s="276">
        <v>0</v>
      </c>
      <c r="H477" s="276">
        <v>0</v>
      </c>
      <c r="I477" s="441">
        <v>0</v>
      </c>
      <c r="J477" s="441">
        <v>0</v>
      </c>
      <c r="K477" s="120">
        <f t="shared" si="22"/>
        <v>0</v>
      </c>
      <c r="L477" s="288">
        <f t="shared" si="23"/>
        <v>0</v>
      </c>
      <c r="M477" s="262"/>
      <c r="N477" s="262"/>
      <c r="O477" s="262"/>
      <c r="P477" s="262"/>
    </row>
    <row r="478" spans="1:16" x14ac:dyDescent="0.25">
      <c r="A478" s="210">
        <v>7625</v>
      </c>
      <c r="B478" s="211" t="s">
        <v>107</v>
      </c>
      <c r="C478" s="266">
        <v>0</v>
      </c>
      <c r="D478" s="120">
        <v>0</v>
      </c>
      <c r="E478" s="276">
        <v>0</v>
      </c>
      <c r="F478" s="276">
        <v>0</v>
      </c>
      <c r="G478" s="276">
        <v>0</v>
      </c>
      <c r="H478" s="276">
        <v>0</v>
      </c>
      <c r="I478" s="441">
        <v>0</v>
      </c>
      <c r="J478" s="441">
        <v>0</v>
      </c>
      <c r="K478" s="120">
        <f t="shared" si="22"/>
        <v>0</v>
      </c>
      <c r="L478" s="288">
        <f t="shared" si="23"/>
        <v>0</v>
      </c>
      <c r="M478" s="262"/>
      <c r="N478" s="262"/>
      <c r="O478" s="262"/>
      <c r="P478" s="262"/>
    </row>
    <row r="479" spans="1:16" x14ac:dyDescent="0.25">
      <c r="A479" s="210">
        <v>7626</v>
      </c>
      <c r="B479" s="211" t="s">
        <v>112</v>
      </c>
      <c r="C479" s="266">
        <v>0</v>
      </c>
      <c r="D479" s="120">
        <v>0</v>
      </c>
      <c r="E479" s="276">
        <v>0</v>
      </c>
      <c r="F479" s="276">
        <v>0</v>
      </c>
      <c r="G479" s="276">
        <v>0</v>
      </c>
      <c r="H479" s="276">
        <v>0</v>
      </c>
      <c r="I479" s="441">
        <v>0</v>
      </c>
      <c r="J479" s="441">
        <v>0</v>
      </c>
      <c r="K479" s="120">
        <f t="shared" si="22"/>
        <v>0</v>
      </c>
      <c r="L479" s="288">
        <f t="shared" si="23"/>
        <v>0</v>
      </c>
      <c r="M479" s="262"/>
      <c r="N479" s="262"/>
      <c r="O479" s="262"/>
      <c r="P479" s="262"/>
    </row>
    <row r="480" spans="1:16" x14ac:dyDescent="0.25">
      <c r="A480" s="210">
        <v>7627</v>
      </c>
      <c r="B480" s="211" t="s">
        <v>104</v>
      </c>
      <c r="C480" s="266">
        <v>0</v>
      </c>
      <c r="D480" s="120">
        <v>0</v>
      </c>
      <c r="E480" s="276">
        <v>0</v>
      </c>
      <c r="F480" s="276">
        <v>0</v>
      </c>
      <c r="G480" s="276">
        <v>0</v>
      </c>
      <c r="H480" s="276">
        <v>0</v>
      </c>
      <c r="I480" s="441">
        <v>0</v>
      </c>
      <c r="J480" s="441">
        <v>0</v>
      </c>
      <c r="K480" s="120">
        <f t="shared" si="22"/>
        <v>0</v>
      </c>
      <c r="L480" s="288">
        <f t="shared" si="23"/>
        <v>0</v>
      </c>
      <c r="M480" s="262"/>
      <c r="N480" s="262"/>
      <c r="O480" s="262"/>
      <c r="P480" s="262"/>
    </row>
    <row r="481" spans="1:16" x14ac:dyDescent="0.25">
      <c r="A481" s="210">
        <v>7628</v>
      </c>
      <c r="B481" s="211" t="s">
        <v>235</v>
      </c>
      <c r="C481" s="266">
        <v>0</v>
      </c>
      <c r="D481" s="120">
        <v>0</v>
      </c>
      <c r="E481" s="276">
        <v>0</v>
      </c>
      <c r="F481" s="276">
        <v>0</v>
      </c>
      <c r="G481" s="276">
        <v>0</v>
      </c>
      <c r="H481" s="276">
        <v>0</v>
      </c>
      <c r="I481" s="441">
        <v>0</v>
      </c>
      <c r="J481" s="441">
        <v>0</v>
      </c>
      <c r="K481" s="120">
        <f t="shared" si="22"/>
        <v>0</v>
      </c>
      <c r="L481" s="288">
        <f t="shared" si="23"/>
        <v>0</v>
      </c>
      <c r="M481" s="262"/>
      <c r="N481" s="262"/>
      <c r="O481" s="262"/>
      <c r="P481" s="262"/>
    </row>
    <row r="482" spans="1:16" x14ac:dyDescent="0.25">
      <c r="A482" s="210">
        <v>7629</v>
      </c>
      <c r="B482" s="211" t="s">
        <v>121</v>
      </c>
      <c r="C482" s="266">
        <v>0</v>
      </c>
      <c r="D482" s="120">
        <v>0</v>
      </c>
      <c r="E482" s="276">
        <v>0</v>
      </c>
      <c r="F482" s="276">
        <v>0</v>
      </c>
      <c r="G482" s="276">
        <v>0</v>
      </c>
      <c r="H482" s="276">
        <v>0</v>
      </c>
      <c r="I482" s="441">
        <v>0</v>
      </c>
      <c r="J482" s="441">
        <v>0</v>
      </c>
      <c r="K482" s="120">
        <f t="shared" si="22"/>
        <v>0</v>
      </c>
      <c r="L482" s="288">
        <f t="shared" si="23"/>
        <v>0</v>
      </c>
      <c r="M482" s="262"/>
      <c r="N482" s="262"/>
      <c r="O482" s="262"/>
      <c r="P482" s="262"/>
    </row>
    <row r="483" spans="1:16" x14ac:dyDescent="0.25">
      <c r="A483" s="210">
        <v>7630</v>
      </c>
      <c r="B483" s="211" t="s">
        <v>136</v>
      </c>
      <c r="C483" s="266">
        <v>0</v>
      </c>
      <c r="D483" s="120">
        <v>0</v>
      </c>
      <c r="E483" s="276">
        <v>0</v>
      </c>
      <c r="F483" s="276">
        <v>0</v>
      </c>
      <c r="G483" s="276">
        <v>0</v>
      </c>
      <c r="H483" s="276">
        <v>0</v>
      </c>
      <c r="I483" s="441">
        <v>0</v>
      </c>
      <c r="J483" s="441">
        <v>0</v>
      </c>
      <c r="K483" s="120">
        <f t="shared" si="22"/>
        <v>0</v>
      </c>
      <c r="L483" s="288">
        <f t="shared" si="23"/>
        <v>0</v>
      </c>
      <c r="M483" s="262"/>
      <c r="N483" s="262"/>
      <c r="O483" s="262"/>
      <c r="P483" s="262"/>
    </row>
    <row r="484" spans="1:16" x14ac:dyDescent="0.25">
      <c r="A484" s="210">
        <v>7631</v>
      </c>
      <c r="B484" s="211" t="s">
        <v>117</v>
      </c>
      <c r="C484" s="266">
        <v>0</v>
      </c>
      <c r="D484" s="120">
        <v>0</v>
      </c>
      <c r="E484" s="276">
        <v>0</v>
      </c>
      <c r="F484" s="276">
        <v>0</v>
      </c>
      <c r="G484" s="276">
        <v>0</v>
      </c>
      <c r="H484" s="276">
        <v>0</v>
      </c>
      <c r="I484" s="441">
        <v>0</v>
      </c>
      <c r="J484" s="441">
        <v>0</v>
      </c>
      <c r="K484" s="120">
        <f t="shared" si="22"/>
        <v>0</v>
      </c>
      <c r="L484" s="288">
        <f t="shared" si="23"/>
        <v>0</v>
      </c>
      <c r="M484" s="262"/>
      <c r="N484" s="262"/>
      <c r="O484" s="262"/>
      <c r="P484" s="262"/>
    </row>
    <row r="485" spans="1:16" x14ac:dyDescent="0.25">
      <c r="A485" s="210">
        <v>7632</v>
      </c>
      <c r="B485" s="211" t="s">
        <v>116</v>
      </c>
      <c r="C485" s="266">
        <v>0</v>
      </c>
      <c r="D485" s="120">
        <v>0</v>
      </c>
      <c r="E485" s="276">
        <v>0</v>
      </c>
      <c r="F485" s="276">
        <v>0</v>
      </c>
      <c r="G485" s="276">
        <v>0</v>
      </c>
      <c r="H485" s="276">
        <v>0</v>
      </c>
      <c r="I485" s="441">
        <v>0</v>
      </c>
      <c r="J485" s="441">
        <v>0</v>
      </c>
      <c r="K485" s="120">
        <f t="shared" si="22"/>
        <v>0</v>
      </c>
      <c r="L485" s="288">
        <f t="shared" si="23"/>
        <v>0</v>
      </c>
      <c r="M485" s="262"/>
      <c r="N485" s="262"/>
      <c r="O485" s="262"/>
      <c r="P485" s="262"/>
    </row>
    <row r="486" spans="1:16" x14ac:dyDescent="0.25">
      <c r="A486" s="210">
        <v>7633</v>
      </c>
      <c r="B486" s="211" t="s">
        <v>114</v>
      </c>
      <c r="C486" s="266">
        <v>0</v>
      </c>
      <c r="D486" s="120">
        <v>0</v>
      </c>
      <c r="E486" s="276">
        <v>0</v>
      </c>
      <c r="F486" s="276">
        <v>0</v>
      </c>
      <c r="G486" s="276">
        <v>0</v>
      </c>
      <c r="H486" s="276">
        <v>0</v>
      </c>
      <c r="I486" s="441">
        <v>0</v>
      </c>
      <c r="J486" s="441">
        <v>0</v>
      </c>
      <c r="K486" s="120">
        <f t="shared" si="22"/>
        <v>0</v>
      </c>
      <c r="L486" s="288">
        <f t="shared" si="23"/>
        <v>0</v>
      </c>
      <c r="M486" s="262"/>
      <c r="N486" s="262"/>
      <c r="O486" s="262"/>
      <c r="P486" s="262"/>
    </row>
    <row r="487" spans="1:16" x14ac:dyDescent="0.25">
      <c r="A487" s="210">
        <v>7634</v>
      </c>
      <c r="B487" s="211" t="s">
        <v>55</v>
      </c>
      <c r="C487" s="266">
        <v>0</v>
      </c>
      <c r="D487" s="120">
        <v>0</v>
      </c>
      <c r="E487" s="276">
        <v>0</v>
      </c>
      <c r="F487" s="276">
        <v>0</v>
      </c>
      <c r="G487" s="276">
        <v>0</v>
      </c>
      <c r="H487" s="276">
        <v>0</v>
      </c>
      <c r="I487" s="441">
        <v>0</v>
      </c>
      <c r="J487" s="441">
        <v>0</v>
      </c>
      <c r="K487" s="120">
        <f t="shared" si="22"/>
        <v>0</v>
      </c>
      <c r="L487" s="288">
        <f t="shared" si="23"/>
        <v>0</v>
      </c>
      <c r="M487" s="262"/>
      <c r="N487" s="262"/>
      <c r="O487" s="262"/>
      <c r="P487" s="262"/>
    </row>
    <row r="488" spans="1:16" x14ac:dyDescent="0.25">
      <c r="A488" s="210">
        <v>7635</v>
      </c>
      <c r="B488" s="211" t="s">
        <v>119</v>
      </c>
      <c r="C488" s="266">
        <v>0</v>
      </c>
      <c r="D488" s="120">
        <v>0</v>
      </c>
      <c r="E488" s="276">
        <v>0</v>
      </c>
      <c r="F488" s="276">
        <v>0</v>
      </c>
      <c r="G488" s="276">
        <v>0</v>
      </c>
      <c r="H488" s="276">
        <v>0</v>
      </c>
      <c r="I488" s="441">
        <v>0</v>
      </c>
      <c r="J488" s="441">
        <v>0</v>
      </c>
      <c r="K488" s="120">
        <f t="shared" si="22"/>
        <v>0</v>
      </c>
      <c r="L488" s="288">
        <f t="shared" si="23"/>
        <v>0</v>
      </c>
      <c r="M488" s="262"/>
      <c r="N488" s="262"/>
      <c r="O488" s="262"/>
      <c r="P488" s="262"/>
    </row>
    <row r="489" spans="1:16" x14ac:dyDescent="0.25">
      <c r="A489" s="210">
        <v>7636</v>
      </c>
      <c r="B489" s="211" t="s">
        <v>145</v>
      </c>
      <c r="C489" s="266">
        <v>0</v>
      </c>
      <c r="D489" s="120">
        <v>0</v>
      </c>
      <c r="E489" s="276">
        <v>0</v>
      </c>
      <c r="F489" s="276">
        <v>0</v>
      </c>
      <c r="G489" s="276">
        <v>0</v>
      </c>
      <c r="H489" s="276">
        <v>0</v>
      </c>
      <c r="I489" s="441">
        <v>0</v>
      </c>
      <c r="J489" s="441">
        <v>0</v>
      </c>
      <c r="K489" s="120">
        <f t="shared" si="22"/>
        <v>0</v>
      </c>
      <c r="L489" s="288">
        <f t="shared" si="23"/>
        <v>0</v>
      </c>
      <c r="M489" s="262"/>
      <c r="N489" s="262"/>
      <c r="O489" s="262"/>
      <c r="P489" s="262"/>
    </row>
    <row r="490" spans="1:16" x14ac:dyDescent="0.25">
      <c r="A490" s="210">
        <v>7637</v>
      </c>
      <c r="B490" s="211" t="s">
        <v>65</v>
      </c>
      <c r="C490" s="266">
        <v>0</v>
      </c>
      <c r="D490" s="120">
        <v>0</v>
      </c>
      <c r="E490" s="276">
        <v>0</v>
      </c>
      <c r="F490" s="276">
        <v>0</v>
      </c>
      <c r="G490" s="276">
        <v>0</v>
      </c>
      <c r="H490" s="276">
        <v>0</v>
      </c>
      <c r="I490" s="441">
        <v>0</v>
      </c>
      <c r="J490" s="441">
        <v>0</v>
      </c>
      <c r="K490" s="120">
        <f t="shared" si="22"/>
        <v>0</v>
      </c>
      <c r="L490" s="288">
        <f t="shared" si="23"/>
        <v>0</v>
      </c>
      <c r="M490" s="262"/>
      <c r="N490" s="262"/>
      <c r="O490" s="262"/>
      <c r="P490" s="262"/>
    </row>
    <row r="491" spans="1:16" x14ac:dyDescent="0.25">
      <c r="A491" s="210">
        <v>7638</v>
      </c>
      <c r="B491" s="211" t="s">
        <v>120</v>
      </c>
      <c r="C491" s="266">
        <v>0</v>
      </c>
      <c r="D491" s="120">
        <v>0</v>
      </c>
      <c r="E491" s="276">
        <v>0</v>
      </c>
      <c r="F491" s="276">
        <v>0</v>
      </c>
      <c r="G491" s="276">
        <v>0</v>
      </c>
      <c r="H491" s="276">
        <v>0</v>
      </c>
      <c r="I491" s="441">
        <v>0</v>
      </c>
      <c r="J491" s="441">
        <v>0</v>
      </c>
      <c r="K491" s="120">
        <f t="shared" si="22"/>
        <v>0</v>
      </c>
      <c r="L491" s="288">
        <f t="shared" si="23"/>
        <v>0</v>
      </c>
      <c r="M491" s="262"/>
      <c r="N491" s="262"/>
      <c r="O491" s="262"/>
      <c r="P491" s="262"/>
    </row>
    <row r="492" spans="1:16" ht="30" x14ac:dyDescent="0.25">
      <c r="A492" s="210">
        <v>7639</v>
      </c>
      <c r="B492" s="211" t="s">
        <v>216</v>
      </c>
      <c r="C492" s="266">
        <v>0</v>
      </c>
      <c r="D492" s="120">
        <v>0</v>
      </c>
      <c r="E492" s="276">
        <v>0</v>
      </c>
      <c r="F492" s="276">
        <v>0</v>
      </c>
      <c r="G492" s="276">
        <v>0</v>
      </c>
      <c r="H492" s="276">
        <v>0</v>
      </c>
      <c r="I492" s="441">
        <v>0</v>
      </c>
      <c r="J492" s="441">
        <v>0</v>
      </c>
      <c r="K492" s="120">
        <f t="shared" si="22"/>
        <v>0</v>
      </c>
      <c r="L492" s="288">
        <f t="shared" si="23"/>
        <v>0</v>
      </c>
      <c r="M492" s="262"/>
      <c r="N492" s="262"/>
      <c r="O492" s="262"/>
      <c r="P492" s="262"/>
    </row>
    <row r="493" spans="1:16" ht="30" x14ac:dyDescent="0.25">
      <c r="A493" s="204">
        <v>7699</v>
      </c>
      <c r="B493" s="205" t="s">
        <v>217</v>
      </c>
      <c r="C493" s="269">
        <v>0</v>
      </c>
      <c r="D493" s="241">
        <v>0</v>
      </c>
      <c r="E493" s="275">
        <v>0</v>
      </c>
      <c r="F493" s="275">
        <v>0</v>
      </c>
      <c r="G493" s="275">
        <v>0</v>
      </c>
      <c r="H493" s="275">
        <v>0</v>
      </c>
      <c r="I493" s="440">
        <v>0</v>
      </c>
      <c r="J493" s="440">
        <v>0</v>
      </c>
      <c r="K493" s="209">
        <f t="shared" si="22"/>
        <v>0</v>
      </c>
      <c r="L493" s="287">
        <f t="shared" si="23"/>
        <v>0</v>
      </c>
      <c r="M493" s="262"/>
      <c r="N493" s="262"/>
      <c r="O493" s="262"/>
      <c r="P493" s="262"/>
    </row>
    <row r="494" spans="1:16" ht="22.5" customHeight="1" x14ac:dyDescent="0.25">
      <c r="A494" s="456" t="s">
        <v>3</v>
      </c>
      <c r="B494" s="457"/>
      <c r="C494" s="198">
        <f t="shared" ref="C494:J494" si="24">SUM(C9:C493)</f>
        <v>485</v>
      </c>
      <c r="D494" s="198">
        <f t="shared" si="24"/>
        <v>17</v>
      </c>
      <c r="E494" s="197">
        <f>SUM(E9:E493)</f>
        <v>0</v>
      </c>
      <c r="F494" s="197">
        <f t="shared" si="24"/>
        <v>0</v>
      </c>
      <c r="G494" s="292">
        <f t="shared" si="24"/>
        <v>0</v>
      </c>
      <c r="H494" s="293">
        <f t="shared" si="24"/>
        <v>0</v>
      </c>
      <c r="I494" s="197">
        <f t="shared" si="24"/>
        <v>0</v>
      </c>
      <c r="J494" s="242">
        <f t="shared" si="24"/>
        <v>0</v>
      </c>
      <c r="K494" s="272">
        <f t="shared" si="22"/>
        <v>485</v>
      </c>
      <c r="L494" s="294">
        <f t="shared" si="23"/>
        <v>17</v>
      </c>
      <c r="M494" s="273"/>
      <c r="N494" s="273"/>
    </row>
  </sheetData>
  <mergeCells count="13">
    <mergeCell ref="A7:B7"/>
    <mergeCell ref="A494:B494"/>
    <mergeCell ref="A5:A6"/>
    <mergeCell ref="B5:B6"/>
    <mergeCell ref="A1:L1"/>
    <mergeCell ref="A2:L2"/>
    <mergeCell ref="A3:L3"/>
    <mergeCell ref="A4:L4"/>
    <mergeCell ref="C5:D5"/>
    <mergeCell ref="E5:F5"/>
    <mergeCell ref="G5:H5"/>
    <mergeCell ref="I5:J5"/>
    <mergeCell ref="K5:L5"/>
  </mergeCells>
  <printOptions horizontalCentered="1"/>
  <pageMargins left="0.235416666666667" right="0" top="0.39305555555555599" bottom="0.35416666666666702" header="0.31388888888888899" footer="0.31388888888888899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393"/>
  <sheetViews>
    <sheetView view="pageBreakPreview" topLeftCell="A207" zoomScaleNormal="100" workbookViewId="0">
      <selection activeCell="I219" sqref="I219"/>
    </sheetView>
  </sheetViews>
  <sheetFormatPr defaultColWidth="9.140625" defaultRowHeight="15" x14ac:dyDescent="0.25"/>
  <cols>
    <col min="1" max="1" width="8.7109375" customWidth="1"/>
    <col min="2" max="2" width="36.5703125" customWidth="1"/>
    <col min="3" max="12" width="7.140625" customWidth="1"/>
    <col min="16" max="17" width="12.85546875"/>
  </cols>
  <sheetData>
    <row r="1" spans="1:22" ht="19.5" customHeight="1" x14ac:dyDescent="0.3">
      <c r="A1" s="462" t="s">
        <v>633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</row>
    <row r="2" spans="1:22" ht="19.5" customHeight="1" x14ac:dyDescent="0.3">
      <c r="A2" s="462" t="s">
        <v>634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22" ht="18.75" customHeight="1" x14ac:dyDescent="0.3">
      <c r="A3" s="474" t="str">
        <f>'ipk3.4'!A3</f>
        <v>PADA TANGGAL : 1 AGUSTUS 2025 s/d  31 AGUSTUS 2025</v>
      </c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</row>
    <row r="4" spans="1:22" x14ac:dyDescent="0.25">
      <c r="A4" s="464"/>
      <c r="B4" s="464"/>
      <c r="C4" s="464"/>
      <c r="D4" s="464"/>
      <c r="E4" s="464"/>
      <c r="F4" s="464"/>
      <c r="G4" s="464"/>
      <c r="H4" s="464"/>
      <c r="I4" s="464"/>
      <c r="J4" s="464"/>
      <c r="K4" s="464"/>
      <c r="L4" s="464"/>
    </row>
    <row r="5" spans="1:22" ht="37.5" customHeight="1" x14ac:dyDescent="0.25">
      <c r="A5" s="453" t="s">
        <v>31</v>
      </c>
      <c r="B5" s="453" t="s">
        <v>242</v>
      </c>
      <c r="C5" s="456" t="s">
        <v>33</v>
      </c>
      <c r="D5" s="457"/>
      <c r="E5" s="456" t="s">
        <v>34</v>
      </c>
      <c r="F5" s="457"/>
      <c r="G5" s="456" t="s">
        <v>35</v>
      </c>
      <c r="H5" s="457"/>
      <c r="I5" s="456" t="s">
        <v>243</v>
      </c>
      <c r="J5" s="457"/>
      <c r="K5" s="456" t="s">
        <v>37</v>
      </c>
      <c r="L5" s="457"/>
    </row>
    <row r="6" spans="1:22" x14ac:dyDescent="0.25">
      <c r="A6" s="455"/>
      <c r="B6" s="455"/>
      <c r="C6" s="198" t="s">
        <v>9</v>
      </c>
      <c r="D6" s="198" t="s">
        <v>20</v>
      </c>
      <c r="E6" s="198" t="s">
        <v>9</v>
      </c>
      <c r="F6" s="198" t="s">
        <v>20</v>
      </c>
      <c r="G6" s="198" t="s">
        <v>9</v>
      </c>
      <c r="H6" s="198" t="s">
        <v>20</v>
      </c>
      <c r="I6" s="198" t="s">
        <v>9</v>
      </c>
      <c r="J6" s="198" t="s">
        <v>20</v>
      </c>
      <c r="K6" s="198" t="s">
        <v>9</v>
      </c>
      <c r="L6" s="198" t="s">
        <v>20</v>
      </c>
    </row>
    <row r="7" spans="1:22" x14ac:dyDescent="0.25">
      <c r="A7" s="476">
        <v>1</v>
      </c>
      <c r="B7" s="478"/>
      <c r="C7" s="199">
        <v>2</v>
      </c>
      <c r="D7" s="199">
        <v>3</v>
      </c>
      <c r="E7" s="199">
        <v>4</v>
      </c>
      <c r="F7" s="199">
        <v>5</v>
      </c>
      <c r="G7" s="199">
        <v>6</v>
      </c>
      <c r="H7" s="199">
        <v>7</v>
      </c>
      <c r="I7" s="199">
        <v>8</v>
      </c>
      <c r="J7" s="199">
        <v>9</v>
      </c>
      <c r="K7" s="199">
        <v>10</v>
      </c>
      <c r="L7" s="219">
        <v>11</v>
      </c>
    </row>
    <row r="8" spans="1:22" ht="30.75" thickBot="1" x14ac:dyDescent="0.3">
      <c r="A8" s="200">
        <v>0</v>
      </c>
      <c r="B8" s="248" t="s">
        <v>244</v>
      </c>
      <c r="C8" s="202"/>
      <c r="D8" s="202"/>
      <c r="E8" s="202"/>
      <c r="F8" s="203"/>
      <c r="G8" s="203"/>
      <c r="H8" s="203"/>
      <c r="I8" s="203"/>
      <c r="J8" s="203"/>
      <c r="K8" s="203"/>
      <c r="L8" s="261"/>
    </row>
    <row r="9" spans="1:22" ht="15.75" thickBot="1" x14ac:dyDescent="0.3">
      <c r="A9" s="249">
        <v>110</v>
      </c>
      <c r="B9" s="250" t="s">
        <v>245</v>
      </c>
      <c r="C9" s="251">
        <v>0</v>
      </c>
      <c r="D9" s="252">
        <v>0</v>
      </c>
      <c r="E9" s="253">
        <v>0</v>
      </c>
      <c r="F9" s="209">
        <v>0</v>
      </c>
      <c r="G9" s="209">
        <v>0</v>
      </c>
      <c r="H9" s="209">
        <v>0</v>
      </c>
      <c r="I9" s="253">
        <v>0</v>
      </c>
      <c r="J9" s="209">
        <v>0</v>
      </c>
      <c r="K9" s="209">
        <f>C9+E9-G9-I9</f>
        <v>0</v>
      </c>
      <c r="L9" s="209">
        <f t="shared" ref="L9" si="0">D9+F9-H9-J9</f>
        <v>0</v>
      </c>
      <c r="M9" s="262"/>
      <c r="N9" s="262"/>
      <c r="O9" s="262"/>
      <c r="P9" s="263"/>
      <c r="Q9" s="263"/>
      <c r="R9" s="263"/>
    </row>
    <row r="10" spans="1:22" ht="30.75" thickBot="1" x14ac:dyDescent="0.3">
      <c r="A10" s="254">
        <v>1</v>
      </c>
      <c r="B10" s="255" t="s">
        <v>246</v>
      </c>
      <c r="C10" s="426"/>
      <c r="D10" s="427"/>
      <c r="E10" s="427"/>
      <c r="F10" s="226"/>
      <c r="G10" s="226"/>
      <c r="H10" s="226"/>
      <c r="I10" s="226"/>
      <c r="J10" s="226"/>
      <c r="K10" s="226"/>
      <c r="L10" s="264"/>
      <c r="N10" s="1"/>
      <c r="O10" s="1"/>
      <c r="P10" s="263"/>
      <c r="Q10" s="263"/>
      <c r="R10" s="263"/>
    </row>
    <row r="11" spans="1:22" x14ac:dyDescent="0.25">
      <c r="A11" s="204">
        <v>1110</v>
      </c>
      <c r="B11" s="205" t="s">
        <v>247</v>
      </c>
      <c r="C11" s="256">
        <v>0</v>
      </c>
      <c r="D11" s="257">
        <v>0</v>
      </c>
      <c r="E11" s="209">
        <v>0</v>
      </c>
      <c r="F11" s="209">
        <v>0</v>
      </c>
      <c r="G11" s="209">
        <v>0</v>
      </c>
      <c r="H11" s="209">
        <v>0</v>
      </c>
      <c r="I11" s="209">
        <v>0</v>
      </c>
      <c r="J11" s="209">
        <v>0</v>
      </c>
      <c r="K11" s="221">
        <f t="shared" ref="K11:K39" si="1">C11+E11-G11-I11</f>
        <v>0</v>
      </c>
      <c r="L11" s="265">
        <f t="shared" ref="L11:L39" si="2">D11+F11-H11-J11</f>
        <v>0</v>
      </c>
      <c r="M11" s="262"/>
      <c r="N11" s="262"/>
      <c r="O11" s="262"/>
      <c r="P11" s="263"/>
      <c r="Q11" s="263"/>
      <c r="R11" s="263"/>
    </row>
    <row r="12" spans="1:22" x14ac:dyDescent="0.25">
      <c r="A12" s="210">
        <v>1120</v>
      </c>
      <c r="B12" s="211" t="s">
        <v>248</v>
      </c>
      <c r="C12" s="258">
        <v>0</v>
      </c>
      <c r="D12" s="259">
        <v>0</v>
      </c>
      <c r="E12" s="120">
        <v>0</v>
      </c>
      <c r="F12" s="120">
        <v>0</v>
      </c>
      <c r="G12" s="120">
        <v>0</v>
      </c>
      <c r="H12" s="120">
        <v>0</v>
      </c>
      <c r="I12" s="120">
        <v>0</v>
      </c>
      <c r="J12" s="120">
        <v>0</v>
      </c>
      <c r="K12" s="223">
        <f t="shared" si="1"/>
        <v>0</v>
      </c>
      <c r="L12" s="266">
        <f t="shared" si="2"/>
        <v>0</v>
      </c>
      <c r="M12" s="262"/>
      <c r="N12" s="262"/>
      <c r="O12" s="262"/>
      <c r="P12" s="263"/>
      <c r="Q12" s="263"/>
      <c r="R12" s="263"/>
    </row>
    <row r="13" spans="1:22" x14ac:dyDescent="0.25">
      <c r="A13" s="210">
        <v>1130</v>
      </c>
      <c r="B13" s="211" t="s">
        <v>249</v>
      </c>
      <c r="C13" s="258">
        <v>0</v>
      </c>
      <c r="D13" s="259">
        <v>0</v>
      </c>
      <c r="E13" s="120">
        <v>0</v>
      </c>
      <c r="F13" s="120">
        <v>0</v>
      </c>
      <c r="G13" s="120">
        <v>0</v>
      </c>
      <c r="H13" s="120">
        <v>0</v>
      </c>
      <c r="I13" s="120">
        <v>0</v>
      </c>
      <c r="J13" s="120">
        <v>0</v>
      </c>
      <c r="K13" s="223">
        <f t="shared" si="1"/>
        <v>0</v>
      </c>
      <c r="L13" s="266">
        <f t="shared" si="2"/>
        <v>0</v>
      </c>
      <c r="M13" s="262"/>
      <c r="N13" s="262"/>
      <c r="O13" s="262"/>
      <c r="P13" s="263"/>
      <c r="Q13" s="263"/>
      <c r="R13" s="263"/>
    </row>
    <row r="14" spans="1:22" x14ac:dyDescent="0.25">
      <c r="A14" s="210">
        <v>1141</v>
      </c>
      <c r="B14" s="211" t="s">
        <v>250</v>
      </c>
      <c r="C14" s="258">
        <v>0</v>
      </c>
      <c r="D14" s="259">
        <v>0</v>
      </c>
      <c r="E14" s="120">
        <v>0</v>
      </c>
      <c r="F14" s="120">
        <v>0</v>
      </c>
      <c r="G14" s="120">
        <v>0</v>
      </c>
      <c r="H14" s="120">
        <v>0</v>
      </c>
      <c r="I14" s="120">
        <v>0</v>
      </c>
      <c r="J14" s="120">
        <v>0</v>
      </c>
      <c r="K14" s="223">
        <f t="shared" si="1"/>
        <v>0</v>
      </c>
      <c r="L14" s="266">
        <f t="shared" si="2"/>
        <v>0</v>
      </c>
      <c r="M14" s="262"/>
      <c r="N14" s="262"/>
      <c r="O14" s="262"/>
      <c r="P14" s="263"/>
      <c r="Q14" s="263"/>
      <c r="R14" s="263"/>
      <c r="V14" t="s">
        <v>635</v>
      </c>
    </row>
    <row r="15" spans="1:22" ht="60" x14ac:dyDescent="0.25">
      <c r="A15" s="210">
        <v>1142</v>
      </c>
      <c r="B15" s="211" t="s">
        <v>251</v>
      </c>
      <c r="C15" s="258">
        <v>0</v>
      </c>
      <c r="D15" s="259">
        <v>0</v>
      </c>
      <c r="E15" s="120">
        <v>0</v>
      </c>
      <c r="F15" s="120">
        <v>0</v>
      </c>
      <c r="G15" s="120">
        <v>0</v>
      </c>
      <c r="H15" s="120">
        <v>0</v>
      </c>
      <c r="I15" s="120">
        <v>0</v>
      </c>
      <c r="J15" s="120">
        <v>0</v>
      </c>
      <c r="K15" s="223">
        <f t="shared" si="1"/>
        <v>0</v>
      </c>
      <c r="L15" s="266">
        <f t="shared" si="2"/>
        <v>0</v>
      </c>
      <c r="M15" s="262"/>
      <c r="N15" s="262"/>
      <c r="O15" s="262"/>
      <c r="P15" s="263"/>
      <c r="Q15" s="263"/>
      <c r="R15" s="263"/>
    </row>
    <row r="16" spans="1:22" ht="30" x14ac:dyDescent="0.25">
      <c r="A16" s="210">
        <v>1143</v>
      </c>
      <c r="B16" s="211" t="s">
        <v>252</v>
      </c>
      <c r="C16" s="258">
        <v>0</v>
      </c>
      <c r="D16" s="259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223">
        <f t="shared" si="1"/>
        <v>0</v>
      </c>
      <c r="L16" s="266">
        <f t="shared" si="2"/>
        <v>0</v>
      </c>
      <c r="M16" s="262"/>
      <c r="N16" s="262"/>
      <c r="O16" s="262"/>
      <c r="P16" s="263"/>
      <c r="Q16" s="263"/>
      <c r="R16" s="263"/>
    </row>
    <row r="17" spans="1:39" x14ac:dyDescent="0.25">
      <c r="A17" s="210">
        <v>1210</v>
      </c>
      <c r="B17" s="211" t="s">
        <v>253</v>
      </c>
      <c r="C17" s="258">
        <v>0</v>
      </c>
      <c r="D17" s="259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223">
        <f t="shared" si="1"/>
        <v>0</v>
      </c>
      <c r="L17" s="266">
        <f t="shared" si="2"/>
        <v>0</v>
      </c>
      <c r="M17" s="262"/>
      <c r="N17" s="262"/>
      <c r="O17" s="262"/>
      <c r="P17" s="263"/>
      <c r="Q17" s="263"/>
      <c r="R17" s="263"/>
    </row>
    <row r="18" spans="1:39" ht="45" x14ac:dyDescent="0.25">
      <c r="A18" s="210">
        <v>1221</v>
      </c>
      <c r="B18" s="211" t="s">
        <v>254</v>
      </c>
      <c r="C18" s="258">
        <v>0</v>
      </c>
      <c r="D18" s="259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223">
        <f t="shared" si="1"/>
        <v>0</v>
      </c>
      <c r="L18" s="266">
        <f t="shared" si="2"/>
        <v>0</v>
      </c>
      <c r="M18" s="262"/>
      <c r="N18" s="262"/>
      <c r="O18" s="262"/>
      <c r="P18" s="263"/>
      <c r="Q18" s="263"/>
      <c r="R18" s="263"/>
    </row>
    <row r="19" spans="1:39" ht="30" x14ac:dyDescent="0.25">
      <c r="A19" s="210">
        <v>1223</v>
      </c>
      <c r="B19" s="211" t="s">
        <v>255</v>
      </c>
      <c r="C19" s="258">
        <v>0</v>
      </c>
      <c r="D19" s="259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223">
        <f t="shared" si="1"/>
        <v>0</v>
      </c>
      <c r="L19" s="266">
        <f t="shared" si="2"/>
        <v>0</v>
      </c>
      <c r="M19" s="262"/>
      <c r="N19" s="262"/>
      <c r="O19" s="262"/>
      <c r="P19" s="263"/>
      <c r="Q19" s="263"/>
      <c r="R19" s="263"/>
    </row>
    <row r="20" spans="1:39" ht="45" x14ac:dyDescent="0.25">
      <c r="A20" s="210">
        <v>1224</v>
      </c>
      <c r="B20" s="211" t="s">
        <v>636</v>
      </c>
      <c r="C20" s="258">
        <v>0</v>
      </c>
      <c r="D20" s="259">
        <v>0</v>
      </c>
      <c r="E20" s="120"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223">
        <f t="shared" si="1"/>
        <v>0</v>
      </c>
      <c r="L20" s="266">
        <f t="shared" si="2"/>
        <v>0</v>
      </c>
      <c r="M20" s="262"/>
      <c r="N20" s="262"/>
      <c r="O20" s="262"/>
      <c r="P20" s="263"/>
      <c r="Q20" s="263"/>
      <c r="R20" s="263"/>
    </row>
    <row r="21" spans="1:39" ht="30" x14ac:dyDescent="0.25">
      <c r="A21" s="210">
        <v>1225</v>
      </c>
      <c r="B21" s="211" t="s">
        <v>257</v>
      </c>
      <c r="C21" s="258">
        <v>0</v>
      </c>
      <c r="D21" s="259">
        <v>0</v>
      </c>
      <c r="E21" s="120"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223">
        <f t="shared" si="1"/>
        <v>0</v>
      </c>
      <c r="L21" s="266">
        <f t="shared" si="2"/>
        <v>0</v>
      </c>
      <c r="M21" s="262"/>
      <c r="N21" s="262"/>
      <c r="O21" s="262"/>
      <c r="P21" s="263"/>
      <c r="Q21" s="263"/>
      <c r="R21" s="263"/>
    </row>
    <row r="22" spans="1:39" ht="60" x14ac:dyDescent="0.25">
      <c r="A22" s="210">
        <v>1226</v>
      </c>
      <c r="B22" s="211" t="s">
        <v>258</v>
      </c>
      <c r="C22" s="258">
        <v>0</v>
      </c>
      <c r="D22" s="259">
        <v>0</v>
      </c>
      <c r="E22" s="120">
        <v>0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223">
        <f t="shared" si="1"/>
        <v>0</v>
      </c>
      <c r="L22" s="266">
        <f t="shared" si="2"/>
        <v>0</v>
      </c>
      <c r="M22" s="262"/>
      <c r="N22" s="262"/>
      <c r="O22" s="262"/>
      <c r="P22" s="263"/>
      <c r="Q22" s="263"/>
      <c r="R22" s="263"/>
      <c r="AM22" t="s">
        <v>635</v>
      </c>
    </row>
    <row r="23" spans="1:39" ht="30" x14ac:dyDescent="0.25">
      <c r="A23" s="210">
        <v>1227</v>
      </c>
      <c r="B23" s="211" t="s">
        <v>259</v>
      </c>
      <c r="C23" s="258">
        <v>0</v>
      </c>
      <c r="D23" s="259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223">
        <f t="shared" si="1"/>
        <v>0</v>
      </c>
      <c r="L23" s="266">
        <f t="shared" si="2"/>
        <v>0</v>
      </c>
      <c r="M23" s="262"/>
      <c r="N23" s="262"/>
      <c r="O23" s="262"/>
      <c r="P23" s="263"/>
      <c r="Q23" s="263"/>
      <c r="R23" s="263"/>
    </row>
    <row r="24" spans="1:39" ht="45" x14ac:dyDescent="0.25">
      <c r="A24" s="210">
        <v>1228</v>
      </c>
      <c r="B24" s="211" t="s">
        <v>260</v>
      </c>
      <c r="C24" s="258">
        <v>0</v>
      </c>
      <c r="D24" s="259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223">
        <f t="shared" si="1"/>
        <v>0</v>
      </c>
      <c r="L24" s="266">
        <f t="shared" si="2"/>
        <v>0</v>
      </c>
      <c r="M24" s="262"/>
      <c r="N24" s="262"/>
      <c r="O24" s="262"/>
      <c r="P24" s="263"/>
      <c r="Q24" s="263"/>
      <c r="R24" s="263"/>
    </row>
    <row r="25" spans="1:39" ht="45" x14ac:dyDescent="0.25">
      <c r="A25" s="210">
        <v>1229</v>
      </c>
      <c r="B25" s="211" t="s">
        <v>261</v>
      </c>
      <c r="C25" s="258">
        <v>0</v>
      </c>
      <c r="D25" s="259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223">
        <f t="shared" si="1"/>
        <v>0</v>
      </c>
      <c r="L25" s="266">
        <f t="shared" si="2"/>
        <v>0</v>
      </c>
      <c r="M25" s="262"/>
      <c r="N25" s="262"/>
      <c r="O25" s="262"/>
      <c r="P25" s="263"/>
      <c r="Q25" s="263"/>
      <c r="R25" s="263"/>
    </row>
    <row r="26" spans="1:39" ht="30" x14ac:dyDescent="0.25">
      <c r="A26" s="210">
        <v>1231</v>
      </c>
      <c r="B26" s="211" t="s">
        <v>262</v>
      </c>
      <c r="C26" s="258">
        <v>0</v>
      </c>
      <c r="D26" s="259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223">
        <f t="shared" si="1"/>
        <v>0</v>
      </c>
      <c r="L26" s="266">
        <f t="shared" si="2"/>
        <v>0</v>
      </c>
      <c r="M26" s="262"/>
      <c r="N26" s="267"/>
      <c r="O26" s="267"/>
      <c r="P26" s="263"/>
      <c r="Q26" s="263"/>
      <c r="R26" s="263"/>
    </row>
    <row r="27" spans="1:39" ht="30" x14ac:dyDescent="0.25">
      <c r="A27" s="210">
        <v>1232</v>
      </c>
      <c r="B27" s="211" t="s">
        <v>263</v>
      </c>
      <c r="C27" s="258">
        <v>0</v>
      </c>
      <c r="D27" s="259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223">
        <f t="shared" si="1"/>
        <v>0</v>
      </c>
      <c r="L27" s="266">
        <f t="shared" si="2"/>
        <v>0</v>
      </c>
      <c r="M27" s="262"/>
      <c r="N27" s="262"/>
      <c r="O27" s="262"/>
      <c r="P27" s="263"/>
      <c r="Q27" s="263"/>
      <c r="R27" s="263"/>
    </row>
    <row r="28" spans="1:39" ht="15" customHeight="1" x14ac:dyDescent="0.25">
      <c r="A28" s="210">
        <v>1233</v>
      </c>
      <c r="B28" s="211" t="s">
        <v>264</v>
      </c>
      <c r="C28" s="258">
        <v>0</v>
      </c>
      <c r="D28" s="259">
        <v>0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223">
        <f t="shared" si="1"/>
        <v>0</v>
      </c>
      <c r="L28" s="266">
        <f t="shared" si="2"/>
        <v>0</v>
      </c>
      <c r="M28" s="262"/>
      <c r="N28" s="262"/>
      <c r="O28" s="262"/>
      <c r="P28" s="263"/>
      <c r="Q28" s="263"/>
      <c r="R28" s="263"/>
    </row>
    <row r="29" spans="1:39" ht="30" x14ac:dyDescent="0.25">
      <c r="A29" s="210">
        <v>1234</v>
      </c>
      <c r="B29" s="211" t="s">
        <v>265</v>
      </c>
      <c r="C29" s="258">
        <v>0</v>
      </c>
      <c r="D29" s="259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223">
        <f t="shared" si="1"/>
        <v>0</v>
      </c>
      <c r="L29" s="266">
        <f t="shared" si="2"/>
        <v>0</v>
      </c>
      <c r="M29" s="262"/>
      <c r="N29" s="262"/>
      <c r="O29" s="262"/>
      <c r="P29" s="263"/>
      <c r="Q29" s="263"/>
      <c r="R29" s="263"/>
    </row>
    <row r="30" spans="1:39" ht="15" customHeight="1" x14ac:dyDescent="0.25">
      <c r="A30" s="210">
        <v>1235</v>
      </c>
      <c r="B30" s="211" t="s">
        <v>266</v>
      </c>
      <c r="C30" s="258">
        <v>0</v>
      </c>
      <c r="D30" s="259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223">
        <f t="shared" si="1"/>
        <v>0</v>
      </c>
      <c r="L30" s="266">
        <f t="shared" si="2"/>
        <v>0</v>
      </c>
      <c r="M30" s="262"/>
      <c r="N30" s="262"/>
      <c r="O30" s="262"/>
      <c r="P30" s="263"/>
      <c r="Q30" s="263"/>
      <c r="R30" s="263"/>
    </row>
    <row r="31" spans="1:39" x14ac:dyDescent="0.25">
      <c r="A31" s="210">
        <v>1236</v>
      </c>
      <c r="B31" s="211" t="s">
        <v>267</v>
      </c>
      <c r="C31" s="258">
        <v>0</v>
      </c>
      <c r="D31" s="259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223">
        <f t="shared" si="1"/>
        <v>0</v>
      </c>
      <c r="L31" s="266">
        <f t="shared" si="2"/>
        <v>0</v>
      </c>
      <c r="M31" s="262"/>
      <c r="N31" s="262"/>
      <c r="O31" s="262"/>
      <c r="P31" s="263"/>
      <c r="Q31" s="263"/>
      <c r="R31" s="263"/>
    </row>
    <row r="32" spans="1:39" ht="15" customHeight="1" x14ac:dyDescent="0.25">
      <c r="A32" s="210">
        <v>1237</v>
      </c>
      <c r="B32" s="211" t="s">
        <v>268</v>
      </c>
      <c r="C32" s="258">
        <v>0</v>
      </c>
      <c r="D32" s="259">
        <v>0</v>
      </c>
      <c r="E32" s="120">
        <v>0</v>
      </c>
      <c r="F32" s="120">
        <v>0</v>
      </c>
      <c r="G32" s="120">
        <v>0</v>
      </c>
      <c r="H32" s="120">
        <v>0</v>
      </c>
      <c r="I32" s="120">
        <v>0</v>
      </c>
      <c r="J32" s="120">
        <v>0</v>
      </c>
      <c r="K32" s="223">
        <f t="shared" si="1"/>
        <v>0</v>
      </c>
      <c r="L32" s="266">
        <f t="shared" si="2"/>
        <v>0</v>
      </c>
      <c r="M32" s="262"/>
      <c r="N32" s="262"/>
      <c r="O32" s="262"/>
      <c r="P32" s="263"/>
      <c r="Q32" s="263"/>
      <c r="R32" s="263"/>
    </row>
    <row r="33" spans="1:18" ht="45" x14ac:dyDescent="0.25">
      <c r="A33" s="210">
        <v>1311</v>
      </c>
      <c r="B33" s="211" t="s">
        <v>269</v>
      </c>
      <c r="C33" s="258">
        <v>0</v>
      </c>
      <c r="D33" s="259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223">
        <f t="shared" si="1"/>
        <v>0</v>
      </c>
      <c r="L33" s="266">
        <f t="shared" si="2"/>
        <v>0</v>
      </c>
      <c r="M33" s="262"/>
      <c r="N33" s="267"/>
      <c r="O33" s="267"/>
      <c r="P33" s="263"/>
      <c r="Q33" s="263"/>
      <c r="R33" s="263"/>
    </row>
    <row r="34" spans="1:18" ht="30" x14ac:dyDescent="0.25">
      <c r="A34" s="210">
        <v>1314</v>
      </c>
      <c r="B34" s="211" t="s">
        <v>270</v>
      </c>
      <c r="C34" s="258">
        <v>0</v>
      </c>
      <c r="D34" s="259">
        <v>0</v>
      </c>
      <c r="E34" s="120"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223">
        <f t="shared" si="1"/>
        <v>0</v>
      </c>
      <c r="L34" s="266">
        <f t="shared" si="2"/>
        <v>0</v>
      </c>
      <c r="M34" s="262"/>
      <c r="N34" s="262"/>
      <c r="O34" s="262"/>
      <c r="P34" s="263"/>
      <c r="Q34" s="263"/>
      <c r="R34" s="263"/>
    </row>
    <row r="35" spans="1:18" ht="15" customHeight="1" x14ac:dyDescent="0.25">
      <c r="A35" s="210">
        <v>1315</v>
      </c>
      <c r="B35" s="211" t="s">
        <v>271</v>
      </c>
      <c r="C35" s="258">
        <v>0</v>
      </c>
      <c r="D35" s="259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223">
        <f t="shared" si="1"/>
        <v>0</v>
      </c>
      <c r="L35" s="266">
        <f t="shared" si="2"/>
        <v>0</v>
      </c>
      <c r="M35" s="262"/>
      <c r="N35" s="262"/>
      <c r="O35" s="262"/>
      <c r="P35" s="263"/>
      <c r="Q35" s="263"/>
      <c r="R35" s="263"/>
    </row>
    <row r="36" spans="1:18" ht="30" x14ac:dyDescent="0.25">
      <c r="A36" s="210">
        <v>1316</v>
      </c>
      <c r="B36" s="211" t="s">
        <v>272</v>
      </c>
      <c r="C36" s="258">
        <v>0</v>
      </c>
      <c r="D36" s="259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223">
        <f t="shared" si="1"/>
        <v>0</v>
      </c>
      <c r="L36" s="266">
        <f t="shared" si="2"/>
        <v>0</v>
      </c>
      <c r="M36" s="262"/>
      <c r="N36" s="262"/>
      <c r="O36" s="262"/>
      <c r="P36" s="263"/>
      <c r="Q36" s="263"/>
      <c r="R36" s="263"/>
    </row>
    <row r="37" spans="1:18" x14ac:dyDescent="0.25">
      <c r="A37" s="210">
        <v>1317</v>
      </c>
      <c r="B37" s="211" t="s">
        <v>273</v>
      </c>
      <c r="C37" s="258">
        <v>0</v>
      </c>
      <c r="D37" s="259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223">
        <f t="shared" si="1"/>
        <v>0</v>
      </c>
      <c r="L37" s="266">
        <f t="shared" si="2"/>
        <v>0</v>
      </c>
      <c r="M37" s="262"/>
      <c r="N37" s="262"/>
      <c r="O37" s="262"/>
      <c r="P37" s="263"/>
      <c r="Q37" s="263"/>
      <c r="R37" s="263"/>
    </row>
    <row r="38" spans="1:18" ht="30" x14ac:dyDescent="0.25">
      <c r="A38" s="210">
        <v>1318</v>
      </c>
      <c r="B38" s="211" t="s">
        <v>274</v>
      </c>
      <c r="C38" s="258">
        <v>0</v>
      </c>
      <c r="D38" s="259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223">
        <f t="shared" si="1"/>
        <v>0</v>
      </c>
      <c r="L38" s="266">
        <f>D38+F38-H38-J38</f>
        <v>0</v>
      </c>
      <c r="M38" s="262"/>
      <c r="N38" s="262"/>
      <c r="O38" s="262"/>
      <c r="P38" s="263"/>
      <c r="Q38" s="263"/>
      <c r="R38" s="263"/>
    </row>
    <row r="39" spans="1:18" ht="45.75" thickBot="1" x14ac:dyDescent="0.3">
      <c r="A39" s="204">
        <v>1319</v>
      </c>
      <c r="B39" s="205" t="s">
        <v>275</v>
      </c>
      <c r="C39" s="256">
        <v>0</v>
      </c>
      <c r="D39" s="257">
        <v>0</v>
      </c>
      <c r="E39" s="209">
        <v>0</v>
      </c>
      <c r="F39" s="209">
        <v>0</v>
      </c>
      <c r="G39" s="120">
        <v>0</v>
      </c>
      <c r="H39" s="120">
        <v>0</v>
      </c>
      <c r="I39" s="209">
        <v>0</v>
      </c>
      <c r="J39" s="209">
        <v>0</v>
      </c>
      <c r="K39" s="221">
        <f t="shared" si="1"/>
        <v>0</v>
      </c>
      <c r="L39" s="268">
        <f t="shared" si="2"/>
        <v>0</v>
      </c>
      <c r="M39" s="262"/>
      <c r="N39" s="262"/>
      <c r="O39" s="262"/>
      <c r="P39" s="263"/>
      <c r="Q39" s="263"/>
      <c r="R39" s="263"/>
    </row>
    <row r="40" spans="1:18" ht="15.75" thickBot="1" x14ac:dyDescent="0.3">
      <c r="A40" s="260">
        <v>2</v>
      </c>
      <c r="B40" s="255" t="s">
        <v>276</v>
      </c>
      <c r="C40" s="426"/>
      <c r="D40" s="427"/>
      <c r="E40" s="218"/>
      <c r="F40" s="218"/>
      <c r="G40" s="218"/>
      <c r="H40" s="218"/>
      <c r="I40" s="218"/>
      <c r="J40" s="218"/>
      <c r="K40" s="226"/>
      <c r="L40" s="264"/>
      <c r="M40" s="262"/>
      <c r="N40" s="479"/>
      <c r="O40" s="479"/>
      <c r="P40" s="263"/>
      <c r="Q40" s="263"/>
      <c r="R40" s="263"/>
    </row>
    <row r="41" spans="1:18" x14ac:dyDescent="0.25">
      <c r="A41" s="204">
        <v>2111</v>
      </c>
      <c r="B41" s="205" t="s">
        <v>277</v>
      </c>
      <c r="C41" s="256">
        <v>0</v>
      </c>
      <c r="D41" s="257">
        <v>0</v>
      </c>
      <c r="E41" s="209">
        <v>0</v>
      </c>
      <c r="F41" s="209">
        <v>0</v>
      </c>
      <c r="G41" s="209">
        <v>0</v>
      </c>
      <c r="H41" s="209">
        <v>0</v>
      </c>
      <c r="I41" s="209">
        <v>0</v>
      </c>
      <c r="J41" s="209">
        <v>0</v>
      </c>
      <c r="K41" s="221">
        <f t="shared" ref="K41:K72" si="3">C41+E41-G41-I41</f>
        <v>0</v>
      </c>
      <c r="L41" s="265">
        <f t="shared" ref="L41:L72" si="4">D41+F41-H41-J41</f>
        <v>0</v>
      </c>
      <c r="M41" s="262"/>
      <c r="N41" s="262"/>
      <c r="O41" s="262"/>
      <c r="P41" s="263"/>
      <c r="Q41" s="263"/>
      <c r="R41" s="263"/>
    </row>
    <row r="42" spans="1:18" x14ac:dyDescent="0.25">
      <c r="A42" s="210">
        <v>2112</v>
      </c>
      <c r="B42" s="211" t="s">
        <v>278</v>
      </c>
      <c r="C42" s="258">
        <v>0</v>
      </c>
      <c r="D42" s="259">
        <v>0</v>
      </c>
      <c r="E42" s="120">
        <v>0</v>
      </c>
      <c r="F42" s="120">
        <v>0</v>
      </c>
      <c r="G42" s="120">
        <v>0</v>
      </c>
      <c r="H42" s="120">
        <v>0</v>
      </c>
      <c r="I42" s="120">
        <v>0</v>
      </c>
      <c r="J42" s="120">
        <v>0</v>
      </c>
      <c r="K42" s="223">
        <f t="shared" si="3"/>
        <v>0</v>
      </c>
      <c r="L42" s="266">
        <f t="shared" si="4"/>
        <v>0</v>
      </c>
      <c r="M42" s="262"/>
      <c r="N42" s="262"/>
      <c r="O42" s="262"/>
      <c r="P42" s="263"/>
      <c r="Q42" s="263"/>
      <c r="R42" s="263"/>
    </row>
    <row r="43" spans="1:18" x14ac:dyDescent="0.25">
      <c r="A43" s="210">
        <v>2113</v>
      </c>
      <c r="B43" s="211" t="s">
        <v>279</v>
      </c>
      <c r="C43" s="258">
        <v>0</v>
      </c>
      <c r="D43" s="259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223">
        <f t="shared" si="3"/>
        <v>0</v>
      </c>
      <c r="L43" s="266">
        <f t="shared" si="4"/>
        <v>0</v>
      </c>
      <c r="M43" s="262"/>
      <c r="N43" s="262"/>
      <c r="O43" s="262"/>
      <c r="P43" s="263"/>
      <c r="Q43" s="263"/>
      <c r="R43" s="263"/>
    </row>
    <row r="44" spans="1:18" x14ac:dyDescent="0.25">
      <c r="A44" s="210">
        <v>2114</v>
      </c>
      <c r="B44" s="211" t="s">
        <v>280</v>
      </c>
      <c r="C44" s="258">
        <v>0</v>
      </c>
      <c r="D44" s="259">
        <v>0</v>
      </c>
      <c r="E44" s="120">
        <v>0</v>
      </c>
      <c r="F44" s="120">
        <v>0</v>
      </c>
      <c r="G44" s="120">
        <v>0</v>
      </c>
      <c r="H44" s="120">
        <v>0</v>
      </c>
      <c r="I44" s="120">
        <v>0</v>
      </c>
      <c r="J44" s="120">
        <v>0</v>
      </c>
      <c r="K44" s="223">
        <f t="shared" si="3"/>
        <v>0</v>
      </c>
      <c r="L44" s="266">
        <f t="shared" si="4"/>
        <v>0</v>
      </c>
      <c r="M44" s="262"/>
      <c r="N44" s="262"/>
      <c r="O44" s="262"/>
      <c r="P44" s="263"/>
      <c r="Q44" s="263"/>
      <c r="R44" s="263"/>
    </row>
    <row r="45" spans="1:18" ht="30" x14ac:dyDescent="0.25">
      <c r="A45" s="210">
        <v>2121</v>
      </c>
      <c r="B45" s="211" t="s">
        <v>281</v>
      </c>
      <c r="C45" s="258">
        <v>0</v>
      </c>
      <c r="D45" s="259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223">
        <f t="shared" si="3"/>
        <v>0</v>
      </c>
      <c r="L45" s="266">
        <f t="shared" si="4"/>
        <v>0</v>
      </c>
      <c r="M45" s="262"/>
      <c r="N45" s="262"/>
      <c r="O45" s="262"/>
      <c r="P45" s="263"/>
      <c r="Q45" s="263"/>
      <c r="R45" s="263"/>
    </row>
    <row r="46" spans="1:18" x14ac:dyDescent="0.25">
      <c r="A46" s="210">
        <v>2122</v>
      </c>
      <c r="B46" s="211" t="s">
        <v>282</v>
      </c>
      <c r="C46" s="258">
        <v>0</v>
      </c>
      <c r="D46" s="259">
        <v>0</v>
      </c>
      <c r="E46" s="120"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223">
        <f t="shared" si="3"/>
        <v>0</v>
      </c>
      <c r="L46" s="266">
        <f t="shared" si="4"/>
        <v>0</v>
      </c>
      <c r="M46" s="262"/>
      <c r="N46" s="262"/>
      <c r="O46" s="262"/>
      <c r="P46" s="263"/>
      <c r="Q46" s="263"/>
      <c r="R46" s="263"/>
    </row>
    <row r="47" spans="1:18" ht="30" x14ac:dyDescent="0.25">
      <c r="A47" s="210">
        <v>2131</v>
      </c>
      <c r="B47" s="211" t="s">
        <v>283</v>
      </c>
      <c r="C47" s="258">
        <v>0</v>
      </c>
      <c r="D47" s="259">
        <v>0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  <c r="J47" s="120">
        <v>0</v>
      </c>
      <c r="K47" s="223">
        <f t="shared" si="3"/>
        <v>0</v>
      </c>
      <c r="L47" s="266">
        <f t="shared" si="4"/>
        <v>0</v>
      </c>
      <c r="M47" s="262"/>
      <c r="N47" s="262"/>
      <c r="O47" s="262"/>
      <c r="P47" s="263"/>
      <c r="Q47" s="263"/>
      <c r="R47" s="263"/>
    </row>
    <row r="48" spans="1:18" x14ac:dyDescent="0.25">
      <c r="A48" s="210">
        <v>2132</v>
      </c>
      <c r="B48" s="211" t="s">
        <v>284</v>
      </c>
      <c r="C48" s="258">
        <v>0</v>
      </c>
      <c r="D48" s="259">
        <v>0</v>
      </c>
      <c r="E48" s="120">
        <v>0</v>
      </c>
      <c r="F48" s="120">
        <v>0</v>
      </c>
      <c r="G48" s="120">
        <v>0</v>
      </c>
      <c r="H48" s="120">
        <v>0</v>
      </c>
      <c r="I48" s="120">
        <v>0</v>
      </c>
      <c r="J48" s="120">
        <v>0</v>
      </c>
      <c r="K48" s="223">
        <f t="shared" si="3"/>
        <v>0</v>
      </c>
      <c r="L48" s="266">
        <f t="shared" si="4"/>
        <v>0</v>
      </c>
      <c r="M48" s="262"/>
      <c r="N48" s="262"/>
      <c r="O48" s="262"/>
      <c r="P48" s="263"/>
      <c r="Q48" s="263"/>
      <c r="R48" s="263"/>
    </row>
    <row r="49" spans="1:18" x14ac:dyDescent="0.25">
      <c r="A49" s="210">
        <v>2139</v>
      </c>
      <c r="B49" s="211" t="s">
        <v>285</v>
      </c>
      <c r="C49" s="258">
        <v>0</v>
      </c>
      <c r="D49" s="259">
        <v>0</v>
      </c>
      <c r="E49" s="120"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223">
        <f t="shared" si="3"/>
        <v>0</v>
      </c>
      <c r="L49" s="266">
        <f t="shared" si="4"/>
        <v>0</v>
      </c>
      <c r="M49" s="262"/>
      <c r="N49" s="262"/>
      <c r="O49" s="262"/>
      <c r="P49" s="263"/>
      <c r="Q49" s="263"/>
      <c r="R49" s="263"/>
    </row>
    <row r="50" spans="1:18" ht="30" x14ac:dyDescent="0.25">
      <c r="A50" s="210">
        <v>2141</v>
      </c>
      <c r="B50" s="211" t="s">
        <v>286</v>
      </c>
      <c r="C50" s="258">
        <v>0</v>
      </c>
      <c r="D50" s="259">
        <v>0</v>
      </c>
      <c r="E50" s="120"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223">
        <f t="shared" si="3"/>
        <v>0</v>
      </c>
      <c r="L50" s="266">
        <f t="shared" si="4"/>
        <v>0</v>
      </c>
      <c r="M50" s="262"/>
      <c r="N50" s="262"/>
      <c r="O50" s="262"/>
      <c r="P50" s="263"/>
      <c r="Q50" s="263"/>
      <c r="R50" s="263"/>
    </row>
    <row r="51" spans="1:18" x14ac:dyDescent="0.25">
      <c r="A51" s="210">
        <v>2142</v>
      </c>
      <c r="B51" s="211" t="s">
        <v>287</v>
      </c>
      <c r="C51" s="258">
        <v>0</v>
      </c>
      <c r="D51" s="259">
        <v>0</v>
      </c>
      <c r="E51" s="120">
        <v>0</v>
      </c>
      <c r="F51" s="120">
        <v>0</v>
      </c>
      <c r="G51" s="120">
        <v>0</v>
      </c>
      <c r="H51" s="120">
        <v>0</v>
      </c>
      <c r="I51" s="120">
        <v>0</v>
      </c>
      <c r="J51" s="120">
        <v>0</v>
      </c>
      <c r="K51" s="223">
        <f t="shared" si="3"/>
        <v>0</v>
      </c>
      <c r="L51" s="266">
        <f t="shared" si="4"/>
        <v>0</v>
      </c>
      <c r="M51" s="262"/>
      <c r="N51" s="262"/>
      <c r="O51" s="262"/>
      <c r="P51" s="263"/>
      <c r="Q51" s="263"/>
      <c r="R51" s="263"/>
    </row>
    <row r="52" spans="1:18" x14ac:dyDescent="0.25">
      <c r="A52" s="210">
        <v>2143</v>
      </c>
      <c r="B52" s="211" t="s">
        <v>288</v>
      </c>
      <c r="C52" s="258">
        <v>0</v>
      </c>
      <c r="D52" s="259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223">
        <f t="shared" si="3"/>
        <v>0</v>
      </c>
      <c r="L52" s="266">
        <f t="shared" si="4"/>
        <v>0</v>
      </c>
      <c r="M52" s="262"/>
      <c r="N52" s="262"/>
      <c r="O52" s="262"/>
      <c r="P52" s="263"/>
      <c r="Q52" s="263"/>
      <c r="R52" s="263"/>
    </row>
    <row r="53" spans="1:18" ht="30" x14ac:dyDescent="0.25">
      <c r="A53" s="210">
        <v>2144</v>
      </c>
      <c r="B53" s="211" t="s">
        <v>289</v>
      </c>
      <c r="C53" s="258">
        <v>0</v>
      </c>
      <c r="D53" s="259">
        <v>0</v>
      </c>
      <c r="E53" s="120">
        <v>0</v>
      </c>
      <c r="F53" s="120">
        <v>0</v>
      </c>
      <c r="G53" s="120">
        <v>0</v>
      </c>
      <c r="H53" s="120">
        <v>0</v>
      </c>
      <c r="I53" s="120">
        <v>0</v>
      </c>
      <c r="J53" s="120">
        <v>0</v>
      </c>
      <c r="K53" s="223">
        <f t="shared" si="3"/>
        <v>0</v>
      </c>
      <c r="L53" s="266">
        <f t="shared" si="4"/>
        <v>0</v>
      </c>
      <c r="M53" s="262"/>
      <c r="N53" s="262"/>
      <c r="O53" s="262"/>
      <c r="P53" s="263"/>
      <c r="Q53" s="263"/>
      <c r="R53" s="263"/>
    </row>
    <row r="54" spans="1:18" x14ac:dyDescent="0.25">
      <c r="A54" s="210">
        <v>2145</v>
      </c>
      <c r="B54" s="211" t="s">
        <v>290</v>
      </c>
      <c r="C54" s="258">
        <v>0</v>
      </c>
      <c r="D54" s="259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223">
        <f t="shared" si="3"/>
        <v>0</v>
      </c>
      <c r="L54" s="266">
        <f t="shared" si="4"/>
        <v>0</v>
      </c>
      <c r="M54" s="262"/>
      <c r="N54" s="262"/>
      <c r="O54" s="262"/>
      <c r="P54" s="263"/>
      <c r="Q54" s="263"/>
      <c r="R54" s="263"/>
    </row>
    <row r="55" spans="1:18" x14ac:dyDescent="0.25">
      <c r="A55" s="210">
        <v>2146</v>
      </c>
      <c r="B55" s="211" t="s">
        <v>291</v>
      </c>
      <c r="C55" s="258">
        <v>0</v>
      </c>
      <c r="D55" s="259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223">
        <f t="shared" si="3"/>
        <v>0</v>
      </c>
      <c r="L55" s="266">
        <f t="shared" si="4"/>
        <v>0</v>
      </c>
      <c r="M55" s="262"/>
      <c r="N55" s="262"/>
      <c r="O55" s="262"/>
      <c r="P55" s="263"/>
      <c r="Q55" s="263"/>
      <c r="R55" s="263"/>
    </row>
    <row r="56" spans="1:18" ht="30" x14ac:dyDescent="0.25">
      <c r="A56" s="210">
        <v>2147</v>
      </c>
      <c r="B56" s="211" t="s">
        <v>292</v>
      </c>
      <c r="C56" s="258">
        <v>0</v>
      </c>
      <c r="D56" s="259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223">
        <f t="shared" si="3"/>
        <v>0</v>
      </c>
      <c r="L56" s="266">
        <f t="shared" si="4"/>
        <v>0</v>
      </c>
      <c r="M56" s="262"/>
      <c r="N56" s="262"/>
      <c r="O56" s="262"/>
      <c r="P56" s="263"/>
      <c r="Q56" s="263"/>
      <c r="R56" s="263"/>
    </row>
    <row r="57" spans="1:18" x14ac:dyDescent="0.25">
      <c r="A57" s="210">
        <v>2148</v>
      </c>
      <c r="B57" s="211" t="s">
        <v>293</v>
      </c>
      <c r="C57" s="258">
        <v>0</v>
      </c>
      <c r="D57" s="259">
        <v>0</v>
      </c>
      <c r="E57" s="120"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223">
        <f t="shared" si="3"/>
        <v>0</v>
      </c>
      <c r="L57" s="266">
        <f t="shared" si="4"/>
        <v>0</v>
      </c>
      <c r="M57" s="262"/>
      <c r="N57" s="262"/>
      <c r="O57" s="262"/>
      <c r="P57" s="263"/>
      <c r="Q57" s="263"/>
      <c r="R57" s="263"/>
    </row>
    <row r="58" spans="1:18" ht="45" x14ac:dyDescent="0.25">
      <c r="A58" s="210">
        <v>2149</v>
      </c>
      <c r="B58" s="211" t="s">
        <v>294</v>
      </c>
      <c r="C58" s="258">
        <v>0</v>
      </c>
      <c r="D58" s="259">
        <v>0</v>
      </c>
      <c r="E58" s="120">
        <v>0</v>
      </c>
      <c r="F58" s="120">
        <v>0</v>
      </c>
      <c r="G58" s="120">
        <v>0</v>
      </c>
      <c r="H58" s="120">
        <v>0</v>
      </c>
      <c r="I58" s="120">
        <v>0</v>
      </c>
      <c r="J58" s="120">
        <v>0</v>
      </c>
      <c r="K58" s="223">
        <f t="shared" si="3"/>
        <v>0</v>
      </c>
      <c r="L58" s="266">
        <f t="shared" si="4"/>
        <v>0</v>
      </c>
      <c r="M58" s="262"/>
      <c r="N58" s="262"/>
      <c r="O58" s="262"/>
      <c r="P58" s="263"/>
      <c r="Q58" s="263"/>
      <c r="R58" s="263"/>
    </row>
    <row r="59" spans="1:18" ht="30" x14ac:dyDescent="0.25">
      <c r="A59" s="210">
        <v>2211</v>
      </c>
      <c r="B59" s="211" t="s">
        <v>295</v>
      </c>
      <c r="C59" s="258">
        <v>0</v>
      </c>
      <c r="D59" s="259">
        <v>0</v>
      </c>
      <c r="E59" s="120"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223">
        <f t="shared" si="3"/>
        <v>0</v>
      </c>
      <c r="L59" s="266">
        <f t="shared" si="4"/>
        <v>0</v>
      </c>
      <c r="M59" s="262"/>
      <c r="N59" s="262"/>
      <c r="O59" s="262"/>
      <c r="P59" s="263"/>
      <c r="Q59" s="263"/>
      <c r="R59" s="263"/>
    </row>
    <row r="60" spans="1:18" ht="30" x14ac:dyDescent="0.25">
      <c r="A60" s="210">
        <v>2212</v>
      </c>
      <c r="B60" s="211" t="s">
        <v>296</v>
      </c>
      <c r="C60" s="258">
        <v>0</v>
      </c>
      <c r="D60" s="259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223">
        <f t="shared" si="3"/>
        <v>0</v>
      </c>
      <c r="L60" s="266">
        <f t="shared" si="4"/>
        <v>0</v>
      </c>
      <c r="M60" s="262"/>
      <c r="N60" s="262"/>
      <c r="O60" s="262"/>
      <c r="P60" s="263"/>
      <c r="Q60" s="263"/>
      <c r="R60" s="263"/>
    </row>
    <row r="61" spans="1:18" x14ac:dyDescent="0.25">
      <c r="A61" s="210">
        <v>2213</v>
      </c>
      <c r="B61" s="211" t="s">
        <v>297</v>
      </c>
      <c r="C61" s="258">
        <v>0</v>
      </c>
      <c r="D61" s="259">
        <v>0</v>
      </c>
      <c r="E61" s="120">
        <v>0</v>
      </c>
      <c r="F61" s="120">
        <v>0</v>
      </c>
      <c r="G61" s="120">
        <v>0</v>
      </c>
      <c r="H61" s="120">
        <v>0</v>
      </c>
      <c r="I61" s="120">
        <v>0</v>
      </c>
      <c r="J61" s="120">
        <v>0</v>
      </c>
      <c r="K61" s="223">
        <f t="shared" si="3"/>
        <v>0</v>
      </c>
      <c r="L61" s="266">
        <f t="shared" si="4"/>
        <v>0</v>
      </c>
      <c r="M61" s="262"/>
      <c r="N61" s="262"/>
      <c r="O61" s="262"/>
      <c r="P61" s="263"/>
      <c r="Q61" s="263"/>
      <c r="R61" s="263"/>
    </row>
    <row r="62" spans="1:18" x14ac:dyDescent="0.25">
      <c r="A62" s="210">
        <v>2221</v>
      </c>
      <c r="B62" s="211" t="s">
        <v>298</v>
      </c>
      <c r="C62" s="258">
        <v>1</v>
      </c>
      <c r="D62" s="259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223">
        <f t="shared" si="3"/>
        <v>1</v>
      </c>
      <c r="L62" s="266">
        <f t="shared" si="4"/>
        <v>0</v>
      </c>
      <c r="M62" s="262"/>
      <c r="N62" s="262"/>
      <c r="O62" s="262"/>
      <c r="P62" s="263"/>
      <c r="Q62" s="263"/>
      <c r="R62" s="263"/>
    </row>
    <row r="63" spans="1:18" x14ac:dyDescent="0.25">
      <c r="A63" s="210">
        <v>2222</v>
      </c>
      <c r="B63" s="211" t="s">
        <v>299</v>
      </c>
      <c r="C63" s="258">
        <v>0</v>
      </c>
      <c r="D63" s="259">
        <v>0</v>
      </c>
      <c r="E63" s="120"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223">
        <f t="shared" si="3"/>
        <v>0</v>
      </c>
      <c r="L63" s="266">
        <f t="shared" si="4"/>
        <v>0</v>
      </c>
      <c r="M63" s="262"/>
      <c r="N63" s="262"/>
      <c r="O63" s="262"/>
      <c r="P63" s="263"/>
      <c r="Q63" s="263"/>
      <c r="R63" s="263"/>
    </row>
    <row r="64" spans="1:18" x14ac:dyDescent="0.25">
      <c r="A64" s="210">
        <v>2230</v>
      </c>
      <c r="B64" s="211" t="s">
        <v>300</v>
      </c>
      <c r="C64" s="258">
        <v>0</v>
      </c>
      <c r="D64" s="259">
        <v>0</v>
      </c>
      <c r="E64" s="120"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223">
        <f t="shared" si="3"/>
        <v>0</v>
      </c>
      <c r="L64" s="266">
        <f t="shared" si="4"/>
        <v>0</v>
      </c>
      <c r="M64" s="262"/>
      <c r="N64" s="262"/>
      <c r="O64" s="262"/>
      <c r="P64" s="263"/>
      <c r="Q64" s="263"/>
      <c r="R64" s="263"/>
    </row>
    <row r="65" spans="1:18" ht="45" x14ac:dyDescent="0.25">
      <c r="A65" s="210">
        <v>2310</v>
      </c>
      <c r="B65" s="211" t="s">
        <v>301</v>
      </c>
      <c r="C65" s="258">
        <v>0</v>
      </c>
      <c r="D65" s="259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223">
        <f t="shared" si="3"/>
        <v>0</v>
      </c>
      <c r="L65" s="266">
        <f t="shared" si="4"/>
        <v>0</v>
      </c>
      <c r="M65" s="262"/>
      <c r="N65" s="262"/>
      <c r="O65" s="262"/>
      <c r="P65" s="263"/>
      <c r="Q65" s="263"/>
      <c r="R65" s="263"/>
    </row>
    <row r="66" spans="1:18" ht="30" x14ac:dyDescent="0.25">
      <c r="A66" s="210">
        <v>2320</v>
      </c>
      <c r="B66" s="211" t="s">
        <v>302</v>
      </c>
      <c r="C66" s="258">
        <v>0</v>
      </c>
      <c r="D66" s="259">
        <v>0</v>
      </c>
      <c r="E66" s="120"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223">
        <f t="shared" si="3"/>
        <v>0</v>
      </c>
      <c r="L66" s="266">
        <f t="shared" si="4"/>
        <v>0</v>
      </c>
      <c r="M66" s="262"/>
      <c r="N66" s="262"/>
      <c r="O66" s="262"/>
      <c r="P66" s="263"/>
      <c r="Q66" s="263"/>
      <c r="R66" s="263"/>
    </row>
    <row r="67" spans="1:18" ht="30" x14ac:dyDescent="0.25">
      <c r="A67" s="210">
        <v>2330</v>
      </c>
      <c r="B67" s="211" t="s">
        <v>303</v>
      </c>
      <c r="C67" s="258">
        <v>0</v>
      </c>
      <c r="D67" s="259">
        <v>0</v>
      </c>
      <c r="E67" s="120"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223">
        <f t="shared" si="3"/>
        <v>0</v>
      </c>
      <c r="L67" s="266">
        <f t="shared" si="4"/>
        <v>0</v>
      </c>
      <c r="M67" s="262"/>
      <c r="N67" s="262"/>
      <c r="O67" s="262"/>
      <c r="P67" s="263"/>
      <c r="Q67" s="263"/>
      <c r="R67" s="263"/>
    </row>
    <row r="68" spans="1:18" x14ac:dyDescent="0.25">
      <c r="A68" s="210">
        <v>2331</v>
      </c>
      <c r="B68" s="211" t="s">
        <v>304</v>
      </c>
      <c r="C68" s="258">
        <v>0</v>
      </c>
      <c r="D68" s="259">
        <v>0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223">
        <f t="shared" si="3"/>
        <v>0</v>
      </c>
      <c r="L68" s="266">
        <f t="shared" si="4"/>
        <v>0</v>
      </c>
      <c r="M68" s="262"/>
      <c r="N68" s="262"/>
      <c r="O68" s="262"/>
      <c r="P68" s="263"/>
      <c r="Q68" s="263"/>
      <c r="R68" s="263"/>
    </row>
    <row r="69" spans="1:18" ht="30" x14ac:dyDescent="0.25">
      <c r="A69" s="210">
        <v>2332</v>
      </c>
      <c r="B69" s="211" t="s">
        <v>305</v>
      </c>
      <c r="C69" s="258">
        <v>0</v>
      </c>
      <c r="D69" s="259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223">
        <f t="shared" si="3"/>
        <v>0</v>
      </c>
      <c r="L69" s="266">
        <f t="shared" si="4"/>
        <v>0</v>
      </c>
      <c r="M69" s="262"/>
      <c r="N69" s="262"/>
      <c r="O69" s="262"/>
      <c r="P69" s="263"/>
      <c r="Q69" s="263"/>
      <c r="R69" s="263"/>
    </row>
    <row r="70" spans="1:18" x14ac:dyDescent="0.25">
      <c r="A70" s="210">
        <v>2340</v>
      </c>
      <c r="B70" s="211" t="s">
        <v>306</v>
      </c>
      <c r="C70" s="258">
        <v>0</v>
      </c>
      <c r="D70" s="259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223">
        <f t="shared" si="3"/>
        <v>0</v>
      </c>
      <c r="L70" s="266">
        <f t="shared" si="4"/>
        <v>0</v>
      </c>
      <c r="M70" s="262"/>
      <c r="N70" s="262"/>
      <c r="O70" s="262"/>
      <c r="P70" s="263"/>
      <c r="Q70" s="263"/>
      <c r="R70" s="263"/>
    </row>
    <row r="71" spans="1:18" x14ac:dyDescent="0.25">
      <c r="A71" s="210">
        <v>2351</v>
      </c>
      <c r="B71" s="211" t="s">
        <v>307</v>
      </c>
      <c r="C71" s="258">
        <v>0</v>
      </c>
      <c r="D71" s="259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223">
        <f t="shared" si="3"/>
        <v>0</v>
      </c>
      <c r="L71" s="266">
        <f t="shared" si="4"/>
        <v>0</v>
      </c>
      <c r="M71" s="262"/>
      <c r="N71" s="262"/>
      <c r="O71" s="262"/>
      <c r="P71" s="263"/>
      <c r="Q71" s="263"/>
      <c r="R71" s="263"/>
    </row>
    <row r="72" spans="1:18" x14ac:dyDescent="0.25">
      <c r="A72" s="210">
        <v>2352</v>
      </c>
      <c r="B72" s="211" t="s">
        <v>308</v>
      </c>
      <c r="C72" s="258">
        <v>0</v>
      </c>
      <c r="D72" s="259">
        <v>0</v>
      </c>
      <c r="E72" s="120"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223">
        <f t="shared" si="3"/>
        <v>0</v>
      </c>
      <c r="L72" s="266">
        <f t="shared" si="4"/>
        <v>0</v>
      </c>
      <c r="M72" s="262"/>
      <c r="N72" s="262"/>
      <c r="O72" s="262"/>
      <c r="P72" s="263"/>
      <c r="Q72" s="263"/>
      <c r="R72" s="263"/>
    </row>
    <row r="73" spans="1:18" x14ac:dyDescent="0.25">
      <c r="A73" s="210">
        <v>2411</v>
      </c>
      <c r="B73" s="211" t="s">
        <v>309</v>
      </c>
      <c r="C73" s="258">
        <v>0</v>
      </c>
      <c r="D73" s="259">
        <v>0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223">
        <f t="shared" ref="K73:K92" si="5">C73+E73-G73-I73</f>
        <v>0</v>
      </c>
      <c r="L73" s="266">
        <f t="shared" ref="L73:L92" si="6">D73+F73-H73-J73</f>
        <v>0</v>
      </c>
      <c r="M73" s="262"/>
      <c r="N73" s="262"/>
      <c r="O73" s="262"/>
      <c r="P73" s="263"/>
      <c r="Q73" s="263"/>
      <c r="R73" s="263"/>
    </row>
    <row r="74" spans="1:18" ht="30" x14ac:dyDescent="0.25">
      <c r="A74" s="210">
        <v>2412</v>
      </c>
      <c r="B74" s="211" t="s">
        <v>310</v>
      </c>
      <c r="C74" s="258">
        <v>0</v>
      </c>
      <c r="D74" s="259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223">
        <f t="shared" si="5"/>
        <v>0</v>
      </c>
      <c r="L74" s="266">
        <f t="shared" si="6"/>
        <v>0</v>
      </c>
      <c r="M74" s="262"/>
      <c r="N74" s="262"/>
      <c r="O74" s="262"/>
      <c r="P74" s="263"/>
      <c r="Q74" s="263"/>
      <c r="R74" s="263"/>
    </row>
    <row r="75" spans="1:18" ht="45" x14ac:dyDescent="0.25">
      <c r="A75" s="210">
        <v>2419</v>
      </c>
      <c r="B75" s="211" t="s">
        <v>637</v>
      </c>
      <c r="C75" s="258">
        <v>1</v>
      </c>
      <c r="D75" s="259">
        <v>0</v>
      </c>
      <c r="E75" s="120">
        <v>0</v>
      </c>
      <c r="F75" s="120">
        <v>0</v>
      </c>
      <c r="G75" s="120">
        <v>0</v>
      </c>
      <c r="H75" s="120">
        <v>0</v>
      </c>
      <c r="I75" s="120">
        <v>0</v>
      </c>
      <c r="J75" s="120">
        <v>0</v>
      </c>
      <c r="K75" s="223">
        <f t="shared" si="5"/>
        <v>1</v>
      </c>
      <c r="L75" s="266">
        <f t="shared" si="6"/>
        <v>0</v>
      </c>
      <c r="M75" s="262"/>
      <c r="N75" s="262"/>
      <c r="O75" s="262"/>
      <c r="P75" s="263"/>
      <c r="Q75" s="263"/>
      <c r="R75" s="263"/>
    </row>
    <row r="76" spans="1:18" x14ac:dyDescent="0.25">
      <c r="A76" s="210">
        <v>2421</v>
      </c>
      <c r="B76" s="211" t="s">
        <v>312</v>
      </c>
      <c r="C76" s="258">
        <v>0</v>
      </c>
      <c r="D76" s="259">
        <v>0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223">
        <f t="shared" si="5"/>
        <v>0</v>
      </c>
      <c r="L76" s="266">
        <f t="shared" si="6"/>
        <v>0</v>
      </c>
      <c r="M76" s="262"/>
      <c r="N76" s="262"/>
      <c r="O76" s="262"/>
      <c r="P76" s="263"/>
      <c r="Q76" s="263"/>
      <c r="R76" s="263"/>
    </row>
    <row r="77" spans="1:18" x14ac:dyDescent="0.25">
      <c r="A77" s="210">
        <v>2422</v>
      </c>
      <c r="B77" s="211" t="s">
        <v>313</v>
      </c>
      <c r="C77" s="258">
        <v>0</v>
      </c>
      <c r="D77" s="259">
        <v>0</v>
      </c>
      <c r="E77" s="120">
        <v>0</v>
      </c>
      <c r="F77" s="120">
        <v>0</v>
      </c>
      <c r="G77" s="120">
        <v>0</v>
      </c>
      <c r="H77" s="120">
        <v>0</v>
      </c>
      <c r="I77" s="120">
        <v>0</v>
      </c>
      <c r="J77" s="120">
        <v>0</v>
      </c>
      <c r="K77" s="223">
        <f t="shared" si="5"/>
        <v>0</v>
      </c>
      <c r="L77" s="266">
        <f t="shared" si="6"/>
        <v>0</v>
      </c>
      <c r="M77" s="262"/>
      <c r="N77" s="262"/>
      <c r="O77" s="262"/>
      <c r="P77" s="263"/>
      <c r="Q77" s="263"/>
      <c r="R77" s="263"/>
    </row>
    <row r="78" spans="1:18" ht="30" x14ac:dyDescent="0.25">
      <c r="A78" s="210">
        <v>2429</v>
      </c>
      <c r="B78" s="211" t="s">
        <v>314</v>
      </c>
      <c r="C78" s="258">
        <v>0</v>
      </c>
      <c r="D78" s="259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223">
        <f t="shared" si="5"/>
        <v>0</v>
      </c>
      <c r="L78" s="266">
        <f t="shared" si="6"/>
        <v>0</v>
      </c>
      <c r="M78" s="262"/>
      <c r="N78" s="262"/>
      <c r="O78" s="262"/>
      <c r="P78" s="263"/>
      <c r="Q78" s="263"/>
      <c r="R78" s="263"/>
    </row>
    <row r="79" spans="1:18" x14ac:dyDescent="0.25">
      <c r="A79" s="210">
        <v>2431</v>
      </c>
      <c r="B79" s="211" t="s">
        <v>315</v>
      </c>
      <c r="C79" s="258">
        <v>0</v>
      </c>
      <c r="D79" s="259">
        <v>0</v>
      </c>
      <c r="E79" s="120">
        <v>0</v>
      </c>
      <c r="F79" s="120">
        <v>0</v>
      </c>
      <c r="G79" s="120">
        <v>0</v>
      </c>
      <c r="H79" s="120">
        <v>0</v>
      </c>
      <c r="I79" s="120">
        <v>0</v>
      </c>
      <c r="J79" s="120">
        <v>0</v>
      </c>
      <c r="K79" s="223">
        <f t="shared" si="5"/>
        <v>0</v>
      </c>
      <c r="L79" s="266">
        <f t="shared" si="6"/>
        <v>0</v>
      </c>
      <c r="M79" s="262"/>
      <c r="N79" s="262"/>
      <c r="O79" s="262"/>
      <c r="P79" s="263"/>
      <c r="Q79" s="263"/>
      <c r="R79" s="263"/>
    </row>
    <row r="80" spans="1:18" ht="30" x14ac:dyDescent="0.25">
      <c r="A80" s="210">
        <v>2432</v>
      </c>
      <c r="B80" s="211" t="s">
        <v>316</v>
      </c>
      <c r="C80" s="258">
        <v>0</v>
      </c>
      <c r="D80" s="259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0</v>
      </c>
      <c r="J80" s="120">
        <v>0</v>
      </c>
      <c r="K80" s="223">
        <f t="shared" si="5"/>
        <v>0</v>
      </c>
      <c r="L80" s="266">
        <f t="shared" si="6"/>
        <v>0</v>
      </c>
      <c r="M80" s="262"/>
      <c r="N80" s="262"/>
      <c r="O80" s="262"/>
      <c r="P80" s="263"/>
      <c r="Q80" s="263"/>
      <c r="R80" s="263"/>
    </row>
    <row r="81" spans="1:18" x14ac:dyDescent="0.25">
      <c r="A81" s="210">
        <v>2441</v>
      </c>
      <c r="B81" s="211" t="s">
        <v>317</v>
      </c>
      <c r="C81" s="258">
        <v>0</v>
      </c>
      <c r="D81" s="259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223">
        <f t="shared" si="5"/>
        <v>0</v>
      </c>
      <c r="L81" s="266">
        <f t="shared" si="6"/>
        <v>0</v>
      </c>
      <c r="M81" s="262"/>
      <c r="N81" s="262"/>
      <c r="O81" s="262"/>
      <c r="P81" s="263"/>
      <c r="Q81" s="263"/>
      <c r="R81" s="263"/>
    </row>
    <row r="82" spans="1:18" ht="30" x14ac:dyDescent="0.25">
      <c r="A82" s="210">
        <v>2442</v>
      </c>
      <c r="B82" s="211" t="s">
        <v>318</v>
      </c>
      <c r="C82" s="258">
        <v>0</v>
      </c>
      <c r="D82" s="259">
        <v>0</v>
      </c>
      <c r="E82" s="120">
        <v>0</v>
      </c>
      <c r="F82" s="120">
        <v>0</v>
      </c>
      <c r="G82" s="120">
        <v>0</v>
      </c>
      <c r="H82" s="120">
        <v>0</v>
      </c>
      <c r="I82" s="120">
        <v>0</v>
      </c>
      <c r="J82" s="120">
        <v>0</v>
      </c>
      <c r="K82" s="223">
        <f t="shared" si="5"/>
        <v>0</v>
      </c>
      <c r="L82" s="266">
        <f t="shared" si="6"/>
        <v>0</v>
      </c>
      <c r="M82" s="262"/>
      <c r="N82" s="262"/>
      <c r="O82" s="262"/>
      <c r="P82" s="263"/>
      <c r="Q82" s="263"/>
      <c r="R82" s="263"/>
    </row>
    <row r="83" spans="1:18" ht="30" x14ac:dyDescent="0.25">
      <c r="A83" s="210">
        <v>2443</v>
      </c>
      <c r="B83" s="211" t="s">
        <v>319</v>
      </c>
      <c r="C83" s="258">
        <v>0</v>
      </c>
      <c r="D83" s="259">
        <v>0</v>
      </c>
      <c r="E83" s="120">
        <v>0</v>
      </c>
      <c r="F83" s="120">
        <v>0</v>
      </c>
      <c r="G83" s="120">
        <v>0</v>
      </c>
      <c r="H83" s="120">
        <v>0</v>
      </c>
      <c r="I83" s="120">
        <v>0</v>
      </c>
      <c r="J83" s="120">
        <v>0</v>
      </c>
      <c r="K83" s="223">
        <f t="shared" si="5"/>
        <v>0</v>
      </c>
      <c r="L83" s="266">
        <f t="shared" si="6"/>
        <v>0</v>
      </c>
      <c r="M83" s="262"/>
      <c r="N83" s="262"/>
      <c r="O83" s="262"/>
      <c r="P83" s="263"/>
      <c r="Q83" s="263"/>
      <c r="R83" s="263"/>
    </row>
    <row r="84" spans="1:18" ht="30" x14ac:dyDescent="0.25">
      <c r="A84" s="210">
        <v>2444</v>
      </c>
      <c r="B84" s="211" t="s">
        <v>320</v>
      </c>
      <c r="C84" s="258">
        <v>1</v>
      </c>
      <c r="D84" s="259">
        <v>0</v>
      </c>
      <c r="E84" s="120">
        <v>0</v>
      </c>
      <c r="F84" s="120">
        <v>0</v>
      </c>
      <c r="G84" s="120">
        <v>0</v>
      </c>
      <c r="H84" s="120">
        <v>0</v>
      </c>
      <c r="I84" s="120">
        <v>0</v>
      </c>
      <c r="J84" s="120">
        <v>0</v>
      </c>
      <c r="K84" s="223">
        <f t="shared" si="5"/>
        <v>1</v>
      </c>
      <c r="L84" s="266">
        <f t="shared" si="6"/>
        <v>0</v>
      </c>
      <c r="M84" s="262"/>
      <c r="N84" s="262"/>
      <c r="O84" s="262"/>
      <c r="P84" s="263"/>
      <c r="Q84" s="263"/>
      <c r="R84" s="263"/>
    </row>
    <row r="85" spans="1:18" x14ac:dyDescent="0.25">
      <c r="A85" s="210">
        <v>2445</v>
      </c>
      <c r="B85" s="211" t="s">
        <v>321</v>
      </c>
      <c r="C85" s="258">
        <v>0</v>
      </c>
      <c r="D85" s="259">
        <v>0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223">
        <f t="shared" si="5"/>
        <v>0</v>
      </c>
      <c r="L85" s="266">
        <f t="shared" si="6"/>
        <v>0</v>
      </c>
      <c r="M85" s="262"/>
      <c r="N85" s="262"/>
      <c r="O85" s="262"/>
      <c r="P85" s="263"/>
      <c r="Q85" s="263"/>
      <c r="R85" s="263"/>
    </row>
    <row r="86" spans="1:18" x14ac:dyDescent="0.25">
      <c r="A86" s="210">
        <v>2446</v>
      </c>
      <c r="B86" s="211" t="s">
        <v>322</v>
      </c>
      <c r="C86" s="258">
        <v>0</v>
      </c>
      <c r="D86" s="259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223">
        <f t="shared" si="5"/>
        <v>0</v>
      </c>
      <c r="L86" s="266">
        <f t="shared" si="6"/>
        <v>0</v>
      </c>
      <c r="M86" s="262"/>
      <c r="N86" s="262"/>
      <c r="O86" s="262"/>
      <c r="P86" s="263"/>
      <c r="Q86" s="263"/>
      <c r="R86" s="263"/>
    </row>
    <row r="87" spans="1:18" ht="30" x14ac:dyDescent="0.25">
      <c r="A87" s="210">
        <v>2451</v>
      </c>
      <c r="B87" s="211" t="s">
        <v>323</v>
      </c>
      <c r="C87" s="258">
        <v>0</v>
      </c>
      <c r="D87" s="259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223">
        <f t="shared" si="5"/>
        <v>0</v>
      </c>
      <c r="L87" s="266">
        <f t="shared" si="6"/>
        <v>0</v>
      </c>
      <c r="M87" s="262"/>
      <c r="N87" s="262"/>
      <c r="O87" s="262"/>
      <c r="P87" s="263"/>
      <c r="Q87" s="263"/>
      <c r="R87" s="263"/>
    </row>
    <row r="88" spans="1:18" ht="30" x14ac:dyDescent="0.25">
      <c r="A88" s="210">
        <v>2452</v>
      </c>
      <c r="B88" s="211" t="s">
        <v>324</v>
      </c>
      <c r="C88" s="258">
        <v>0</v>
      </c>
      <c r="D88" s="259">
        <v>0</v>
      </c>
      <c r="E88" s="120">
        <v>0</v>
      </c>
      <c r="F88" s="120">
        <v>0</v>
      </c>
      <c r="G88" s="120">
        <v>0</v>
      </c>
      <c r="H88" s="120">
        <v>0</v>
      </c>
      <c r="I88" s="120">
        <v>0</v>
      </c>
      <c r="J88" s="120">
        <v>0</v>
      </c>
      <c r="K88" s="223">
        <f t="shared" si="5"/>
        <v>0</v>
      </c>
      <c r="L88" s="266">
        <f t="shared" si="6"/>
        <v>0</v>
      </c>
      <c r="M88" s="262"/>
      <c r="N88" s="262"/>
      <c r="O88" s="262"/>
      <c r="P88" s="263"/>
      <c r="Q88" s="263"/>
      <c r="R88" s="263"/>
    </row>
    <row r="89" spans="1:18" ht="30" x14ac:dyDescent="0.25">
      <c r="A89" s="210">
        <v>2453</v>
      </c>
      <c r="B89" s="211" t="s">
        <v>325</v>
      </c>
      <c r="C89" s="258">
        <v>0</v>
      </c>
      <c r="D89" s="259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223">
        <f t="shared" si="5"/>
        <v>0</v>
      </c>
      <c r="L89" s="266">
        <f t="shared" si="6"/>
        <v>0</v>
      </c>
      <c r="M89" s="262"/>
      <c r="N89" s="262"/>
      <c r="O89" s="262"/>
      <c r="P89" s="263"/>
      <c r="Q89" s="263"/>
      <c r="R89" s="263"/>
    </row>
    <row r="90" spans="1:18" x14ac:dyDescent="0.25">
      <c r="A90" s="210">
        <v>2454</v>
      </c>
      <c r="B90" s="211" t="s">
        <v>326</v>
      </c>
      <c r="C90" s="258">
        <v>0</v>
      </c>
      <c r="D90" s="259">
        <v>0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223">
        <f t="shared" si="5"/>
        <v>0</v>
      </c>
      <c r="L90" s="266">
        <f t="shared" si="6"/>
        <v>0</v>
      </c>
      <c r="M90" s="262"/>
      <c r="N90" s="262"/>
      <c r="O90" s="262"/>
      <c r="P90" s="263"/>
      <c r="Q90" s="263"/>
      <c r="R90" s="263"/>
    </row>
    <row r="91" spans="1:18" ht="42.75" customHeight="1" x14ac:dyDescent="0.25">
      <c r="A91" s="210">
        <v>2455</v>
      </c>
      <c r="B91" s="211" t="s">
        <v>327</v>
      </c>
      <c r="C91" s="258">
        <v>0</v>
      </c>
      <c r="D91" s="259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223">
        <f t="shared" si="5"/>
        <v>0</v>
      </c>
      <c r="L91" s="266">
        <f t="shared" si="6"/>
        <v>0</v>
      </c>
      <c r="M91" s="262"/>
      <c r="N91" s="267"/>
      <c r="O91" s="267"/>
      <c r="P91" s="263"/>
      <c r="Q91" s="263"/>
      <c r="R91" s="263"/>
    </row>
    <row r="92" spans="1:18" ht="15.75" thickBot="1" x14ac:dyDescent="0.3">
      <c r="A92" s="204">
        <v>2460</v>
      </c>
      <c r="B92" s="205" t="s">
        <v>328</v>
      </c>
      <c r="C92" s="256">
        <v>0</v>
      </c>
      <c r="D92" s="257">
        <v>0</v>
      </c>
      <c r="E92" s="209">
        <v>0</v>
      </c>
      <c r="F92" s="209">
        <v>0</v>
      </c>
      <c r="G92" s="209">
        <v>0</v>
      </c>
      <c r="H92" s="209">
        <v>0</v>
      </c>
      <c r="I92" s="209">
        <v>0</v>
      </c>
      <c r="J92" s="209">
        <v>0</v>
      </c>
      <c r="K92" s="221">
        <f t="shared" si="5"/>
        <v>0</v>
      </c>
      <c r="L92" s="268">
        <f t="shared" si="6"/>
        <v>0</v>
      </c>
      <c r="M92" s="262"/>
      <c r="N92" s="262"/>
      <c r="O92" s="262"/>
      <c r="P92" s="263"/>
      <c r="Q92" s="263"/>
      <c r="R92" s="263"/>
    </row>
    <row r="93" spans="1:18" ht="30.75" thickBot="1" x14ac:dyDescent="0.3">
      <c r="A93" s="254">
        <v>3</v>
      </c>
      <c r="B93" s="255" t="s">
        <v>329</v>
      </c>
      <c r="C93" s="251"/>
      <c r="D93" s="427"/>
      <c r="E93" s="218"/>
      <c r="F93" s="218"/>
      <c r="G93" s="218"/>
      <c r="H93" s="218"/>
      <c r="I93" s="218"/>
      <c r="J93" s="218"/>
      <c r="K93" s="226"/>
      <c r="L93" s="264"/>
      <c r="M93" s="262"/>
      <c r="N93" s="1"/>
      <c r="O93" s="1"/>
      <c r="P93" s="263"/>
      <c r="Q93" s="263"/>
      <c r="R93" s="263"/>
    </row>
    <row r="94" spans="1:18" x14ac:dyDescent="0.25">
      <c r="A94" s="204">
        <v>3111</v>
      </c>
      <c r="B94" s="205" t="s">
        <v>330</v>
      </c>
      <c r="C94" s="256">
        <v>0</v>
      </c>
      <c r="D94" s="257">
        <v>0</v>
      </c>
      <c r="E94" s="209">
        <v>0</v>
      </c>
      <c r="F94" s="209">
        <v>0</v>
      </c>
      <c r="G94" s="209">
        <v>0</v>
      </c>
      <c r="H94" s="209">
        <v>0</v>
      </c>
      <c r="I94" s="209">
        <v>0</v>
      </c>
      <c r="J94" s="209">
        <v>0</v>
      </c>
      <c r="K94" s="221">
        <f t="shared" ref="K94:K125" si="7">C94+E94-G94-I94</f>
        <v>0</v>
      </c>
      <c r="L94" s="265">
        <f t="shared" ref="L94:L125" si="8">D94+F94-H94-J94</f>
        <v>0</v>
      </c>
      <c r="M94" s="262"/>
      <c r="N94" s="262"/>
      <c r="O94" s="262"/>
      <c r="P94" s="263"/>
      <c r="Q94" s="263"/>
      <c r="R94" s="263"/>
    </row>
    <row r="95" spans="1:18" x14ac:dyDescent="0.25">
      <c r="A95" s="210">
        <v>3112</v>
      </c>
      <c r="B95" s="211" t="s">
        <v>331</v>
      </c>
      <c r="C95" s="258">
        <v>1</v>
      </c>
      <c r="D95" s="259">
        <v>0</v>
      </c>
      <c r="E95" s="120">
        <v>0</v>
      </c>
      <c r="F95" s="120">
        <v>0</v>
      </c>
      <c r="G95" s="120">
        <v>0</v>
      </c>
      <c r="H95" s="120">
        <v>0</v>
      </c>
      <c r="I95" s="120">
        <v>0</v>
      </c>
      <c r="J95" s="120">
        <v>0</v>
      </c>
      <c r="K95" s="223">
        <f t="shared" si="7"/>
        <v>1</v>
      </c>
      <c r="L95" s="266">
        <f t="shared" si="8"/>
        <v>0</v>
      </c>
      <c r="M95" s="262"/>
      <c r="N95" s="262"/>
      <c r="O95" s="262"/>
      <c r="P95" s="263"/>
      <c r="Q95" s="263"/>
      <c r="R95" s="263"/>
    </row>
    <row r="96" spans="1:18" x14ac:dyDescent="0.25">
      <c r="A96" s="210">
        <v>3113</v>
      </c>
      <c r="B96" s="211" t="s">
        <v>332</v>
      </c>
      <c r="C96" s="258">
        <v>0</v>
      </c>
      <c r="D96" s="259">
        <v>0</v>
      </c>
      <c r="E96" s="120">
        <v>0</v>
      </c>
      <c r="F96" s="120">
        <v>0</v>
      </c>
      <c r="G96" s="120">
        <v>0</v>
      </c>
      <c r="H96" s="120">
        <v>0</v>
      </c>
      <c r="I96" s="120">
        <v>0</v>
      </c>
      <c r="J96" s="120">
        <v>0</v>
      </c>
      <c r="K96" s="223">
        <f t="shared" si="7"/>
        <v>0</v>
      </c>
      <c r="L96" s="266">
        <f t="shared" si="8"/>
        <v>0</v>
      </c>
      <c r="M96" s="262"/>
      <c r="N96" s="262"/>
      <c r="O96" s="262"/>
      <c r="P96" s="263"/>
      <c r="Q96" s="263"/>
      <c r="R96" s="263"/>
    </row>
    <row r="97" spans="1:18" ht="30" x14ac:dyDescent="0.25">
      <c r="A97" s="210">
        <v>3114</v>
      </c>
      <c r="B97" s="211" t="s">
        <v>333</v>
      </c>
      <c r="C97" s="258">
        <v>0</v>
      </c>
      <c r="D97" s="259">
        <v>0</v>
      </c>
      <c r="E97" s="120">
        <v>0</v>
      </c>
      <c r="F97" s="120">
        <v>0</v>
      </c>
      <c r="G97" s="120">
        <v>0</v>
      </c>
      <c r="H97" s="120">
        <v>0</v>
      </c>
      <c r="I97" s="120">
        <v>0</v>
      </c>
      <c r="J97" s="120">
        <v>0</v>
      </c>
      <c r="K97" s="223">
        <f t="shared" si="7"/>
        <v>0</v>
      </c>
      <c r="L97" s="266">
        <f t="shared" si="8"/>
        <v>0</v>
      </c>
      <c r="M97" s="262"/>
      <c r="N97" s="262"/>
      <c r="O97" s="262"/>
      <c r="P97" s="263"/>
      <c r="Q97" s="263"/>
      <c r="R97" s="263"/>
    </row>
    <row r="98" spans="1:18" x14ac:dyDescent="0.25">
      <c r="A98" s="210">
        <v>3115</v>
      </c>
      <c r="B98" s="211" t="s">
        <v>334</v>
      </c>
      <c r="C98" s="258">
        <v>37</v>
      </c>
      <c r="D98" s="259">
        <v>0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0</v>
      </c>
      <c r="K98" s="223">
        <f t="shared" si="7"/>
        <v>37</v>
      </c>
      <c r="L98" s="266">
        <f t="shared" si="8"/>
        <v>0</v>
      </c>
      <c r="M98" s="262"/>
      <c r="N98" s="262"/>
      <c r="O98" s="262"/>
      <c r="P98" s="263"/>
      <c r="Q98" s="263"/>
      <c r="R98" s="263"/>
    </row>
    <row r="99" spans="1:18" x14ac:dyDescent="0.25">
      <c r="A99" s="210">
        <v>3116</v>
      </c>
      <c r="B99" s="211" t="s">
        <v>335</v>
      </c>
      <c r="C99" s="258">
        <v>0</v>
      </c>
      <c r="D99" s="259">
        <v>0</v>
      </c>
      <c r="E99" s="120">
        <v>0</v>
      </c>
      <c r="F99" s="120">
        <v>0</v>
      </c>
      <c r="G99" s="120">
        <v>0</v>
      </c>
      <c r="H99" s="120">
        <v>0</v>
      </c>
      <c r="I99" s="120">
        <v>0</v>
      </c>
      <c r="J99" s="120">
        <v>0</v>
      </c>
      <c r="K99" s="223">
        <f t="shared" si="7"/>
        <v>0</v>
      </c>
      <c r="L99" s="266">
        <f t="shared" si="8"/>
        <v>0</v>
      </c>
      <c r="M99" s="262"/>
      <c r="N99" s="262"/>
      <c r="O99" s="262"/>
      <c r="P99" s="263"/>
      <c r="Q99" s="263"/>
      <c r="R99" s="263"/>
    </row>
    <row r="100" spans="1:18" ht="15" customHeight="1" x14ac:dyDescent="0.25">
      <c r="A100" s="210">
        <v>3117</v>
      </c>
      <c r="B100" s="211" t="s">
        <v>336</v>
      </c>
      <c r="C100" s="258">
        <v>0</v>
      </c>
      <c r="D100" s="259">
        <v>0</v>
      </c>
      <c r="E100" s="120">
        <v>0</v>
      </c>
      <c r="F100" s="120">
        <v>0</v>
      </c>
      <c r="G100" s="120">
        <v>0</v>
      </c>
      <c r="H100" s="120">
        <v>0</v>
      </c>
      <c r="I100" s="120">
        <v>0</v>
      </c>
      <c r="J100" s="120">
        <v>0</v>
      </c>
      <c r="K100" s="223">
        <f t="shared" si="7"/>
        <v>0</v>
      </c>
      <c r="L100" s="266">
        <f t="shared" si="8"/>
        <v>0</v>
      </c>
      <c r="M100" s="262"/>
      <c r="N100" s="262"/>
      <c r="O100" s="262"/>
      <c r="P100" s="263"/>
      <c r="Q100" s="263"/>
      <c r="R100" s="263"/>
    </row>
    <row r="101" spans="1:18" x14ac:dyDescent="0.25">
      <c r="A101" s="210">
        <v>3118</v>
      </c>
      <c r="B101" s="211" t="s">
        <v>337</v>
      </c>
      <c r="C101" s="258">
        <v>0</v>
      </c>
      <c r="D101" s="259">
        <v>0</v>
      </c>
      <c r="E101" s="120">
        <v>0</v>
      </c>
      <c r="F101" s="120">
        <v>0</v>
      </c>
      <c r="G101" s="120">
        <v>0</v>
      </c>
      <c r="H101" s="120">
        <v>0</v>
      </c>
      <c r="I101" s="120">
        <v>0</v>
      </c>
      <c r="J101" s="120">
        <v>0</v>
      </c>
      <c r="K101" s="223">
        <f t="shared" si="7"/>
        <v>0</v>
      </c>
      <c r="L101" s="266">
        <f t="shared" si="8"/>
        <v>0</v>
      </c>
      <c r="M101" s="262"/>
      <c r="N101" s="262"/>
      <c r="O101" s="262"/>
      <c r="P101" s="263"/>
      <c r="Q101" s="263"/>
      <c r="R101" s="263"/>
    </row>
    <row r="102" spans="1:18" ht="45" x14ac:dyDescent="0.25">
      <c r="A102" s="210">
        <v>3119</v>
      </c>
      <c r="B102" s="211" t="s">
        <v>338</v>
      </c>
      <c r="C102" s="258">
        <v>0</v>
      </c>
      <c r="D102" s="259">
        <v>0</v>
      </c>
      <c r="E102" s="120">
        <v>0</v>
      </c>
      <c r="F102" s="120">
        <v>0</v>
      </c>
      <c r="G102" s="120">
        <v>0</v>
      </c>
      <c r="H102" s="120">
        <v>0</v>
      </c>
      <c r="I102" s="120">
        <v>0</v>
      </c>
      <c r="J102" s="120">
        <v>0</v>
      </c>
      <c r="K102" s="223">
        <f t="shared" si="7"/>
        <v>0</v>
      </c>
      <c r="L102" s="266">
        <f t="shared" si="8"/>
        <v>0</v>
      </c>
      <c r="M102" s="262"/>
      <c r="N102" s="262"/>
      <c r="O102" s="262"/>
      <c r="P102" s="263"/>
      <c r="Q102" s="263"/>
      <c r="R102" s="263"/>
    </row>
    <row r="103" spans="1:18" x14ac:dyDescent="0.25">
      <c r="A103" s="210">
        <v>3121</v>
      </c>
      <c r="B103" s="211" t="s">
        <v>339</v>
      </c>
      <c r="C103" s="258">
        <v>0</v>
      </c>
      <c r="D103" s="259">
        <v>0</v>
      </c>
      <c r="E103" s="120">
        <v>0</v>
      </c>
      <c r="F103" s="120">
        <v>0</v>
      </c>
      <c r="G103" s="120">
        <v>0</v>
      </c>
      <c r="H103" s="120">
        <v>0</v>
      </c>
      <c r="I103" s="120">
        <v>0</v>
      </c>
      <c r="J103" s="120">
        <v>0</v>
      </c>
      <c r="K103" s="223">
        <f t="shared" si="7"/>
        <v>0</v>
      </c>
      <c r="L103" s="266">
        <f t="shared" si="8"/>
        <v>0</v>
      </c>
      <c r="M103" s="262"/>
      <c r="N103" s="262"/>
      <c r="O103" s="262"/>
      <c r="P103" s="263"/>
      <c r="Q103" s="263"/>
      <c r="R103" s="263"/>
    </row>
    <row r="104" spans="1:18" x14ac:dyDescent="0.25">
      <c r="A104" s="210">
        <v>3122</v>
      </c>
      <c r="B104" s="211" t="s">
        <v>340</v>
      </c>
      <c r="C104" s="258">
        <v>0</v>
      </c>
      <c r="D104" s="259">
        <v>0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223">
        <f t="shared" si="7"/>
        <v>0</v>
      </c>
      <c r="L104" s="266">
        <f t="shared" si="8"/>
        <v>0</v>
      </c>
      <c r="M104" s="262"/>
      <c r="N104" s="262"/>
      <c r="O104" s="262"/>
      <c r="P104" s="263"/>
      <c r="Q104" s="263"/>
      <c r="R104" s="263"/>
    </row>
    <row r="105" spans="1:18" x14ac:dyDescent="0.25">
      <c r="A105" s="210">
        <v>3123</v>
      </c>
      <c r="B105" s="211" t="s">
        <v>341</v>
      </c>
      <c r="C105" s="258">
        <v>0</v>
      </c>
      <c r="D105" s="259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223">
        <f t="shared" si="7"/>
        <v>0</v>
      </c>
      <c r="L105" s="266">
        <f t="shared" si="8"/>
        <v>0</v>
      </c>
      <c r="M105" s="262"/>
      <c r="N105" s="262"/>
      <c r="O105" s="262"/>
      <c r="P105" s="263"/>
      <c r="Q105" s="263"/>
      <c r="R105" s="263"/>
    </row>
    <row r="106" spans="1:18" ht="30" x14ac:dyDescent="0.25">
      <c r="A106" s="210">
        <v>3131</v>
      </c>
      <c r="B106" s="211" t="s">
        <v>342</v>
      </c>
      <c r="C106" s="258">
        <v>0</v>
      </c>
      <c r="D106" s="259">
        <v>0</v>
      </c>
      <c r="E106" s="120">
        <v>0</v>
      </c>
      <c r="F106" s="120">
        <v>0</v>
      </c>
      <c r="G106" s="120">
        <v>0</v>
      </c>
      <c r="H106" s="120">
        <v>0</v>
      </c>
      <c r="I106" s="120">
        <v>0</v>
      </c>
      <c r="J106" s="120">
        <v>0</v>
      </c>
      <c r="K106" s="223">
        <f t="shared" si="7"/>
        <v>0</v>
      </c>
      <c r="L106" s="266">
        <f t="shared" si="8"/>
        <v>0</v>
      </c>
      <c r="M106" s="262"/>
      <c r="N106" s="262"/>
      <c r="O106" s="262"/>
      <c r="P106" s="263"/>
      <c r="Q106" s="263"/>
      <c r="R106" s="263"/>
    </row>
    <row r="107" spans="1:18" ht="30" x14ac:dyDescent="0.25">
      <c r="A107" s="210">
        <v>3132</v>
      </c>
      <c r="B107" s="211" t="s">
        <v>343</v>
      </c>
      <c r="C107" s="258">
        <v>0</v>
      </c>
      <c r="D107" s="259">
        <v>0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223">
        <f t="shared" si="7"/>
        <v>0</v>
      </c>
      <c r="L107" s="266">
        <f t="shared" si="8"/>
        <v>0</v>
      </c>
      <c r="M107" s="262"/>
      <c r="N107" s="262"/>
      <c r="O107" s="262"/>
      <c r="P107" s="263"/>
      <c r="Q107" s="263"/>
      <c r="R107" s="263"/>
    </row>
    <row r="108" spans="1:18" x14ac:dyDescent="0.25">
      <c r="A108" s="210">
        <v>3133</v>
      </c>
      <c r="B108" s="211" t="s">
        <v>344</v>
      </c>
      <c r="C108" s="258">
        <v>0</v>
      </c>
      <c r="D108" s="259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223">
        <f t="shared" si="7"/>
        <v>0</v>
      </c>
      <c r="L108" s="266">
        <f t="shared" si="8"/>
        <v>0</v>
      </c>
      <c r="M108" s="262"/>
      <c r="N108" s="262"/>
      <c r="O108" s="262"/>
      <c r="P108" s="263"/>
      <c r="Q108" s="263"/>
      <c r="R108" s="263"/>
    </row>
    <row r="109" spans="1:18" x14ac:dyDescent="0.25">
      <c r="A109" s="210">
        <v>3141</v>
      </c>
      <c r="B109" s="211" t="s">
        <v>345</v>
      </c>
      <c r="C109" s="258">
        <v>0</v>
      </c>
      <c r="D109" s="259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223">
        <f t="shared" si="7"/>
        <v>0</v>
      </c>
      <c r="L109" s="266">
        <f t="shared" si="8"/>
        <v>0</v>
      </c>
      <c r="M109" s="262"/>
      <c r="N109" s="262"/>
      <c r="O109" s="262"/>
      <c r="P109" s="263"/>
      <c r="Q109" s="263"/>
      <c r="R109" s="263"/>
    </row>
    <row r="110" spans="1:18" x14ac:dyDescent="0.25">
      <c r="A110" s="210">
        <v>3142</v>
      </c>
      <c r="B110" s="211" t="s">
        <v>346</v>
      </c>
      <c r="C110" s="258">
        <v>0</v>
      </c>
      <c r="D110" s="259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223">
        <f t="shared" si="7"/>
        <v>0</v>
      </c>
      <c r="L110" s="266">
        <f t="shared" si="8"/>
        <v>0</v>
      </c>
      <c r="M110" s="262"/>
      <c r="N110" s="262"/>
      <c r="O110" s="262"/>
      <c r="P110" s="263"/>
      <c r="Q110" s="263"/>
      <c r="R110" s="263"/>
    </row>
    <row r="111" spans="1:18" ht="30" x14ac:dyDescent="0.25">
      <c r="A111" s="210">
        <v>3143</v>
      </c>
      <c r="B111" s="211" t="s">
        <v>347</v>
      </c>
      <c r="C111" s="258">
        <v>0</v>
      </c>
      <c r="D111" s="259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223">
        <f t="shared" si="7"/>
        <v>0</v>
      </c>
      <c r="L111" s="266">
        <f t="shared" si="8"/>
        <v>0</v>
      </c>
      <c r="M111" s="262"/>
      <c r="N111" s="262"/>
      <c r="O111" s="262"/>
      <c r="P111" s="263"/>
      <c r="Q111" s="263"/>
      <c r="R111" s="263"/>
    </row>
    <row r="112" spans="1:18" x14ac:dyDescent="0.25">
      <c r="A112" s="210">
        <v>3145</v>
      </c>
      <c r="B112" s="211" t="s">
        <v>348</v>
      </c>
      <c r="C112" s="258">
        <v>0</v>
      </c>
      <c r="D112" s="259">
        <v>0</v>
      </c>
      <c r="E112" s="120">
        <v>0</v>
      </c>
      <c r="F112" s="120">
        <v>0</v>
      </c>
      <c r="G112" s="120">
        <v>0</v>
      </c>
      <c r="H112" s="120">
        <v>0</v>
      </c>
      <c r="I112" s="120">
        <v>0</v>
      </c>
      <c r="J112" s="120">
        <v>0</v>
      </c>
      <c r="K112" s="223">
        <f t="shared" si="7"/>
        <v>0</v>
      </c>
      <c r="L112" s="266">
        <f t="shared" si="8"/>
        <v>0</v>
      </c>
      <c r="M112" s="262"/>
      <c r="N112" s="262"/>
      <c r="O112" s="262"/>
      <c r="P112" s="263"/>
      <c r="Q112" s="263"/>
      <c r="R112" s="263"/>
    </row>
    <row r="113" spans="1:18" ht="24.75" customHeight="1" x14ac:dyDescent="0.25">
      <c r="A113" s="210">
        <v>3151</v>
      </c>
      <c r="B113" s="211" t="s">
        <v>349</v>
      </c>
      <c r="C113" s="258">
        <v>0</v>
      </c>
      <c r="D113" s="259">
        <v>1</v>
      </c>
      <c r="E113" s="120">
        <v>0</v>
      </c>
      <c r="F113" s="120">
        <v>0</v>
      </c>
      <c r="G113" s="120">
        <v>0</v>
      </c>
      <c r="H113" s="120">
        <v>0</v>
      </c>
      <c r="I113" s="120">
        <v>0</v>
      </c>
      <c r="J113" s="120">
        <v>0</v>
      </c>
      <c r="K113" s="223">
        <f t="shared" si="7"/>
        <v>0</v>
      </c>
      <c r="L113" s="266">
        <f t="shared" si="8"/>
        <v>1</v>
      </c>
      <c r="M113" s="262"/>
      <c r="N113" s="267"/>
      <c r="O113" s="267"/>
      <c r="P113" s="263"/>
      <c r="Q113" s="263"/>
      <c r="R113" s="263"/>
    </row>
    <row r="114" spans="1:18" ht="30" x14ac:dyDescent="0.25">
      <c r="A114" s="210">
        <v>3152</v>
      </c>
      <c r="B114" s="211" t="s">
        <v>350</v>
      </c>
      <c r="C114" s="258">
        <v>31</v>
      </c>
      <c r="D114" s="259">
        <v>1</v>
      </c>
      <c r="E114" s="120">
        <v>0</v>
      </c>
      <c r="F114" s="120">
        <v>0</v>
      </c>
      <c r="G114" s="120">
        <v>0</v>
      </c>
      <c r="H114" s="120">
        <v>0</v>
      </c>
      <c r="I114" s="120">
        <v>0</v>
      </c>
      <c r="J114" s="120">
        <v>0</v>
      </c>
      <c r="K114" s="223">
        <f t="shared" si="7"/>
        <v>31</v>
      </c>
      <c r="L114" s="266">
        <f t="shared" si="8"/>
        <v>1</v>
      </c>
      <c r="M114" s="262"/>
      <c r="N114" s="262"/>
      <c r="O114" s="262"/>
      <c r="P114" s="263"/>
      <c r="Q114" s="263"/>
      <c r="R114" s="263"/>
    </row>
    <row r="115" spans="1:18" x14ac:dyDescent="0.25">
      <c r="A115" s="210">
        <v>3211</v>
      </c>
      <c r="B115" s="211" t="s">
        <v>351</v>
      </c>
      <c r="C115" s="258">
        <v>0</v>
      </c>
      <c r="D115" s="259">
        <v>0</v>
      </c>
      <c r="E115" s="120">
        <v>0</v>
      </c>
      <c r="F115" s="120">
        <v>0</v>
      </c>
      <c r="G115" s="120">
        <v>0</v>
      </c>
      <c r="H115" s="120">
        <v>0</v>
      </c>
      <c r="I115" s="120">
        <v>0</v>
      </c>
      <c r="J115" s="120">
        <v>0</v>
      </c>
      <c r="K115" s="223">
        <f t="shared" si="7"/>
        <v>0</v>
      </c>
      <c r="L115" s="266">
        <f t="shared" si="8"/>
        <v>0</v>
      </c>
      <c r="M115" s="262"/>
      <c r="N115" s="262"/>
      <c r="O115" s="262"/>
      <c r="P115" s="263"/>
      <c r="Q115" s="263"/>
      <c r="R115" s="263"/>
    </row>
    <row r="116" spans="1:18" x14ac:dyDescent="0.25">
      <c r="A116" s="210">
        <v>3212</v>
      </c>
      <c r="B116" s="211" t="s">
        <v>352</v>
      </c>
      <c r="C116" s="258">
        <v>0</v>
      </c>
      <c r="D116" s="259">
        <v>0</v>
      </c>
      <c r="E116" s="120">
        <v>0</v>
      </c>
      <c r="F116" s="120">
        <v>0</v>
      </c>
      <c r="G116" s="120">
        <v>0</v>
      </c>
      <c r="H116" s="120">
        <v>0</v>
      </c>
      <c r="I116" s="120">
        <v>0</v>
      </c>
      <c r="J116" s="120">
        <v>0</v>
      </c>
      <c r="K116" s="223">
        <f t="shared" si="7"/>
        <v>0</v>
      </c>
      <c r="L116" s="266">
        <f t="shared" si="8"/>
        <v>0</v>
      </c>
      <c r="M116" s="262"/>
      <c r="N116" s="262"/>
      <c r="O116" s="262"/>
      <c r="P116" s="263"/>
      <c r="Q116" s="263"/>
      <c r="R116" s="263"/>
    </row>
    <row r="117" spans="1:18" ht="15" customHeight="1" x14ac:dyDescent="0.25">
      <c r="A117" s="210">
        <v>3213</v>
      </c>
      <c r="B117" s="211" t="s">
        <v>353</v>
      </c>
      <c r="C117" s="258">
        <v>0</v>
      </c>
      <c r="D117" s="259">
        <v>0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223">
        <f t="shared" si="7"/>
        <v>0</v>
      </c>
      <c r="L117" s="266">
        <f t="shared" si="8"/>
        <v>0</v>
      </c>
      <c r="M117" s="262"/>
      <c r="N117" s="267"/>
      <c r="O117" s="267"/>
      <c r="P117" s="263"/>
      <c r="Q117" s="263"/>
      <c r="R117" s="263"/>
    </row>
    <row r="118" spans="1:18" x14ac:dyDescent="0.25">
      <c r="A118" s="210">
        <v>3221</v>
      </c>
      <c r="B118" s="211" t="s">
        <v>354</v>
      </c>
      <c r="C118" s="258">
        <v>0</v>
      </c>
      <c r="D118" s="259">
        <v>0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223">
        <f t="shared" si="7"/>
        <v>0</v>
      </c>
      <c r="L118" s="266">
        <f t="shared" si="8"/>
        <v>0</v>
      </c>
      <c r="M118" s="262"/>
      <c r="N118" s="262"/>
      <c r="O118" s="262"/>
      <c r="P118" s="263"/>
      <c r="Q118" s="263"/>
      <c r="R118" s="263"/>
    </row>
    <row r="119" spans="1:18" x14ac:dyDescent="0.25">
      <c r="A119" s="210">
        <v>3222</v>
      </c>
      <c r="B119" s="211" t="s">
        <v>355</v>
      </c>
      <c r="C119" s="258">
        <v>0</v>
      </c>
      <c r="D119" s="259">
        <v>0</v>
      </c>
      <c r="E119" s="120">
        <v>0</v>
      </c>
      <c r="F119" s="120">
        <v>0</v>
      </c>
      <c r="G119" s="120">
        <v>0</v>
      </c>
      <c r="H119" s="120">
        <v>0</v>
      </c>
      <c r="I119" s="120">
        <v>0</v>
      </c>
      <c r="J119" s="120">
        <v>0</v>
      </c>
      <c r="K119" s="223">
        <f t="shared" si="7"/>
        <v>0</v>
      </c>
      <c r="L119" s="266">
        <f t="shared" si="8"/>
        <v>0</v>
      </c>
      <c r="M119" s="262"/>
      <c r="N119" s="262"/>
      <c r="O119" s="262"/>
      <c r="P119" s="263"/>
      <c r="Q119" s="263"/>
      <c r="R119" s="263"/>
    </row>
    <row r="120" spans="1:18" x14ac:dyDescent="0.25">
      <c r="A120" s="210">
        <v>3223</v>
      </c>
      <c r="B120" s="211" t="s">
        <v>356</v>
      </c>
      <c r="C120" s="258">
        <v>0</v>
      </c>
      <c r="D120" s="259">
        <v>0</v>
      </c>
      <c r="E120" s="120">
        <v>0</v>
      </c>
      <c r="F120" s="120">
        <v>0</v>
      </c>
      <c r="G120" s="120">
        <v>0</v>
      </c>
      <c r="H120" s="120">
        <v>0</v>
      </c>
      <c r="I120" s="120">
        <v>0</v>
      </c>
      <c r="J120" s="120">
        <v>0</v>
      </c>
      <c r="K120" s="223">
        <f t="shared" si="7"/>
        <v>0</v>
      </c>
      <c r="L120" s="266">
        <f t="shared" si="8"/>
        <v>0</v>
      </c>
      <c r="M120" s="262"/>
      <c r="N120" s="262"/>
      <c r="O120" s="262"/>
      <c r="P120" s="263"/>
      <c r="Q120" s="263"/>
      <c r="R120" s="263"/>
    </row>
    <row r="121" spans="1:18" x14ac:dyDescent="0.25">
      <c r="A121" s="210">
        <v>3224</v>
      </c>
      <c r="B121" s="211" t="s">
        <v>357</v>
      </c>
      <c r="C121" s="258">
        <v>0</v>
      </c>
      <c r="D121" s="259">
        <v>0</v>
      </c>
      <c r="E121" s="120">
        <v>0</v>
      </c>
      <c r="F121" s="120">
        <v>0</v>
      </c>
      <c r="G121" s="120">
        <v>0</v>
      </c>
      <c r="H121" s="120">
        <v>0</v>
      </c>
      <c r="I121" s="120">
        <v>0</v>
      </c>
      <c r="J121" s="120">
        <v>0</v>
      </c>
      <c r="K121" s="223">
        <f t="shared" si="7"/>
        <v>0</v>
      </c>
      <c r="L121" s="266">
        <f t="shared" si="8"/>
        <v>0</v>
      </c>
      <c r="M121" s="262"/>
      <c r="N121" s="262"/>
      <c r="O121" s="262"/>
      <c r="P121" s="263"/>
      <c r="Q121" s="263"/>
      <c r="R121" s="263"/>
    </row>
    <row r="122" spans="1:18" x14ac:dyDescent="0.25">
      <c r="A122" s="210">
        <v>3225</v>
      </c>
      <c r="B122" s="211" t="s">
        <v>358</v>
      </c>
      <c r="C122" s="258">
        <v>0</v>
      </c>
      <c r="D122" s="259">
        <v>1</v>
      </c>
      <c r="E122" s="120">
        <v>0</v>
      </c>
      <c r="F122" s="120">
        <v>0</v>
      </c>
      <c r="G122" s="120">
        <v>0</v>
      </c>
      <c r="H122" s="120">
        <v>0</v>
      </c>
      <c r="I122" s="120">
        <v>0</v>
      </c>
      <c r="J122" s="120">
        <v>0</v>
      </c>
      <c r="K122" s="223">
        <f t="shared" si="7"/>
        <v>0</v>
      </c>
      <c r="L122" s="266">
        <f t="shared" si="8"/>
        <v>1</v>
      </c>
      <c r="M122" s="262"/>
      <c r="N122" s="262"/>
      <c r="O122" s="262"/>
      <c r="P122" s="263"/>
      <c r="Q122" s="263"/>
      <c r="R122" s="263"/>
    </row>
    <row r="123" spans="1:18" ht="30" x14ac:dyDescent="0.25">
      <c r="A123" s="210">
        <v>3226</v>
      </c>
      <c r="B123" s="211" t="s">
        <v>359</v>
      </c>
      <c r="C123" s="258">
        <v>0</v>
      </c>
      <c r="D123" s="259">
        <v>0</v>
      </c>
      <c r="E123" s="120">
        <v>0</v>
      </c>
      <c r="F123" s="120">
        <v>0</v>
      </c>
      <c r="G123" s="120">
        <v>0</v>
      </c>
      <c r="H123" s="120">
        <v>0</v>
      </c>
      <c r="I123" s="120">
        <v>0</v>
      </c>
      <c r="J123" s="120">
        <v>0</v>
      </c>
      <c r="K123" s="223">
        <f t="shared" si="7"/>
        <v>0</v>
      </c>
      <c r="L123" s="266">
        <f t="shared" si="8"/>
        <v>0</v>
      </c>
      <c r="M123" s="262"/>
      <c r="N123" s="262"/>
      <c r="O123" s="262"/>
      <c r="P123" s="263"/>
      <c r="Q123" s="263"/>
      <c r="R123" s="263"/>
    </row>
    <row r="124" spans="1:18" x14ac:dyDescent="0.25">
      <c r="A124" s="210">
        <v>3227</v>
      </c>
      <c r="B124" s="211" t="s">
        <v>360</v>
      </c>
      <c r="C124" s="258">
        <v>0</v>
      </c>
      <c r="D124" s="259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223">
        <f t="shared" si="7"/>
        <v>0</v>
      </c>
      <c r="L124" s="266">
        <f t="shared" si="8"/>
        <v>0</v>
      </c>
      <c r="M124" s="262"/>
      <c r="N124" s="262"/>
      <c r="O124" s="262"/>
      <c r="P124" s="263"/>
      <c r="Q124" s="263"/>
      <c r="R124" s="263"/>
    </row>
    <row r="125" spans="1:18" x14ac:dyDescent="0.25">
      <c r="A125" s="210">
        <v>3228</v>
      </c>
      <c r="B125" s="211" t="s">
        <v>361</v>
      </c>
      <c r="C125" s="258">
        <v>0</v>
      </c>
      <c r="D125" s="259">
        <v>1</v>
      </c>
      <c r="E125" s="120">
        <v>0</v>
      </c>
      <c r="F125" s="120">
        <v>0</v>
      </c>
      <c r="G125" s="120">
        <v>0</v>
      </c>
      <c r="H125" s="120">
        <v>0</v>
      </c>
      <c r="I125" s="120">
        <v>0</v>
      </c>
      <c r="J125" s="120">
        <v>0</v>
      </c>
      <c r="K125" s="223">
        <f t="shared" si="7"/>
        <v>0</v>
      </c>
      <c r="L125" s="266">
        <f t="shared" si="8"/>
        <v>1</v>
      </c>
      <c r="M125" s="262"/>
      <c r="N125" s="262"/>
      <c r="O125" s="262"/>
      <c r="P125" s="263"/>
      <c r="Q125" s="263"/>
      <c r="R125" s="263"/>
    </row>
    <row r="126" spans="1:18" ht="30" x14ac:dyDescent="0.25">
      <c r="A126" s="210">
        <v>3229</v>
      </c>
      <c r="B126" s="211" t="s">
        <v>362</v>
      </c>
      <c r="C126" s="258">
        <v>0</v>
      </c>
      <c r="D126" s="259">
        <v>1</v>
      </c>
      <c r="E126" s="120">
        <v>0</v>
      </c>
      <c r="F126" s="120">
        <v>0</v>
      </c>
      <c r="G126" s="120">
        <v>0</v>
      </c>
      <c r="H126" s="120">
        <v>0</v>
      </c>
      <c r="I126" s="120">
        <v>0</v>
      </c>
      <c r="J126" s="120">
        <v>0</v>
      </c>
      <c r="K126" s="223">
        <f t="shared" ref="K126:K157" si="9">C126+E126-G126-I126</f>
        <v>0</v>
      </c>
      <c r="L126" s="266">
        <f t="shared" ref="L126:L157" si="10">D126+F126-H126-J126</f>
        <v>1</v>
      </c>
      <c r="M126" s="262"/>
      <c r="N126" s="262"/>
      <c r="O126" s="262"/>
      <c r="P126" s="263"/>
      <c r="Q126" s="263"/>
      <c r="R126" s="263"/>
    </row>
    <row r="127" spans="1:18" x14ac:dyDescent="0.25">
      <c r="A127" s="210">
        <v>3231</v>
      </c>
      <c r="B127" s="211" t="s">
        <v>363</v>
      </c>
      <c r="C127" s="258">
        <v>1</v>
      </c>
      <c r="D127" s="259">
        <v>1</v>
      </c>
      <c r="E127" s="120">
        <v>0</v>
      </c>
      <c r="F127" s="120">
        <v>0</v>
      </c>
      <c r="G127" s="120">
        <v>0</v>
      </c>
      <c r="H127" s="120">
        <v>0</v>
      </c>
      <c r="I127" s="120">
        <v>0</v>
      </c>
      <c r="J127" s="120">
        <v>0</v>
      </c>
      <c r="K127" s="223">
        <f t="shared" si="9"/>
        <v>1</v>
      </c>
      <c r="L127" s="266">
        <f t="shared" si="10"/>
        <v>1</v>
      </c>
      <c r="M127" s="262"/>
      <c r="N127" s="262"/>
      <c r="O127" s="262"/>
      <c r="P127" s="263"/>
      <c r="Q127" s="263"/>
      <c r="R127" s="263"/>
    </row>
    <row r="128" spans="1:18" x14ac:dyDescent="0.25">
      <c r="A128" s="210">
        <v>3232</v>
      </c>
      <c r="B128" s="211" t="s">
        <v>364</v>
      </c>
      <c r="C128" s="258">
        <v>0</v>
      </c>
      <c r="D128" s="259">
        <v>0</v>
      </c>
      <c r="E128" s="120">
        <v>0</v>
      </c>
      <c r="F128" s="120">
        <v>0</v>
      </c>
      <c r="G128" s="120">
        <v>0</v>
      </c>
      <c r="H128" s="120">
        <v>0</v>
      </c>
      <c r="I128" s="120">
        <v>0</v>
      </c>
      <c r="J128" s="120">
        <v>0</v>
      </c>
      <c r="K128" s="223">
        <f t="shared" si="9"/>
        <v>0</v>
      </c>
      <c r="L128" s="266">
        <f t="shared" si="10"/>
        <v>0</v>
      </c>
      <c r="M128" s="262"/>
      <c r="N128" s="262"/>
      <c r="O128" s="262"/>
      <c r="P128" s="263"/>
      <c r="Q128" s="263"/>
      <c r="R128" s="263"/>
    </row>
    <row r="129" spans="1:18" x14ac:dyDescent="0.25">
      <c r="A129" s="210">
        <v>3241</v>
      </c>
      <c r="B129" s="211" t="s">
        <v>365</v>
      </c>
      <c r="C129" s="258">
        <v>0</v>
      </c>
      <c r="D129" s="259">
        <v>0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223">
        <f t="shared" si="9"/>
        <v>0</v>
      </c>
      <c r="L129" s="266">
        <f t="shared" si="10"/>
        <v>0</v>
      </c>
      <c r="M129" s="262"/>
      <c r="N129" s="262"/>
      <c r="O129" s="262"/>
      <c r="P129" s="263"/>
      <c r="Q129" s="263"/>
      <c r="R129" s="263"/>
    </row>
    <row r="130" spans="1:18" x14ac:dyDescent="0.25">
      <c r="A130" s="210">
        <v>3242</v>
      </c>
      <c r="B130" s="211" t="s">
        <v>366</v>
      </c>
      <c r="C130" s="258">
        <v>0</v>
      </c>
      <c r="D130" s="259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223">
        <f t="shared" si="9"/>
        <v>0</v>
      </c>
      <c r="L130" s="266">
        <f t="shared" si="10"/>
        <v>0</v>
      </c>
      <c r="M130" s="262"/>
      <c r="N130" s="262"/>
      <c r="O130" s="262"/>
      <c r="P130" s="263"/>
      <c r="Q130" s="263"/>
      <c r="R130" s="263"/>
    </row>
    <row r="131" spans="1:18" ht="27.95" customHeight="1" x14ac:dyDescent="0.25">
      <c r="A131" s="210">
        <v>3310</v>
      </c>
      <c r="B131" s="211" t="s">
        <v>367</v>
      </c>
      <c r="C131" s="258">
        <v>0</v>
      </c>
      <c r="D131" s="259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223">
        <f t="shared" si="9"/>
        <v>0</v>
      </c>
      <c r="L131" s="266">
        <f t="shared" si="10"/>
        <v>0</v>
      </c>
      <c r="M131" s="262"/>
      <c r="N131" s="262"/>
      <c r="O131" s="262"/>
      <c r="P131" s="263"/>
      <c r="Q131" s="263"/>
      <c r="R131" s="263"/>
    </row>
    <row r="132" spans="1:18" ht="30" x14ac:dyDescent="0.25">
      <c r="A132" s="210">
        <v>3320</v>
      </c>
      <c r="B132" s="211" t="s">
        <v>368</v>
      </c>
      <c r="C132" s="258">
        <v>0</v>
      </c>
      <c r="D132" s="259">
        <v>0</v>
      </c>
      <c r="E132" s="120">
        <v>0</v>
      </c>
      <c r="F132" s="120">
        <v>0</v>
      </c>
      <c r="G132" s="120">
        <v>0</v>
      </c>
      <c r="H132" s="120">
        <v>0</v>
      </c>
      <c r="I132" s="120">
        <v>0</v>
      </c>
      <c r="J132" s="120">
        <v>0</v>
      </c>
      <c r="K132" s="223">
        <f t="shared" si="9"/>
        <v>0</v>
      </c>
      <c r="L132" s="266">
        <f t="shared" si="10"/>
        <v>0</v>
      </c>
      <c r="M132" s="262"/>
      <c r="N132" s="262"/>
      <c r="O132" s="262"/>
      <c r="P132" s="263"/>
      <c r="Q132" s="263"/>
      <c r="R132" s="263"/>
    </row>
    <row r="133" spans="1:18" ht="30" x14ac:dyDescent="0.25">
      <c r="A133" s="210">
        <v>3330</v>
      </c>
      <c r="B133" s="211" t="s">
        <v>369</v>
      </c>
      <c r="C133" s="258">
        <v>0</v>
      </c>
      <c r="D133" s="259">
        <v>0</v>
      </c>
      <c r="E133" s="120">
        <v>0</v>
      </c>
      <c r="F133" s="120">
        <v>0</v>
      </c>
      <c r="G133" s="120">
        <v>0</v>
      </c>
      <c r="H133" s="120">
        <v>0</v>
      </c>
      <c r="I133" s="120">
        <v>0</v>
      </c>
      <c r="J133" s="120">
        <v>0</v>
      </c>
      <c r="K133" s="223">
        <f t="shared" si="9"/>
        <v>0</v>
      </c>
      <c r="L133" s="266">
        <f t="shared" si="10"/>
        <v>0</v>
      </c>
      <c r="M133" s="262"/>
      <c r="N133" s="262"/>
      <c r="O133" s="262"/>
      <c r="P133" s="263"/>
      <c r="Q133" s="263"/>
      <c r="R133" s="263"/>
    </row>
    <row r="134" spans="1:18" ht="27.95" customHeight="1" x14ac:dyDescent="0.25">
      <c r="A134" s="210">
        <v>3340</v>
      </c>
      <c r="B134" s="211" t="s">
        <v>370</v>
      </c>
      <c r="C134" s="258">
        <v>0</v>
      </c>
      <c r="D134" s="259">
        <v>0</v>
      </c>
      <c r="E134" s="120">
        <v>0</v>
      </c>
      <c r="F134" s="120">
        <v>0</v>
      </c>
      <c r="G134" s="120">
        <v>0</v>
      </c>
      <c r="H134" s="120">
        <v>0</v>
      </c>
      <c r="I134" s="120">
        <v>0</v>
      </c>
      <c r="J134" s="120">
        <v>0</v>
      </c>
      <c r="K134" s="223">
        <f t="shared" si="9"/>
        <v>0</v>
      </c>
      <c r="L134" s="266">
        <f t="shared" si="10"/>
        <v>0</v>
      </c>
      <c r="M134" s="262"/>
      <c r="N134" s="262"/>
      <c r="O134" s="262"/>
      <c r="P134" s="263"/>
      <c r="Q134" s="263"/>
      <c r="R134" s="263"/>
    </row>
    <row r="135" spans="1:18" ht="30" x14ac:dyDescent="0.25">
      <c r="A135" s="210">
        <v>3411</v>
      </c>
      <c r="B135" s="211" t="s">
        <v>371</v>
      </c>
      <c r="C135" s="258">
        <v>0</v>
      </c>
      <c r="D135" s="259">
        <v>0</v>
      </c>
      <c r="E135" s="120">
        <v>0</v>
      </c>
      <c r="F135" s="120">
        <v>0</v>
      </c>
      <c r="G135" s="120">
        <v>0</v>
      </c>
      <c r="H135" s="120">
        <v>0</v>
      </c>
      <c r="I135" s="120">
        <v>0</v>
      </c>
      <c r="J135" s="120">
        <v>0</v>
      </c>
      <c r="K135" s="223">
        <f t="shared" si="9"/>
        <v>0</v>
      </c>
      <c r="L135" s="266">
        <f t="shared" si="10"/>
        <v>0</v>
      </c>
      <c r="M135" s="262"/>
      <c r="N135" s="262"/>
      <c r="O135" s="262"/>
      <c r="P135" s="263"/>
      <c r="Q135" s="263"/>
      <c r="R135" s="263"/>
    </row>
    <row r="136" spans="1:18" x14ac:dyDescent="0.25">
      <c r="A136" s="210">
        <v>3412</v>
      </c>
      <c r="B136" s="211" t="s">
        <v>372</v>
      </c>
      <c r="C136" s="258">
        <v>0</v>
      </c>
      <c r="D136" s="259">
        <v>0</v>
      </c>
      <c r="E136" s="120">
        <v>0</v>
      </c>
      <c r="F136" s="120">
        <v>0</v>
      </c>
      <c r="G136" s="120">
        <v>0</v>
      </c>
      <c r="H136" s="120">
        <v>0</v>
      </c>
      <c r="I136" s="120">
        <v>0</v>
      </c>
      <c r="J136" s="120">
        <v>0</v>
      </c>
      <c r="K136" s="223">
        <f t="shared" si="9"/>
        <v>0</v>
      </c>
      <c r="L136" s="266">
        <f t="shared" si="10"/>
        <v>0</v>
      </c>
      <c r="M136" s="262"/>
      <c r="N136" s="262"/>
      <c r="O136" s="262"/>
      <c r="P136" s="263"/>
      <c r="Q136" s="263"/>
      <c r="R136" s="263"/>
    </row>
    <row r="137" spans="1:18" x14ac:dyDescent="0.25">
      <c r="A137" s="210">
        <v>3413</v>
      </c>
      <c r="B137" s="211" t="s">
        <v>373</v>
      </c>
      <c r="C137" s="258">
        <v>0</v>
      </c>
      <c r="D137" s="259">
        <v>0</v>
      </c>
      <c r="E137" s="120">
        <v>0</v>
      </c>
      <c r="F137" s="120">
        <v>0</v>
      </c>
      <c r="G137" s="120">
        <v>0</v>
      </c>
      <c r="H137" s="120">
        <v>0</v>
      </c>
      <c r="I137" s="120">
        <v>0</v>
      </c>
      <c r="J137" s="120">
        <v>0</v>
      </c>
      <c r="K137" s="223">
        <f t="shared" si="9"/>
        <v>0</v>
      </c>
      <c r="L137" s="266">
        <f t="shared" si="10"/>
        <v>0</v>
      </c>
      <c r="M137" s="262"/>
      <c r="N137" s="262"/>
      <c r="O137" s="262"/>
      <c r="P137" s="263"/>
      <c r="Q137" s="263"/>
      <c r="R137" s="263"/>
    </row>
    <row r="138" spans="1:18" ht="24" customHeight="1" x14ac:dyDescent="0.25">
      <c r="A138" s="210">
        <v>3414</v>
      </c>
      <c r="B138" s="211" t="s">
        <v>374</v>
      </c>
      <c r="C138" s="258">
        <v>0</v>
      </c>
      <c r="D138" s="259">
        <v>0</v>
      </c>
      <c r="E138" s="120">
        <v>0</v>
      </c>
      <c r="F138" s="120">
        <v>0</v>
      </c>
      <c r="G138" s="120">
        <v>0</v>
      </c>
      <c r="H138" s="120">
        <v>0</v>
      </c>
      <c r="I138" s="120">
        <v>0</v>
      </c>
      <c r="J138" s="120">
        <v>0</v>
      </c>
      <c r="K138" s="223">
        <f t="shared" si="9"/>
        <v>0</v>
      </c>
      <c r="L138" s="266">
        <f t="shared" si="10"/>
        <v>0</v>
      </c>
      <c r="M138" s="262"/>
      <c r="N138" s="267"/>
      <c r="O138" s="267"/>
      <c r="P138" s="263"/>
      <c r="Q138" s="263"/>
      <c r="R138" s="263"/>
    </row>
    <row r="139" spans="1:18" ht="15" customHeight="1" x14ac:dyDescent="0.25">
      <c r="A139" s="210">
        <v>3415</v>
      </c>
      <c r="B139" s="211" t="s">
        <v>375</v>
      </c>
      <c r="C139" s="258">
        <v>0</v>
      </c>
      <c r="D139" s="259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223">
        <f t="shared" si="9"/>
        <v>0</v>
      </c>
      <c r="L139" s="266">
        <f t="shared" si="10"/>
        <v>0</v>
      </c>
      <c r="M139" s="262"/>
      <c r="N139" s="262"/>
      <c r="O139" s="262"/>
      <c r="P139" s="263"/>
      <c r="Q139" s="263"/>
      <c r="R139" s="263"/>
    </row>
    <row r="140" spans="1:18" x14ac:dyDescent="0.25">
      <c r="A140" s="210">
        <v>3416</v>
      </c>
      <c r="B140" s="211" t="s">
        <v>376</v>
      </c>
      <c r="C140" s="258">
        <v>0</v>
      </c>
      <c r="D140" s="259">
        <v>0</v>
      </c>
      <c r="E140" s="120">
        <v>0</v>
      </c>
      <c r="F140" s="120">
        <v>0</v>
      </c>
      <c r="G140" s="120">
        <v>0</v>
      </c>
      <c r="H140" s="120">
        <v>0</v>
      </c>
      <c r="I140" s="120">
        <v>0</v>
      </c>
      <c r="J140" s="120">
        <v>0</v>
      </c>
      <c r="K140" s="223">
        <f t="shared" si="9"/>
        <v>0</v>
      </c>
      <c r="L140" s="266">
        <f t="shared" si="10"/>
        <v>0</v>
      </c>
      <c r="M140" s="262"/>
      <c r="N140" s="262"/>
      <c r="O140" s="262"/>
      <c r="P140" s="263"/>
      <c r="Q140" s="263"/>
      <c r="R140" s="263"/>
    </row>
    <row r="141" spans="1:18" x14ac:dyDescent="0.25">
      <c r="A141" s="210">
        <v>3417</v>
      </c>
      <c r="B141" s="211" t="s">
        <v>377</v>
      </c>
      <c r="C141" s="258">
        <v>0</v>
      </c>
      <c r="D141" s="259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223">
        <f t="shared" si="9"/>
        <v>0</v>
      </c>
      <c r="L141" s="266">
        <f t="shared" si="10"/>
        <v>0</v>
      </c>
      <c r="M141" s="262"/>
      <c r="N141" s="262"/>
      <c r="O141" s="262"/>
      <c r="P141" s="263"/>
      <c r="Q141" s="263"/>
      <c r="R141" s="263"/>
    </row>
    <row r="142" spans="1:18" x14ac:dyDescent="0.25">
      <c r="A142" s="210">
        <v>3421</v>
      </c>
      <c r="B142" s="211" t="s">
        <v>378</v>
      </c>
      <c r="C142" s="258">
        <v>0</v>
      </c>
      <c r="D142" s="259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223">
        <f t="shared" si="9"/>
        <v>0</v>
      </c>
      <c r="L142" s="266">
        <f t="shared" si="10"/>
        <v>0</v>
      </c>
      <c r="M142" s="262"/>
      <c r="N142" s="262"/>
      <c r="O142" s="262"/>
      <c r="P142" s="263"/>
      <c r="Q142" s="263"/>
      <c r="R142" s="263"/>
    </row>
    <row r="143" spans="1:18" x14ac:dyDescent="0.25">
      <c r="A143" s="210">
        <v>3422</v>
      </c>
      <c r="B143" s="211" t="s">
        <v>379</v>
      </c>
      <c r="C143" s="258">
        <v>0</v>
      </c>
      <c r="D143" s="259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223">
        <f t="shared" si="9"/>
        <v>0</v>
      </c>
      <c r="L143" s="266">
        <f t="shared" si="10"/>
        <v>0</v>
      </c>
      <c r="M143" s="262"/>
      <c r="N143" s="262"/>
      <c r="O143" s="262"/>
      <c r="P143" s="263"/>
      <c r="Q143" s="263"/>
      <c r="R143" s="263"/>
    </row>
    <row r="144" spans="1:18" ht="30" x14ac:dyDescent="0.25">
      <c r="A144" s="210">
        <v>3423</v>
      </c>
      <c r="B144" s="211" t="s">
        <v>380</v>
      </c>
      <c r="C144" s="258">
        <v>0</v>
      </c>
      <c r="D144" s="259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223">
        <f t="shared" si="9"/>
        <v>0</v>
      </c>
      <c r="L144" s="266">
        <f t="shared" si="10"/>
        <v>0</v>
      </c>
      <c r="M144" s="262"/>
      <c r="N144" s="262"/>
      <c r="O144" s="262"/>
      <c r="P144" s="263"/>
      <c r="Q144" s="263"/>
      <c r="R144" s="263"/>
    </row>
    <row r="145" spans="1:18" ht="30" x14ac:dyDescent="0.25">
      <c r="A145" s="210">
        <v>3429</v>
      </c>
      <c r="B145" s="211" t="s">
        <v>381</v>
      </c>
      <c r="C145" s="258">
        <v>0</v>
      </c>
      <c r="D145" s="259">
        <v>0</v>
      </c>
      <c r="E145" s="120">
        <v>0</v>
      </c>
      <c r="F145" s="120">
        <v>0</v>
      </c>
      <c r="G145" s="120">
        <v>0</v>
      </c>
      <c r="H145" s="120">
        <v>0</v>
      </c>
      <c r="I145" s="120">
        <v>0</v>
      </c>
      <c r="J145" s="120">
        <v>0</v>
      </c>
      <c r="K145" s="223">
        <f t="shared" si="9"/>
        <v>0</v>
      </c>
      <c r="L145" s="266">
        <f t="shared" si="10"/>
        <v>0</v>
      </c>
      <c r="M145" s="262"/>
      <c r="N145" s="262"/>
      <c r="O145" s="262"/>
      <c r="P145" s="263"/>
      <c r="Q145" s="263"/>
      <c r="R145" s="263"/>
    </row>
    <row r="146" spans="1:18" ht="30" x14ac:dyDescent="0.25">
      <c r="A146" s="210">
        <v>3431</v>
      </c>
      <c r="B146" s="211" t="s">
        <v>382</v>
      </c>
      <c r="C146" s="258">
        <v>0</v>
      </c>
      <c r="D146" s="259">
        <v>0</v>
      </c>
      <c r="E146" s="120">
        <v>0</v>
      </c>
      <c r="F146" s="120">
        <v>0</v>
      </c>
      <c r="G146" s="120">
        <v>0</v>
      </c>
      <c r="H146" s="120">
        <v>0</v>
      </c>
      <c r="I146" s="120">
        <v>0</v>
      </c>
      <c r="J146" s="120">
        <v>0</v>
      </c>
      <c r="K146" s="223">
        <f t="shared" si="9"/>
        <v>0</v>
      </c>
      <c r="L146" s="266">
        <f t="shared" si="10"/>
        <v>0</v>
      </c>
      <c r="M146" s="262"/>
      <c r="N146" s="262"/>
      <c r="O146" s="262"/>
      <c r="P146" s="263"/>
      <c r="Q146" s="263"/>
      <c r="R146" s="263"/>
    </row>
    <row r="147" spans="1:18" ht="30" x14ac:dyDescent="0.25">
      <c r="A147" s="210">
        <v>3432</v>
      </c>
      <c r="B147" s="211" t="s">
        <v>383</v>
      </c>
      <c r="C147" s="258">
        <v>0</v>
      </c>
      <c r="D147" s="259">
        <v>0</v>
      </c>
      <c r="E147" s="120">
        <v>0</v>
      </c>
      <c r="F147" s="120">
        <v>0</v>
      </c>
      <c r="G147" s="120">
        <v>0</v>
      </c>
      <c r="H147" s="120">
        <v>0</v>
      </c>
      <c r="I147" s="120">
        <v>0</v>
      </c>
      <c r="J147" s="120">
        <v>0</v>
      </c>
      <c r="K147" s="223">
        <f t="shared" si="9"/>
        <v>0</v>
      </c>
      <c r="L147" s="266">
        <f t="shared" si="10"/>
        <v>0</v>
      </c>
      <c r="M147" s="262"/>
      <c r="N147" s="262"/>
      <c r="O147" s="262"/>
      <c r="P147" s="263"/>
      <c r="Q147" s="263"/>
      <c r="R147" s="263"/>
    </row>
    <row r="148" spans="1:18" x14ac:dyDescent="0.25">
      <c r="A148" s="210">
        <v>3433</v>
      </c>
      <c r="B148" s="211" t="s">
        <v>384</v>
      </c>
      <c r="C148" s="258">
        <v>0</v>
      </c>
      <c r="D148" s="259">
        <v>0</v>
      </c>
      <c r="E148" s="120">
        <v>0</v>
      </c>
      <c r="F148" s="120">
        <v>0</v>
      </c>
      <c r="G148" s="120">
        <v>0</v>
      </c>
      <c r="H148" s="120">
        <v>0</v>
      </c>
      <c r="I148" s="120">
        <v>0</v>
      </c>
      <c r="J148" s="120">
        <v>0</v>
      </c>
      <c r="K148" s="223">
        <f t="shared" si="9"/>
        <v>0</v>
      </c>
      <c r="L148" s="266">
        <f t="shared" si="10"/>
        <v>0</v>
      </c>
      <c r="M148" s="262"/>
      <c r="N148" s="262"/>
      <c r="O148" s="262"/>
      <c r="P148" s="263"/>
      <c r="Q148" s="263"/>
      <c r="R148" s="263"/>
    </row>
    <row r="149" spans="1:18" ht="30" x14ac:dyDescent="0.25">
      <c r="A149" s="210">
        <v>3434</v>
      </c>
      <c r="B149" s="211" t="s">
        <v>638</v>
      </c>
      <c r="C149" s="258">
        <v>0</v>
      </c>
      <c r="D149" s="259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223">
        <f t="shared" si="9"/>
        <v>0</v>
      </c>
      <c r="L149" s="266">
        <f t="shared" si="10"/>
        <v>0</v>
      </c>
      <c r="M149" s="262"/>
      <c r="N149" s="262"/>
      <c r="O149" s="262"/>
      <c r="P149" s="263"/>
      <c r="Q149" s="263"/>
      <c r="R149" s="263"/>
    </row>
    <row r="150" spans="1:18" ht="45" x14ac:dyDescent="0.25">
      <c r="A150" s="210">
        <v>3439</v>
      </c>
      <c r="B150" s="211" t="s">
        <v>386</v>
      </c>
      <c r="C150" s="258">
        <v>0</v>
      </c>
      <c r="D150" s="259">
        <v>0</v>
      </c>
      <c r="E150" s="120">
        <v>0</v>
      </c>
      <c r="F150" s="120">
        <v>0</v>
      </c>
      <c r="G150" s="120">
        <v>0</v>
      </c>
      <c r="H150" s="120">
        <v>0</v>
      </c>
      <c r="I150" s="120">
        <v>0</v>
      </c>
      <c r="J150" s="120">
        <v>0</v>
      </c>
      <c r="K150" s="223">
        <f t="shared" si="9"/>
        <v>0</v>
      </c>
      <c r="L150" s="266">
        <f t="shared" si="10"/>
        <v>0</v>
      </c>
      <c r="M150" s="262"/>
      <c r="N150" s="262"/>
      <c r="O150" s="262"/>
      <c r="P150" s="263"/>
      <c r="Q150" s="263"/>
      <c r="R150" s="263"/>
    </row>
    <row r="151" spans="1:18" x14ac:dyDescent="0.25">
      <c r="A151" s="210">
        <v>3441</v>
      </c>
      <c r="B151" s="211" t="s">
        <v>387</v>
      </c>
      <c r="C151" s="258">
        <v>0</v>
      </c>
      <c r="D151" s="259">
        <v>0</v>
      </c>
      <c r="E151" s="120">
        <v>0</v>
      </c>
      <c r="F151" s="120">
        <v>0</v>
      </c>
      <c r="G151" s="120">
        <v>0</v>
      </c>
      <c r="H151" s="120">
        <v>0</v>
      </c>
      <c r="I151" s="120">
        <v>0</v>
      </c>
      <c r="J151" s="120">
        <v>0</v>
      </c>
      <c r="K151" s="223">
        <f t="shared" si="9"/>
        <v>0</v>
      </c>
      <c r="L151" s="266">
        <f t="shared" si="10"/>
        <v>0</v>
      </c>
      <c r="M151" s="262"/>
      <c r="N151" s="262"/>
      <c r="O151" s="262"/>
      <c r="P151" s="263"/>
      <c r="Q151" s="263"/>
      <c r="R151" s="263"/>
    </row>
    <row r="152" spans="1:18" ht="30" x14ac:dyDescent="0.25">
      <c r="A152" s="210">
        <v>3442</v>
      </c>
      <c r="B152" s="211" t="s">
        <v>388</v>
      </c>
      <c r="C152" s="258">
        <v>0</v>
      </c>
      <c r="D152" s="259">
        <v>0</v>
      </c>
      <c r="E152" s="120">
        <v>0</v>
      </c>
      <c r="F152" s="120">
        <v>0</v>
      </c>
      <c r="G152" s="120">
        <v>0</v>
      </c>
      <c r="H152" s="120">
        <v>0</v>
      </c>
      <c r="I152" s="120">
        <v>0</v>
      </c>
      <c r="J152" s="120">
        <v>0</v>
      </c>
      <c r="K152" s="223">
        <f t="shared" si="9"/>
        <v>0</v>
      </c>
      <c r="L152" s="266">
        <f t="shared" si="10"/>
        <v>0</v>
      </c>
      <c r="M152" s="262"/>
      <c r="N152" s="262"/>
      <c r="O152" s="262"/>
      <c r="P152" s="263"/>
      <c r="Q152" s="263"/>
      <c r="R152" s="263"/>
    </row>
    <row r="153" spans="1:18" ht="30" x14ac:dyDescent="0.25">
      <c r="A153" s="210">
        <v>3443</v>
      </c>
      <c r="B153" s="211" t="s">
        <v>389</v>
      </c>
      <c r="C153" s="258">
        <v>0</v>
      </c>
      <c r="D153" s="259">
        <v>0</v>
      </c>
      <c r="E153" s="120">
        <v>0</v>
      </c>
      <c r="F153" s="120">
        <v>0</v>
      </c>
      <c r="G153" s="120">
        <v>0</v>
      </c>
      <c r="H153" s="120">
        <v>0</v>
      </c>
      <c r="I153" s="120">
        <v>0</v>
      </c>
      <c r="J153" s="120">
        <v>0</v>
      </c>
      <c r="K153" s="223">
        <f t="shared" si="9"/>
        <v>0</v>
      </c>
      <c r="L153" s="266">
        <f t="shared" si="10"/>
        <v>0</v>
      </c>
      <c r="M153" s="262"/>
      <c r="N153" s="262"/>
      <c r="O153" s="262"/>
      <c r="P153" s="263"/>
      <c r="Q153" s="263"/>
      <c r="R153" s="263"/>
    </row>
    <row r="154" spans="1:18" x14ac:dyDescent="0.25">
      <c r="A154" s="210">
        <v>3444</v>
      </c>
      <c r="B154" s="211" t="s">
        <v>390</v>
      </c>
      <c r="C154" s="258">
        <v>0</v>
      </c>
      <c r="D154" s="259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223">
        <f t="shared" si="9"/>
        <v>0</v>
      </c>
      <c r="L154" s="266">
        <f t="shared" si="10"/>
        <v>0</v>
      </c>
      <c r="M154" s="262"/>
      <c r="N154" s="262"/>
      <c r="O154" s="262"/>
      <c r="P154" s="263"/>
      <c r="Q154" s="263"/>
      <c r="R154" s="263"/>
    </row>
    <row r="155" spans="1:18" ht="30" x14ac:dyDescent="0.25">
      <c r="A155" s="210">
        <v>3449</v>
      </c>
      <c r="B155" s="211" t="s">
        <v>391</v>
      </c>
      <c r="C155" s="258">
        <v>0</v>
      </c>
      <c r="D155" s="259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223">
        <f t="shared" si="9"/>
        <v>0</v>
      </c>
      <c r="L155" s="266">
        <f t="shared" si="10"/>
        <v>0</v>
      </c>
      <c r="M155" s="262"/>
      <c r="N155" s="262"/>
      <c r="O155" s="262"/>
      <c r="P155" s="263"/>
      <c r="Q155" s="263"/>
      <c r="R155" s="263"/>
    </row>
    <row r="156" spans="1:18" x14ac:dyDescent="0.25">
      <c r="A156" s="210">
        <v>3450</v>
      </c>
      <c r="B156" s="211" t="s">
        <v>392</v>
      </c>
      <c r="C156" s="258">
        <v>0</v>
      </c>
      <c r="D156" s="259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223">
        <f t="shared" si="9"/>
        <v>0</v>
      </c>
      <c r="L156" s="266">
        <f t="shared" si="10"/>
        <v>0</v>
      </c>
      <c r="M156" s="262"/>
      <c r="N156" s="262"/>
      <c r="O156" s="262"/>
      <c r="P156" s="263"/>
      <c r="Q156" s="263"/>
      <c r="R156" s="263"/>
    </row>
    <row r="157" spans="1:18" x14ac:dyDescent="0.25">
      <c r="A157" s="210">
        <v>3460</v>
      </c>
      <c r="B157" s="211" t="s">
        <v>639</v>
      </c>
      <c r="C157" s="258">
        <v>0</v>
      </c>
      <c r="D157" s="259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223">
        <f t="shared" si="9"/>
        <v>0</v>
      </c>
      <c r="L157" s="266">
        <f t="shared" si="10"/>
        <v>0</v>
      </c>
      <c r="M157" s="262"/>
      <c r="N157" s="262"/>
      <c r="O157" s="262"/>
      <c r="P157" s="263"/>
      <c r="Q157" s="263"/>
      <c r="R157" s="263"/>
    </row>
    <row r="158" spans="1:18" ht="30" x14ac:dyDescent="0.25">
      <c r="A158" s="210">
        <v>3471</v>
      </c>
      <c r="B158" s="211" t="s">
        <v>394</v>
      </c>
      <c r="C158" s="258">
        <v>0</v>
      </c>
      <c r="D158" s="259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223">
        <f t="shared" ref="K158:K163" si="11">C158+E158-G158-I158</f>
        <v>0</v>
      </c>
      <c r="L158" s="266">
        <f t="shared" ref="L158:L163" si="12">D158+F158-H158-J158</f>
        <v>0</v>
      </c>
      <c r="M158" s="262"/>
      <c r="N158" s="262"/>
      <c r="O158" s="262"/>
      <c r="P158" s="263"/>
      <c r="Q158" s="263"/>
      <c r="R158" s="263"/>
    </row>
    <row r="159" spans="1:18" ht="30" x14ac:dyDescent="0.25">
      <c r="A159" s="210">
        <v>3472</v>
      </c>
      <c r="B159" s="211" t="s">
        <v>395</v>
      </c>
      <c r="C159" s="258">
        <v>0</v>
      </c>
      <c r="D159" s="259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223">
        <f t="shared" si="11"/>
        <v>0</v>
      </c>
      <c r="L159" s="266">
        <f t="shared" si="12"/>
        <v>0</v>
      </c>
      <c r="M159" s="262"/>
      <c r="N159" s="262"/>
      <c r="O159" s="262"/>
      <c r="P159" s="263"/>
      <c r="Q159" s="263"/>
      <c r="R159" s="263"/>
    </row>
    <row r="160" spans="1:18" ht="30" customHeight="1" x14ac:dyDescent="0.25">
      <c r="A160" s="210">
        <v>3473</v>
      </c>
      <c r="B160" s="211" t="s">
        <v>396</v>
      </c>
      <c r="C160" s="258">
        <v>0</v>
      </c>
      <c r="D160" s="259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223">
        <f t="shared" si="11"/>
        <v>0</v>
      </c>
      <c r="L160" s="266">
        <f t="shared" si="12"/>
        <v>0</v>
      </c>
      <c r="M160" s="262"/>
      <c r="N160" s="262"/>
      <c r="O160" s="262"/>
      <c r="P160" s="263"/>
      <c r="Q160" s="263"/>
      <c r="R160" s="263"/>
    </row>
    <row r="161" spans="1:18" ht="30" x14ac:dyDescent="0.25">
      <c r="A161" s="210">
        <v>3474</v>
      </c>
      <c r="B161" s="211" t="s">
        <v>397</v>
      </c>
      <c r="C161" s="258">
        <v>0</v>
      </c>
      <c r="D161" s="259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223">
        <f t="shared" si="11"/>
        <v>0</v>
      </c>
      <c r="L161" s="266">
        <f t="shared" si="12"/>
        <v>0</v>
      </c>
      <c r="M161" s="262"/>
      <c r="N161" s="262"/>
      <c r="O161" s="262"/>
      <c r="P161" s="263"/>
      <c r="Q161" s="263"/>
      <c r="R161" s="263"/>
    </row>
    <row r="162" spans="1:18" ht="30" x14ac:dyDescent="0.25">
      <c r="A162" s="210">
        <v>3475</v>
      </c>
      <c r="B162" s="211" t="s">
        <v>398</v>
      </c>
      <c r="C162" s="258">
        <v>0</v>
      </c>
      <c r="D162" s="259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223">
        <f t="shared" si="11"/>
        <v>0</v>
      </c>
      <c r="L162" s="266">
        <f t="shared" si="12"/>
        <v>0</v>
      </c>
      <c r="M162" s="262"/>
      <c r="N162" s="262"/>
      <c r="O162" s="262"/>
      <c r="P162" s="263"/>
      <c r="Q162" s="263"/>
      <c r="R162" s="263"/>
    </row>
    <row r="163" spans="1:18" ht="15.75" thickBot="1" x14ac:dyDescent="0.3">
      <c r="A163" s="204">
        <v>3480</v>
      </c>
      <c r="B163" s="205" t="s">
        <v>399</v>
      </c>
      <c r="C163" s="256">
        <v>0</v>
      </c>
      <c r="D163" s="257">
        <v>0</v>
      </c>
      <c r="E163" s="209">
        <v>0</v>
      </c>
      <c r="F163" s="209">
        <v>0</v>
      </c>
      <c r="G163" s="209">
        <v>0</v>
      </c>
      <c r="H163" s="209">
        <v>0</v>
      </c>
      <c r="I163" s="209">
        <v>0</v>
      </c>
      <c r="J163" s="209">
        <v>0</v>
      </c>
      <c r="K163" s="221">
        <f t="shared" si="11"/>
        <v>0</v>
      </c>
      <c r="L163" s="269">
        <f t="shared" si="12"/>
        <v>0</v>
      </c>
      <c r="M163" s="262"/>
      <c r="N163" s="262"/>
      <c r="O163" s="262"/>
      <c r="P163" s="263"/>
      <c r="Q163" s="263"/>
      <c r="R163" s="263"/>
    </row>
    <row r="164" spans="1:18" ht="15.75" thickBot="1" x14ac:dyDescent="0.3">
      <c r="A164" s="254">
        <v>4</v>
      </c>
      <c r="B164" s="255" t="s">
        <v>400</v>
      </c>
      <c r="C164" s="426"/>
      <c r="D164" s="427"/>
      <c r="E164" s="218"/>
      <c r="F164" s="218"/>
      <c r="G164" s="218"/>
      <c r="H164" s="218"/>
      <c r="I164" s="218"/>
      <c r="J164" s="218"/>
      <c r="K164" s="226"/>
      <c r="L164" s="264"/>
      <c r="M164" s="262"/>
      <c r="N164" s="1"/>
      <c r="O164" s="1"/>
      <c r="P164" s="263"/>
      <c r="Q164" s="263"/>
      <c r="R164" s="263"/>
    </row>
    <row r="165" spans="1:18" x14ac:dyDescent="0.25">
      <c r="A165" s="204">
        <v>4111</v>
      </c>
      <c r="B165" s="205" t="s">
        <v>401</v>
      </c>
      <c r="C165" s="256">
        <v>0</v>
      </c>
      <c r="D165" s="257">
        <v>0</v>
      </c>
      <c r="E165" s="209">
        <v>0</v>
      </c>
      <c r="F165" s="209">
        <v>0</v>
      </c>
      <c r="G165" s="209">
        <v>0</v>
      </c>
      <c r="H165" s="209">
        <v>0</v>
      </c>
      <c r="I165" s="209">
        <v>0</v>
      </c>
      <c r="J165" s="209">
        <v>0</v>
      </c>
      <c r="K165" s="221">
        <f t="shared" ref="K165:K186" si="13">C165+E165-G165-I165</f>
        <v>0</v>
      </c>
      <c r="L165" s="265">
        <f t="shared" ref="L165:L186" si="14">D165+F165-H165-J165</f>
        <v>0</v>
      </c>
      <c r="M165" s="262"/>
      <c r="N165" s="262"/>
      <c r="O165" s="262"/>
      <c r="P165" s="263"/>
      <c r="Q165" s="263"/>
      <c r="R165" s="263"/>
    </row>
    <row r="166" spans="1:18" ht="30" x14ac:dyDescent="0.25">
      <c r="A166" s="210">
        <v>4112</v>
      </c>
      <c r="B166" s="211" t="s">
        <v>402</v>
      </c>
      <c r="C166" s="258">
        <v>0</v>
      </c>
      <c r="D166" s="259">
        <v>3</v>
      </c>
      <c r="E166" s="120">
        <v>0</v>
      </c>
      <c r="F166" s="120">
        <v>0</v>
      </c>
      <c r="G166" s="120">
        <v>0</v>
      </c>
      <c r="H166" s="120">
        <v>0</v>
      </c>
      <c r="I166" s="120">
        <v>0</v>
      </c>
      <c r="J166" s="120">
        <v>0</v>
      </c>
      <c r="K166" s="223">
        <f t="shared" si="13"/>
        <v>0</v>
      </c>
      <c r="L166" s="266">
        <f t="shared" si="14"/>
        <v>3</v>
      </c>
      <c r="M166" s="262"/>
      <c r="N166" s="267"/>
      <c r="O166" s="267"/>
      <c r="P166" s="263"/>
      <c r="Q166" s="263"/>
      <c r="R166" s="263"/>
    </row>
    <row r="167" spans="1:18" x14ac:dyDescent="0.25">
      <c r="A167" s="210">
        <v>4113</v>
      </c>
      <c r="B167" s="211" t="s">
        <v>403</v>
      </c>
      <c r="C167" s="258">
        <v>0</v>
      </c>
      <c r="D167" s="259">
        <v>0</v>
      </c>
      <c r="E167" s="120">
        <v>0</v>
      </c>
      <c r="F167" s="120">
        <v>0</v>
      </c>
      <c r="G167" s="120">
        <v>0</v>
      </c>
      <c r="H167" s="120">
        <v>0</v>
      </c>
      <c r="I167" s="120">
        <v>0</v>
      </c>
      <c r="J167" s="120">
        <v>0</v>
      </c>
      <c r="K167" s="223">
        <f t="shared" si="13"/>
        <v>0</v>
      </c>
      <c r="L167" s="266">
        <f t="shared" si="14"/>
        <v>0</v>
      </c>
      <c r="M167" s="262"/>
      <c r="N167" s="262"/>
      <c r="O167" s="262"/>
      <c r="P167" s="263"/>
      <c r="Q167" s="263"/>
      <c r="R167" s="263"/>
    </row>
    <row r="168" spans="1:18" x14ac:dyDescent="0.25">
      <c r="A168" s="210">
        <v>4114</v>
      </c>
      <c r="B168" s="211" t="s">
        <v>404</v>
      </c>
      <c r="C168" s="258">
        <v>0</v>
      </c>
      <c r="D168" s="259">
        <v>0</v>
      </c>
      <c r="E168" s="120">
        <v>0</v>
      </c>
      <c r="F168" s="120">
        <v>0</v>
      </c>
      <c r="G168" s="120">
        <v>0</v>
      </c>
      <c r="H168" s="120">
        <v>0</v>
      </c>
      <c r="I168" s="120">
        <v>0</v>
      </c>
      <c r="J168" s="120">
        <v>0</v>
      </c>
      <c r="K168" s="223">
        <f t="shared" si="13"/>
        <v>0</v>
      </c>
      <c r="L168" s="266">
        <f t="shared" si="14"/>
        <v>0</v>
      </c>
      <c r="M168" s="262"/>
      <c r="N168" s="262"/>
      <c r="O168" s="262"/>
      <c r="P168" s="263"/>
      <c r="Q168" s="263"/>
      <c r="R168" s="263"/>
    </row>
    <row r="169" spans="1:18" x14ac:dyDescent="0.25">
      <c r="A169" s="210">
        <v>4115</v>
      </c>
      <c r="B169" s="211" t="s">
        <v>181</v>
      </c>
      <c r="C169" s="258">
        <v>0</v>
      </c>
      <c r="D169" s="259">
        <v>0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223">
        <f t="shared" si="13"/>
        <v>0</v>
      </c>
      <c r="L169" s="266">
        <f t="shared" si="14"/>
        <v>0</v>
      </c>
      <c r="M169" s="262"/>
      <c r="N169" s="262"/>
      <c r="O169" s="262"/>
      <c r="P169" s="263"/>
      <c r="Q169" s="263"/>
      <c r="R169" s="263"/>
    </row>
    <row r="170" spans="1:18" ht="15" customHeight="1" x14ac:dyDescent="0.25">
      <c r="A170" s="210">
        <v>4121</v>
      </c>
      <c r="B170" s="211" t="s">
        <v>405</v>
      </c>
      <c r="C170" s="258">
        <v>1</v>
      </c>
      <c r="D170" s="259">
        <v>0</v>
      </c>
      <c r="E170" s="120">
        <v>0</v>
      </c>
      <c r="F170" s="120">
        <v>0</v>
      </c>
      <c r="G170" s="120">
        <v>0</v>
      </c>
      <c r="H170" s="120">
        <v>0</v>
      </c>
      <c r="I170" s="120">
        <v>0</v>
      </c>
      <c r="J170" s="120">
        <v>0</v>
      </c>
      <c r="K170" s="223">
        <f t="shared" si="13"/>
        <v>1</v>
      </c>
      <c r="L170" s="266">
        <f t="shared" si="14"/>
        <v>0</v>
      </c>
      <c r="M170" s="262"/>
      <c r="N170" s="267"/>
      <c r="O170" s="267"/>
      <c r="P170" s="263"/>
      <c r="Q170" s="263"/>
      <c r="R170" s="263"/>
    </row>
    <row r="171" spans="1:18" s="247" customFormat="1" ht="15" customHeight="1" x14ac:dyDescent="0.25">
      <c r="A171" s="210">
        <v>4122</v>
      </c>
      <c r="B171" s="211" t="s">
        <v>406</v>
      </c>
      <c r="C171" s="258">
        <v>0</v>
      </c>
      <c r="D171" s="259">
        <v>0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223">
        <f t="shared" si="13"/>
        <v>0</v>
      </c>
      <c r="L171" s="266">
        <f t="shared" si="14"/>
        <v>0</v>
      </c>
      <c r="M171" s="262"/>
      <c r="N171" s="267"/>
      <c r="O171" s="267"/>
      <c r="P171" s="23"/>
      <c r="Q171" s="23"/>
      <c r="R171" s="23"/>
    </row>
    <row r="172" spans="1:18" x14ac:dyDescent="0.25">
      <c r="A172" s="210">
        <v>4131</v>
      </c>
      <c r="B172" s="211" t="s">
        <v>407</v>
      </c>
      <c r="C172" s="258">
        <v>0</v>
      </c>
      <c r="D172" s="259">
        <v>0</v>
      </c>
      <c r="E172" s="120">
        <v>0</v>
      </c>
      <c r="F172" s="120">
        <v>0</v>
      </c>
      <c r="G172" s="120">
        <v>0</v>
      </c>
      <c r="H172" s="120">
        <v>0</v>
      </c>
      <c r="I172" s="120">
        <v>0</v>
      </c>
      <c r="J172" s="120">
        <v>0</v>
      </c>
      <c r="K172" s="223">
        <f t="shared" si="13"/>
        <v>0</v>
      </c>
      <c r="L172" s="266">
        <f t="shared" si="14"/>
        <v>0</v>
      </c>
      <c r="M172" s="262"/>
      <c r="N172" s="262"/>
      <c r="O172" s="262"/>
      <c r="P172" s="263"/>
      <c r="Q172" s="263"/>
      <c r="R172" s="263"/>
    </row>
    <row r="173" spans="1:18" x14ac:dyDescent="0.25">
      <c r="A173" s="210">
        <v>4132</v>
      </c>
      <c r="B173" s="211" t="s">
        <v>408</v>
      </c>
      <c r="C173" s="258">
        <v>0</v>
      </c>
      <c r="D173" s="259">
        <v>0</v>
      </c>
      <c r="E173" s="120">
        <v>0</v>
      </c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223">
        <f t="shared" si="13"/>
        <v>0</v>
      </c>
      <c r="L173" s="266">
        <f t="shared" si="14"/>
        <v>0</v>
      </c>
      <c r="M173" s="262"/>
      <c r="N173" s="262"/>
      <c r="O173" s="262"/>
      <c r="P173" s="263"/>
      <c r="Q173" s="263"/>
      <c r="R173" s="263"/>
    </row>
    <row r="174" spans="1:18" x14ac:dyDescent="0.25">
      <c r="A174" s="210">
        <v>4133</v>
      </c>
      <c r="B174" s="211" t="s">
        <v>409</v>
      </c>
      <c r="C174" s="258">
        <v>0</v>
      </c>
      <c r="D174" s="259">
        <v>0</v>
      </c>
      <c r="E174" s="120">
        <v>0</v>
      </c>
      <c r="F174" s="120">
        <v>0</v>
      </c>
      <c r="G174" s="120">
        <v>0</v>
      </c>
      <c r="H174" s="120">
        <v>0</v>
      </c>
      <c r="I174" s="120">
        <v>0</v>
      </c>
      <c r="J174" s="120">
        <v>0</v>
      </c>
      <c r="K174" s="223">
        <f t="shared" si="13"/>
        <v>0</v>
      </c>
      <c r="L174" s="266">
        <f t="shared" si="14"/>
        <v>0</v>
      </c>
      <c r="M174" s="262"/>
      <c r="N174" s="262"/>
      <c r="O174" s="262"/>
      <c r="P174" s="263"/>
      <c r="Q174" s="263"/>
      <c r="R174" s="263"/>
    </row>
    <row r="175" spans="1:18" ht="30" x14ac:dyDescent="0.25">
      <c r="A175" s="210">
        <v>4141</v>
      </c>
      <c r="B175" s="211" t="s">
        <v>410</v>
      </c>
      <c r="C175" s="258">
        <v>0</v>
      </c>
      <c r="D175" s="259">
        <v>0</v>
      </c>
      <c r="E175" s="120">
        <v>0</v>
      </c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223">
        <f t="shared" si="13"/>
        <v>0</v>
      </c>
      <c r="L175" s="266">
        <f t="shared" si="14"/>
        <v>0</v>
      </c>
      <c r="M175" s="262"/>
      <c r="N175" s="262"/>
      <c r="O175" s="262"/>
      <c r="P175" s="263"/>
      <c r="Q175" s="263"/>
      <c r="R175" s="263"/>
    </row>
    <row r="176" spans="1:18" ht="30" x14ac:dyDescent="0.25">
      <c r="A176" s="210">
        <v>4142</v>
      </c>
      <c r="B176" s="211" t="s">
        <v>411</v>
      </c>
      <c r="C176" s="258">
        <v>0</v>
      </c>
      <c r="D176" s="259">
        <v>0</v>
      </c>
      <c r="E176" s="120">
        <v>0</v>
      </c>
      <c r="F176" s="120">
        <v>0</v>
      </c>
      <c r="G176" s="120">
        <v>0</v>
      </c>
      <c r="H176" s="120">
        <v>0</v>
      </c>
      <c r="I176" s="120">
        <v>0</v>
      </c>
      <c r="J176" s="120">
        <v>0</v>
      </c>
      <c r="K176" s="223">
        <f t="shared" si="13"/>
        <v>0</v>
      </c>
      <c r="L176" s="266">
        <f t="shared" si="14"/>
        <v>0</v>
      </c>
      <c r="M176" s="262"/>
      <c r="N176" s="262"/>
      <c r="O176" s="262"/>
      <c r="P176" s="263"/>
      <c r="Q176" s="263"/>
      <c r="R176" s="263"/>
    </row>
    <row r="177" spans="1:18" ht="30" x14ac:dyDescent="0.25">
      <c r="A177" s="210">
        <v>4143</v>
      </c>
      <c r="B177" s="211" t="s">
        <v>412</v>
      </c>
      <c r="C177" s="258">
        <v>0</v>
      </c>
      <c r="D177" s="259">
        <v>0</v>
      </c>
      <c r="E177" s="120">
        <v>0</v>
      </c>
      <c r="F177" s="120">
        <v>0</v>
      </c>
      <c r="G177" s="120">
        <v>0</v>
      </c>
      <c r="H177" s="120">
        <v>0</v>
      </c>
      <c r="I177" s="120">
        <v>0</v>
      </c>
      <c r="J177" s="120">
        <v>0</v>
      </c>
      <c r="K177" s="223">
        <f t="shared" si="13"/>
        <v>0</v>
      </c>
      <c r="L177" s="266">
        <f t="shared" si="14"/>
        <v>0</v>
      </c>
      <c r="M177" s="262"/>
      <c r="N177" s="262"/>
      <c r="O177" s="262"/>
      <c r="P177" s="263"/>
      <c r="Q177" s="263"/>
      <c r="R177" s="263"/>
    </row>
    <row r="178" spans="1:18" x14ac:dyDescent="0.25">
      <c r="A178" s="210">
        <v>4144</v>
      </c>
      <c r="B178" s="211" t="s">
        <v>413</v>
      </c>
      <c r="C178" s="258">
        <v>0</v>
      </c>
      <c r="D178" s="259">
        <v>0</v>
      </c>
      <c r="E178" s="120">
        <v>0</v>
      </c>
      <c r="F178" s="120">
        <v>0</v>
      </c>
      <c r="G178" s="120">
        <v>0</v>
      </c>
      <c r="H178" s="120">
        <v>0</v>
      </c>
      <c r="I178" s="120">
        <v>0</v>
      </c>
      <c r="J178" s="120">
        <v>0</v>
      </c>
      <c r="K178" s="223">
        <f t="shared" si="13"/>
        <v>0</v>
      </c>
      <c r="L178" s="266">
        <f t="shared" si="14"/>
        <v>0</v>
      </c>
      <c r="M178" s="262"/>
      <c r="N178" s="262"/>
      <c r="O178" s="262"/>
      <c r="P178" s="263"/>
      <c r="Q178" s="263"/>
      <c r="R178" s="263"/>
    </row>
    <row r="179" spans="1:18" x14ac:dyDescent="0.25">
      <c r="A179" s="210">
        <v>4190</v>
      </c>
      <c r="B179" s="211" t="s">
        <v>414</v>
      </c>
      <c r="C179" s="258">
        <v>1</v>
      </c>
      <c r="D179" s="259">
        <v>2</v>
      </c>
      <c r="E179" s="120">
        <v>0</v>
      </c>
      <c r="F179" s="120">
        <v>0</v>
      </c>
      <c r="G179" s="120">
        <v>0</v>
      </c>
      <c r="H179" s="120">
        <v>0</v>
      </c>
      <c r="I179" s="120">
        <v>0</v>
      </c>
      <c r="J179" s="120">
        <v>0</v>
      </c>
      <c r="K179" s="223">
        <f>C179+E179-G179-I179</f>
        <v>1</v>
      </c>
      <c r="L179" s="266">
        <f t="shared" si="14"/>
        <v>2</v>
      </c>
      <c r="M179" s="262"/>
      <c r="N179" s="262"/>
      <c r="O179" s="262"/>
      <c r="P179" s="263"/>
      <c r="Q179" s="263"/>
      <c r="R179" s="263"/>
    </row>
    <row r="180" spans="1:18" x14ac:dyDescent="0.25">
      <c r="A180" s="210">
        <v>4211</v>
      </c>
      <c r="B180" s="211" t="s">
        <v>415</v>
      </c>
      <c r="C180" s="258">
        <v>0</v>
      </c>
      <c r="D180" s="259">
        <v>0</v>
      </c>
      <c r="E180" s="120">
        <v>0</v>
      </c>
      <c r="F180" s="120">
        <v>0</v>
      </c>
      <c r="G180" s="120">
        <v>0</v>
      </c>
      <c r="H180" s="120">
        <v>0</v>
      </c>
      <c r="I180" s="120">
        <v>0</v>
      </c>
      <c r="J180" s="120">
        <v>0</v>
      </c>
      <c r="K180" s="223">
        <f t="shared" si="13"/>
        <v>0</v>
      </c>
      <c r="L180" s="266">
        <f t="shared" si="14"/>
        <v>0</v>
      </c>
      <c r="M180" s="262"/>
      <c r="N180" s="262"/>
      <c r="O180" s="262"/>
      <c r="P180" s="263"/>
      <c r="Q180" s="263"/>
      <c r="R180" s="263"/>
    </row>
    <row r="181" spans="1:18" ht="30" x14ac:dyDescent="0.25">
      <c r="A181" s="210">
        <v>4212</v>
      </c>
      <c r="B181" s="211" t="s">
        <v>416</v>
      </c>
      <c r="C181" s="258">
        <v>0</v>
      </c>
      <c r="D181" s="259">
        <v>1</v>
      </c>
      <c r="E181" s="120">
        <v>0</v>
      </c>
      <c r="F181" s="120">
        <v>0</v>
      </c>
      <c r="G181" s="120">
        <v>0</v>
      </c>
      <c r="H181" s="120">
        <v>0</v>
      </c>
      <c r="I181" s="120">
        <v>0</v>
      </c>
      <c r="J181" s="120">
        <v>0</v>
      </c>
      <c r="K181" s="223">
        <f t="shared" si="13"/>
        <v>0</v>
      </c>
      <c r="L181" s="266">
        <f t="shared" si="14"/>
        <v>1</v>
      </c>
      <c r="M181" s="262"/>
      <c r="N181" s="262"/>
      <c r="O181" s="262"/>
      <c r="P181" s="263"/>
      <c r="Q181" s="263"/>
      <c r="R181" s="263"/>
    </row>
    <row r="182" spans="1:18" x14ac:dyDescent="0.25">
      <c r="A182" s="210">
        <v>4213</v>
      </c>
      <c r="B182" s="211" t="s">
        <v>417</v>
      </c>
      <c r="C182" s="258">
        <v>0</v>
      </c>
      <c r="D182" s="259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223">
        <f t="shared" si="13"/>
        <v>0</v>
      </c>
      <c r="L182" s="266">
        <f t="shared" si="14"/>
        <v>0</v>
      </c>
      <c r="M182" s="262"/>
      <c r="N182" s="262"/>
      <c r="O182" s="262"/>
      <c r="P182" s="263"/>
      <c r="Q182" s="263"/>
      <c r="R182" s="263"/>
    </row>
    <row r="183" spans="1:18" ht="30" x14ac:dyDescent="0.25">
      <c r="A183" s="210">
        <v>4214</v>
      </c>
      <c r="B183" s="211" t="s">
        <v>418</v>
      </c>
      <c r="C183" s="258">
        <v>0</v>
      </c>
      <c r="D183" s="259">
        <v>0</v>
      </c>
      <c r="E183" s="120">
        <v>0</v>
      </c>
      <c r="F183" s="120">
        <v>0</v>
      </c>
      <c r="G183" s="120">
        <v>0</v>
      </c>
      <c r="H183" s="120">
        <v>0</v>
      </c>
      <c r="I183" s="120">
        <v>0</v>
      </c>
      <c r="J183" s="120">
        <v>0</v>
      </c>
      <c r="K183" s="223">
        <f t="shared" si="13"/>
        <v>0</v>
      </c>
      <c r="L183" s="266">
        <f t="shared" si="14"/>
        <v>0</v>
      </c>
      <c r="M183" s="262"/>
      <c r="N183" s="262"/>
      <c r="O183" s="262"/>
      <c r="P183" s="263"/>
      <c r="Q183" s="263"/>
      <c r="R183" s="263"/>
    </row>
    <row r="184" spans="1:18" s="247" customFormat="1" ht="15" customHeight="1" x14ac:dyDescent="0.25">
      <c r="A184" s="210">
        <v>4215</v>
      </c>
      <c r="B184" s="211" t="s">
        <v>419</v>
      </c>
      <c r="C184" s="258">
        <v>2</v>
      </c>
      <c r="D184" s="259">
        <v>0</v>
      </c>
      <c r="E184" s="120">
        <v>0</v>
      </c>
      <c r="F184" s="120">
        <v>0</v>
      </c>
      <c r="G184" s="120">
        <v>0</v>
      </c>
      <c r="H184" s="120">
        <v>0</v>
      </c>
      <c r="I184" s="120">
        <v>0</v>
      </c>
      <c r="J184" s="120">
        <v>0</v>
      </c>
      <c r="K184" s="223">
        <f t="shared" si="13"/>
        <v>2</v>
      </c>
      <c r="L184" s="266">
        <f t="shared" si="14"/>
        <v>0</v>
      </c>
      <c r="M184" s="262"/>
      <c r="N184" s="267"/>
      <c r="O184" s="267"/>
      <c r="P184" s="23"/>
      <c r="Q184" s="23"/>
      <c r="R184" s="23"/>
    </row>
    <row r="185" spans="1:18" ht="30" x14ac:dyDescent="0.25">
      <c r="A185" s="210">
        <v>4222</v>
      </c>
      <c r="B185" s="211" t="s">
        <v>420</v>
      </c>
      <c r="C185" s="258">
        <v>0</v>
      </c>
      <c r="D185" s="259">
        <v>1</v>
      </c>
      <c r="E185" s="120">
        <v>0</v>
      </c>
      <c r="F185" s="120">
        <v>0</v>
      </c>
      <c r="G185" s="120">
        <v>0</v>
      </c>
      <c r="H185" s="120">
        <v>0</v>
      </c>
      <c r="I185" s="120">
        <v>0</v>
      </c>
      <c r="J185" s="120">
        <v>0</v>
      </c>
      <c r="K185" s="223">
        <f t="shared" si="13"/>
        <v>0</v>
      </c>
      <c r="L185" s="266">
        <f t="shared" si="14"/>
        <v>1</v>
      </c>
      <c r="M185" s="262"/>
      <c r="N185" s="262"/>
      <c r="O185" s="262"/>
      <c r="P185" s="263"/>
      <c r="Q185" s="263"/>
      <c r="R185" s="263"/>
    </row>
    <row r="186" spans="1:18" ht="30.75" thickBot="1" x14ac:dyDescent="0.3">
      <c r="A186" s="204">
        <v>4223</v>
      </c>
      <c r="B186" s="205" t="s">
        <v>421</v>
      </c>
      <c r="C186" s="256">
        <v>0</v>
      </c>
      <c r="D186" s="257">
        <v>0</v>
      </c>
      <c r="E186" s="209">
        <v>0</v>
      </c>
      <c r="F186" s="209">
        <v>0</v>
      </c>
      <c r="G186" s="209">
        <v>0</v>
      </c>
      <c r="H186" s="209">
        <v>0</v>
      </c>
      <c r="I186" s="209">
        <v>0</v>
      </c>
      <c r="J186" s="209">
        <v>0</v>
      </c>
      <c r="K186" s="221">
        <f t="shared" si="13"/>
        <v>0</v>
      </c>
      <c r="L186" s="268">
        <f t="shared" si="14"/>
        <v>0</v>
      </c>
      <c r="M186" s="262"/>
      <c r="N186" s="262"/>
      <c r="O186" s="262"/>
      <c r="P186" s="263"/>
      <c r="Q186" s="263"/>
      <c r="R186" s="263"/>
    </row>
    <row r="187" spans="1:18" ht="30.75" thickBot="1" x14ac:dyDescent="0.3">
      <c r="A187" s="254">
        <v>5</v>
      </c>
      <c r="B187" s="255" t="s">
        <v>422</v>
      </c>
      <c r="C187" s="426"/>
      <c r="D187" s="427"/>
      <c r="E187" s="218"/>
      <c r="F187" s="218"/>
      <c r="G187" s="218"/>
      <c r="H187" s="218"/>
      <c r="I187" s="218"/>
      <c r="J187" s="218"/>
      <c r="K187" s="226"/>
      <c r="L187" s="264"/>
      <c r="M187" s="262"/>
      <c r="N187" s="1"/>
      <c r="O187" s="1"/>
      <c r="P187" s="263"/>
      <c r="Q187" s="263"/>
      <c r="R187" s="263"/>
    </row>
    <row r="188" spans="1:18" ht="30" x14ac:dyDescent="0.25">
      <c r="A188" s="204">
        <v>5111</v>
      </c>
      <c r="B188" s="205" t="s">
        <v>423</v>
      </c>
      <c r="C188" s="256">
        <v>0</v>
      </c>
      <c r="D188" s="257">
        <v>0</v>
      </c>
      <c r="E188" s="209">
        <v>0</v>
      </c>
      <c r="F188" s="209">
        <v>0</v>
      </c>
      <c r="G188" s="209">
        <v>0</v>
      </c>
      <c r="H188" s="209">
        <v>0</v>
      </c>
      <c r="I188" s="209">
        <v>0</v>
      </c>
      <c r="J188" s="209">
        <v>0</v>
      </c>
      <c r="K188" s="221">
        <f t="shared" ref="K188:K209" si="15">C188+E188-G188-I188</f>
        <v>0</v>
      </c>
      <c r="L188" s="268">
        <f t="shared" ref="L188:L209" si="16">D188+F188-H188-J188</f>
        <v>0</v>
      </c>
      <c r="M188" s="262"/>
      <c r="N188" s="262"/>
      <c r="O188" s="262"/>
      <c r="P188" s="263"/>
      <c r="Q188" s="263"/>
      <c r="R188" s="263"/>
    </row>
    <row r="189" spans="1:18" x14ac:dyDescent="0.25">
      <c r="A189" s="210">
        <v>5112</v>
      </c>
      <c r="B189" s="211" t="s">
        <v>424</v>
      </c>
      <c r="C189" s="258">
        <v>0</v>
      </c>
      <c r="D189" s="259">
        <v>0</v>
      </c>
      <c r="E189" s="120">
        <v>0</v>
      </c>
      <c r="F189" s="120">
        <v>0</v>
      </c>
      <c r="G189" s="120">
        <v>0</v>
      </c>
      <c r="H189" s="120">
        <v>0</v>
      </c>
      <c r="I189" s="120">
        <v>0</v>
      </c>
      <c r="J189" s="120">
        <v>0</v>
      </c>
      <c r="K189" s="223">
        <f t="shared" si="15"/>
        <v>0</v>
      </c>
      <c r="L189" s="266">
        <f t="shared" si="16"/>
        <v>0</v>
      </c>
      <c r="M189" s="262"/>
      <c r="N189" s="262"/>
      <c r="O189" s="262"/>
      <c r="P189" s="263"/>
      <c r="Q189" s="263"/>
      <c r="R189" s="263"/>
    </row>
    <row r="190" spans="1:18" x14ac:dyDescent="0.25">
      <c r="A190" s="210">
        <v>5113</v>
      </c>
      <c r="B190" s="211" t="s">
        <v>425</v>
      </c>
      <c r="C190" s="258">
        <v>0</v>
      </c>
      <c r="D190" s="259">
        <v>0</v>
      </c>
      <c r="E190" s="120">
        <v>0</v>
      </c>
      <c r="F190" s="120">
        <v>0</v>
      </c>
      <c r="G190" s="120">
        <v>0</v>
      </c>
      <c r="H190" s="120">
        <v>0</v>
      </c>
      <c r="I190" s="120">
        <v>0</v>
      </c>
      <c r="J190" s="120">
        <v>0</v>
      </c>
      <c r="K190" s="223">
        <f t="shared" si="15"/>
        <v>0</v>
      </c>
      <c r="L190" s="266">
        <f t="shared" si="16"/>
        <v>0</v>
      </c>
      <c r="M190" s="262"/>
      <c r="N190" s="262"/>
      <c r="O190" s="262"/>
      <c r="P190" s="263"/>
      <c r="Q190" s="263"/>
      <c r="R190" s="263"/>
    </row>
    <row r="191" spans="1:18" ht="30" x14ac:dyDescent="0.25">
      <c r="A191" s="210">
        <v>5121</v>
      </c>
      <c r="B191" s="211" t="s">
        <v>426</v>
      </c>
      <c r="C191" s="258">
        <v>0</v>
      </c>
      <c r="D191" s="259">
        <v>0</v>
      </c>
      <c r="E191" s="120">
        <v>0</v>
      </c>
      <c r="F191" s="120">
        <v>0</v>
      </c>
      <c r="G191" s="120">
        <v>0</v>
      </c>
      <c r="H191" s="120">
        <v>0</v>
      </c>
      <c r="I191" s="120">
        <v>0</v>
      </c>
      <c r="J191" s="120">
        <v>0</v>
      </c>
      <c r="K191" s="223">
        <f t="shared" si="15"/>
        <v>0</v>
      </c>
      <c r="L191" s="266">
        <f t="shared" si="16"/>
        <v>0</v>
      </c>
      <c r="M191" s="262"/>
      <c r="N191" s="262"/>
      <c r="O191" s="262"/>
      <c r="P191" s="263"/>
      <c r="Q191" s="263"/>
      <c r="R191" s="263"/>
    </row>
    <row r="192" spans="1:18" x14ac:dyDescent="0.25">
      <c r="A192" s="210">
        <v>5122</v>
      </c>
      <c r="B192" s="211" t="s">
        <v>427</v>
      </c>
      <c r="C192" s="258">
        <v>0</v>
      </c>
      <c r="D192" s="259">
        <v>0</v>
      </c>
      <c r="E192" s="120">
        <v>0</v>
      </c>
      <c r="F192" s="120">
        <v>0</v>
      </c>
      <c r="G192" s="120">
        <v>0</v>
      </c>
      <c r="H192" s="120">
        <v>0</v>
      </c>
      <c r="I192" s="120">
        <v>0</v>
      </c>
      <c r="J192" s="120">
        <v>0</v>
      </c>
      <c r="K192" s="223">
        <f t="shared" si="15"/>
        <v>0</v>
      </c>
      <c r="L192" s="266">
        <f t="shared" si="16"/>
        <v>0</v>
      </c>
      <c r="M192" s="262"/>
      <c r="N192" s="262"/>
      <c r="O192" s="262"/>
      <c r="P192" s="263"/>
      <c r="Q192" s="263"/>
      <c r="R192" s="263"/>
    </row>
    <row r="193" spans="1:18" x14ac:dyDescent="0.25">
      <c r="A193" s="210">
        <v>5123</v>
      </c>
      <c r="B193" s="211" t="s">
        <v>428</v>
      </c>
      <c r="C193" s="258">
        <v>0</v>
      </c>
      <c r="D193" s="259">
        <v>0</v>
      </c>
      <c r="E193" s="120">
        <v>0</v>
      </c>
      <c r="F193" s="120">
        <v>0</v>
      </c>
      <c r="G193" s="120">
        <v>0</v>
      </c>
      <c r="H193" s="120">
        <v>0</v>
      </c>
      <c r="I193" s="120">
        <v>0</v>
      </c>
      <c r="J193" s="120">
        <v>0</v>
      </c>
      <c r="K193" s="223">
        <f t="shared" si="15"/>
        <v>0</v>
      </c>
      <c r="L193" s="266">
        <f t="shared" si="16"/>
        <v>0</v>
      </c>
      <c r="M193" s="262"/>
      <c r="N193" s="262"/>
      <c r="O193" s="262"/>
      <c r="P193" s="263"/>
      <c r="Q193" s="263"/>
      <c r="R193" s="263"/>
    </row>
    <row r="194" spans="1:18" x14ac:dyDescent="0.25">
      <c r="A194" s="210">
        <v>5131</v>
      </c>
      <c r="B194" s="211" t="s">
        <v>429</v>
      </c>
      <c r="C194" s="258">
        <v>0</v>
      </c>
      <c r="D194" s="259">
        <v>0</v>
      </c>
      <c r="E194" s="120">
        <v>0</v>
      </c>
      <c r="F194" s="120">
        <v>0</v>
      </c>
      <c r="G194" s="120">
        <v>0</v>
      </c>
      <c r="H194" s="120">
        <v>0</v>
      </c>
      <c r="I194" s="120">
        <v>0</v>
      </c>
      <c r="J194" s="120">
        <v>0</v>
      </c>
      <c r="K194" s="223">
        <f t="shared" si="15"/>
        <v>0</v>
      </c>
      <c r="L194" s="266">
        <f t="shared" si="16"/>
        <v>0</v>
      </c>
      <c r="M194" s="262"/>
      <c r="N194" s="262"/>
      <c r="O194" s="262"/>
      <c r="P194" s="263"/>
      <c r="Q194" s="263"/>
      <c r="R194" s="263"/>
    </row>
    <row r="195" spans="1:18" s="247" customFormat="1" ht="24" customHeight="1" x14ac:dyDescent="0.25">
      <c r="A195" s="210">
        <v>5132</v>
      </c>
      <c r="B195" s="211" t="s">
        <v>430</v>
      </c>
      <c r="C195" s="258">
        <v>0</v>
      </c>
      <c r="D195" s="259">
        <v>0</v>
      </c>
      <c r="E195" s="120">
        <v>0</v>
      </c>
      <c r="F195" s="120">
        <v>0</v>
      </c>
      <c r="G195" s="120">
        <v>0</v>
      </c>
      <c r="H195" s="120">
        <v>0</v>
      </c>
      <c r="I195" s="120">
        <v>0</v>
      </c>
      <c r="J195" s="120">
        <v>0</v>
      </c>
      <c r="K195" s="223">
        <f t="shared" si="15"/>
        <v>0</v>
      </c>
      <c r="L195" s="266">
        <f t="shared" si="16"/>
        <v>0</v>
      </c>
      <c r="M195" s="262"/>
      <c r="N195" s="267"/>
      <c r="O195" s="267"/>
      <c r="P195" s="23"/>
      <c r="Q195" s="23"/>
      <c r="R195" s="23"/>
    </row>
    <row r="196" spans="1:18" ht="30" x14ac:dyDescent="0.25">
      <c r="A196" s="210">
        <v>5139</v>
      </c>
      <c r="B196" s="211" t="s">
        <v>431</v>
      </c>
      <c r="C196" s="258">
        <v>0</v>
      </c>
      <c r="D196" s="259">
        <v>0</v>
      </c>
      <c r="E196" s="120">
        <v>0</v>
      </c>
      <c r="F196" s="120">
        <v>0</v>
      </c>
      <c r="G196" s="120">
        <v>0</v>
      </c>
      <c r="H196" s="120">
        <v>0</v>
      </c>
      <c r="I196" s="120">
        <v>0</v>
      </c>
      <c r="J196" s="120">
        <v>0</v>
      </c>
      <c r="K196" s="223">
        <f t="shared" si="15"/>
        <v>0</v>
      </c>
      <c r="L196" s="266">
        <f t="shared" si="16"/>
        <v>0</v>
      </c>
      <c r="M196" s="262"/>
      <c r="N196" s="262"/>
      <c r="O196" s="262"/>
      <c r="P196" s="263"/>
      <c r="Q196" s="263"/>
      <c r="R196" s="263"/>
    </row>
    <row r="197" spans="1:18" ht="39" customHeight="1" x14ac:dyDescent="0.25">
      <c r="A197" s="210">
        <v>5141</v>
      </c>
      <c r="B197" s="211" t="s">
        <v>640</v>
      </c>
      <c r="C197" s="258">
        <v>0</v>
      </c>
      <c r="D197" s="259">
        <v>0</v>
      </c>
      <c r="E197" s="120">
        <v>0</v>
      </c>
      <c r="F197" s="120">
        <v>0</v>
      </c>
      <c r="G197" s="120">
        <v>0</v>
      </c>
      <c r="H197" s="120">
        <v>0</v>
      </c>
      <c r="I197" s="120">
        <v>0</v>
      </c>
      <c r="J197" s="120">
        <v>0</v>
      </c>
      <c r="K197" s="223">
        <f t="shared" si="15"/>
        <v>0</v>
      </c>
      <c r="L197" s="266">
        <f t="shared" si="16"/>
        <v>0</v>
      </c>
      <c r="M197" s="262"/>
      <c r="N197" s="262"/>
      <c r="O197" s="262"/>
      <c r="P197" s="263"/>
      <c r="Q197" s="263"/>
      <c r="R197" s="263"/>
    </row>
    <row r="198" spans="1:18" x14ac:dyDescent="0.25">
      <c r="A198" s="210">
        <v>5142</v>
      </c>
      <c r="B198" s="211" t="s">
        <v>433</v>
      </c>
      <c r="C198" s="258">
        <v>0</v>
      </c>
      <c r="D198" s="259">
        <v>0</v>
      </c>
      <c r="E198" s="120">
        <v>0</v>
      </c>
      <c r="F198" s="120">
        <v>0</v>
      </c>
      <c r="G198" s="120">
        <v>0</v>
      </c>
      <c r="H198" s="120">
        <v>0</v>
      </c>
      <c r="I198" s="120">
        <v>0</v>
      </c>
      <c r="J198" s="120">
        <v>0</v>
      </c>
      <c r="K198" s="223">
        <f t="shared" si="15"/>
        <v>0</v>
      </c>
      <c r="L198" s="266">
        <f t="shared" si="16"/>
        <v>0</v>
      </c>
      <c r="M198" s="262"/>
      <c r="N198" s="262"/>
      <c r="O198" s="262"/>
      <c r="P198" s="263"/>
      <c r="Q198" s="263"/>
      <c r="R198" s="263"/>
    </row>
    <row r="199" spans="1:18" ht="30" x14ac:dyDescent="0.25">
      <c r="A199" s="210">
        <v>5143</v>
      </c>
      <c r="B199" s="211" t="s">
        <v>434</v>
      </c>
      <c r="C199" s="258">
        <v>0</v>
      </c>
      <c r="D199" s="259">
        <v>0</v>
      </c>
      <c r="E199" s="120">
        <v>0</v>
      </c>
      <c r="F199" s="120">
        <v>0</v>
      </c>
      <c r="G199" s="120">
        <v>0</v>
      </c>
      <c r="H199" s="120">
        <v>0</v>
      </c>
      <c r="I199" s="120">
        <v>0</v>
      </c>
      <c r="J199" s="120">
        <v>0</v>
      </c>
      <c r="K199" s="223">
        <f t="shared" si="15"/>
        <v>0</v>
      </c>
      <c r="L199" s="266">
        <f t="shared" si="16"/>
        <v>0</v>
      </c>
      <c r="M199" s="262"/>
      <c r="N199" s="262"/>
      <c r="O199" s="262"/>
      <c r="P199" s="263"/>
      <c r="Q199" s="263"/>
      <c r="R199" s="263"/>
    </row>
    <row r="200" spans="1:18" ht="37.5" customHeight="1" x14ac:dyDescent="0.25">
      <c r="A200" s="210">
        <v>5149</v>
      </c>
      <c r="B200" s="211" t="s">
        <v>435</v>
      </c>
      <c r="C200" s="258">
        <v>0</v>
      </c>
      <c r="D200" s="259">
        <v>3</v>
      </c>
      <c r="E200" s="120">
        <v>0</v>
      </c>
      <c r="F200" s="120">
        <v>0</v>
      </c>
      <c r="G200" s="120">
        <v>0</v>
      </c>
      <c r="H200" s="120">
        <v>0</v>
      </c>
      <c r="I200" s="120">
        <v>0</v>
      </c>
      <c r="J200" s="120">
        <v>0</v>
      </c>
      <c r="K200" s="223">
        <f t="shared" si="15"/>
        <v>0</v>
      </c>
      <c r="L200" s="266">
        <f t="shared" si="16"/>
        <v>3</v>
      </c>
      <c r="M200" s="262"/>
      <c r="N200" s="262"/>
      <c r="O200" s="262"/>
      <c r="P200" s="263"/>
      <c r="Q200" s="263"/>
      <c r="R200" s="263"/>
    </row>
    <row r="201" spans="1:18" x14ac:dyDescent="0.25">
      <c r="A201" s="210">
        <v>5151</v>
      </c>
      <c r="B201" s="211" t="s">
        <v>436</v>
      </c>
      <c r="C201" s="258">
        <v>0</v>
      </c>
      <c r="D201" s="259">
        <v>0</v>
      </c>
      <c r="E201" s="120">
        <v>0</v>
      </c>
      <c r="F201" s="120">
        <v>0</v>
      </c>
      <c r="G201" s="120">
        <v>0</v>
      </c>
      <c r="H201" s="120">
        <v>0</v>
      </c>
      <c r="I201" s="120">
        <v>0</v>
      </c>
      <c r="J201" s="120">
        <v>0</v>
      </c>
      <c r="K201" s="223">
        <f t="shared" si="15"/>
        <v>0</v>
      </c>
      <c r="L201" s="266">
        <f t="shared" si="16"/>
        <v>0</v>
      </c>
      <c r="M201" s="262"/>
      <c r="N201" s="262"/>
      <c r="O201" s="262"/>
      <c r="P201" s="263"/>
      <c r="Q201" s="263"/>
      <c r="R201" s="263"/>
    </row>
    <row r="202" spans="1:18" ht="30" x14ac:dyDescent="0.25">
      <c r="A202" s="210">
        <v>5152</v>
      </c>
      <c r="B202" s="211" t="s">
        <v>437</v>
      </c>
      <c r="C202" s="258">
        <v>0</v>
      </c>
      <c r="D202" s="259">
        <v>0</v>
      </c>
      <c r="E202" s="120">
        <v>0</v>
      </c>
      <c r="F202" s="120">
        <v>0</v>
      </c>
      <c r="G202" s="120">
        <v>0</v>
      </c>
      <c r="H202" s="120">
        <v>0</v>
      </c>
      <c r="I202" s="120">
        <v>0</v>
      </c>
      <c r="J202" s="120">
        <v>0</v>
      </c>
      <c r="K202" s="223">
        <f t="shared" si="15"/>
        <v>0</v>
      </c>
      <c r="L202" s="266">
        <f t="shared" si="16"/>
        <v>0</v>
      </c>
      <c r="M202" s="262"/>
      <c r="N202" s="262"/>
      <c r="O202" s="262"/>
      <c r="P202" s="263"/>
      <c r="Q202" s="263"/>
      <c r="R202" s="263"/>
    </row>
    <row r="203" spans="1:18" x14ac:dyDescent="0.25">
      <c r="A203" s="210">
        <v>5161</v>
      </c>
      <c r="B203" s="211" t="s">
        <v>438</v>
      </c>
      <c r="C203" s="258">
        <v>0</v>
      </c>
      <c r="D203" s="259">
        <v>0</v>
      </c>
      <c r="E203" s="120">
        <v>0</v>
      </c>
      <c r="F203" s="120">
        <v>0</v>
      </c>
      <c r="G203" s="120">
        <v>0</v>
      </c>
      <c r="H203" s="120">
        <v>0</v>
      </c>
      <c r="I203" s="120">
        <v>0</v>
      </c>
      <c r="J203" s="120">
        <v>0</v>
      </c>
      <c r="K203" s="223">
        <f t="shared" si="15"/>
        <v>0</v>
      </c>
      <c r="L203" s="266">
        <f t="shared" si="16"/>
        <v>0</v>
      </c>
      <c r="M203" s="262"/>
      <c r="N203" s="262"/>
      <c r="O203" s="262"/>
      <c r="P203" s="263"/>
      <c r="Q203" s="263"/>
      <c r="R203" s="263"/>
    </row>
    <row r="204" spans="1:18" x14ac:dyDescent="0.25">
      <c r="A204" s="210">
        <v>5162</v>
      </c>
      <c r="B204" s="211" t="s">
        <v>439</v>
      </c>
      <c r="C204" s="258">
        <v>0</v>
      </c>
      <c r="D204" s="259">
        <v>0</v>
      </c>
      <c r="E204" s="120">
        <v>0</v>
      </c>
      <c r="F204" s="120">
        <v>0</v>
      </c>
      <c r="G204" s="120">
        <v>0</v>
      </c>
      <c r="H204" s="120">
        <v>0</v>
      </c>
      <c r="I204" s="120">
        <v>0</v>
      </c>
      <c r="J204" s="120">
        <v>0</v>
      </c>
      <c r="K204" s="223">
        <f t="shared" si="15"/>
        <v>0</v>
      </c>
      <c r="L204" s="266">
        <f t="shared" si="16"/>
        <v>0</v>
      </c>
      <c r="M204" s="262"/>
      <c r="N204" s="262"/>
      <c r="O204" s="262"/>
      <c r="P204" s="263"/>
      <c r="Q204" s="263"/>
      <c r="R204" s="263"/>
    </row>
    <row r="205" spans="1:18" x14ac:dyDescent="0.25">
      <c r="A205" s="210">
        <v>5163</v>
      </c>
      <c r="B205" s="211" t="s">
        <v>440</v>
      </c>
      <c r="C205" s="258">
        <v>0</v>
      </c>
      <c r="D205" s="259">
        <v>0</v>
      </c>
      <c r="E205" s="120">
        <v>0</v>
      </c>
      <c r="F205" s="120">
        <v>0</v>
      </c>
      <c r="G205" s="120">
        <v>0</v>
      </c>
      <c r="H205" s="120">
        <v>0</v>
      </c>
      <c r="I205" s="120">
        <v>0</v>
      </c>
      <c r="J205" s="120">
        <v>0</v>
      </c>
      <c r="K205" s="223">
        <f t="shared" si="15"/>
        <v>0</v>
      </c>
      <c r="L205" s="266">
        <f t="shared" si="16"/>
        <v>0</v>
      </c>
      <c r="M205" s="262"/>
      <c r="N205" s="262"/>
      <c r="O205" s="262"/>
      <c r="P205" s="263"/>
      <c r="Q205" s="263"/>
      <c r="R205" s="263"/>
    </row>
    <row r="206" spans="1:18" ht="37.5" customHeight="1" x14ac:dyDescent="0.25">
      <c r="A206" s="210">
        <v>5169</v>
      </c>
      <c r="B206" s="211" t="s">
        <v>441</v>
      </c>
      <c r="C206" s="258">
        <v>2</v>
      </c>
      <c r="D206" s="259">
        <v>0</v>
      </c>
      <c r="E206" s="120">
        <v>0</v>
      </c>
      <c r="F206" s="120">
        <v>0</v>
      </c>
      <c r="G206" s="120">
        <v>0</v>
      </c>
      <c r="H206" s="120">
        <v>0</v>
      </c>
      <c r="I206" s="120">
        <v>0</v>
      </c>
      <c r="J206" s="120">
        <v>0</v>
      </c>
      <c r="K206" s="223">
        <f t="shared" si="15"/>
        <v>2</v>
      </c>
      <c r="L206" s="266">
        <f t="shared" si="16"/>
        <v>0</v>
      </c>
      <c r="M206" s="262"/>
      <c r="N206" s="267"/>
      <c r="O206" s="267"/>
      <c r="P206" s="263"/>
      <c r="Q206" s="263"/>
      <c r="R206" s="263"/>
    </row>
    <row r="207" spans="1:18" x14ac:dyDescent="0.25">
      <c r="A207" s="210">
        <v>5210</v>
      </c>
      <c r="B207" s="211" t="s">
        <v>442</v>
      </c>
      <c r="C207" s="258">
        <v>0</v>
      </c>
      <c r="D207" s="259">
        <v>0</v>
      </c>
      <c r="E207" s="120">
        <v>0</v>
      </c>
      <c r="F207" s="120">
        <v>0</v>
      </c>
      <c r="G207" s="120">
        <v>0</v>
      </c>
      <c r="H207" s="120">
        <v>0</v>
      </c>
      <c r="I207" s="120">
        <v>0</v>
      </c>
      <c r="J207" s="120">
        <v>0</v>
      </c>
      <c r="K207" s="223">
        <f t="shared" si="15"/>
        <v>0</v>
      </c>
      <c r="L207" s="266">
        <f t="shared" si="16"/>
        <v>0</v>
      </c>
      <c r="M207" s="262"/>
      <c r="N207" s="262"/>
      <c r="O207" s="262"/>
      <c r="P207" s="263"/>
      <c r="Q207" s="263"/>
      <c r="R207" s="263"/>
    </row>
    <row r="208" spans="1:18" ht="30" x14ac:dyDescent="0.25">
      <c r="A208" s="210">
        <v>5220</v>
      </c>
      <c r="B208" s="211" t="s">
        <v>443</v>
      </c>
      <c r="C208" s="258">
        <v>1</v>
      </c>
      <c r="D208" s="259">
        <v>0</v>
      </c>
      <c r="E208" s="120">
        <v>0</v>
      </c>
      <c r="F208" s="120">
        <v>0</v>
      </c>
      <c r="G208" s="120">
        <v>0</v>
      </c>
      <c r="H208" s="120">
        <v>0</v>
      </c>
      <c r="I208" s="120">
        <v>0</v>
      </c>
      <c r="J208" s="120">
        <v>0</v>
      </c>
      <c r="K208" s="223">
        <f>C208+E208-G208-I208</f>
        <v>1</v>
      </c>
      <c r="L208" s="266">
        <f t="shared" si="16"/>
        <v>0</v>
      </c>
      <c r="M208" s="262"/>
      <c r="N208" s="262"/>
      <c r="O208" s="262"/>
      <c r="P208" s="263"/>
      <c r="Q208" s="263"/>
      <c r="R208" s="263"/>
    </row>
    <row r="209" spans="1:18" ht="30.75" thickBot="1" x14ac:dyDescent="0.3">
      <c r="A209" s="204">
        <v>5230</v>
      </c>
      <c r="B209" s="205" t="s">
        <v>444</v>
      </c>
      <c r="C209" s="256">
        <v>3</v>
      </c>
      <c r="D209" s="257">
        <v>1</v>
      </c>
      <c r="E209" s="209">
        <v>0</v>
      </c>
      <c r="F209" s="209">
        <v>0</v>
      </c>
      <c r="G209" s="209">
        <v>0</v>
      </c>
      <c r="H209" s="209">
        <v>0</v>
      </c>
      <c r="I209" s="209">
        <v>0</v>
      </c>
      <c r="J209" s="209">
        <v>0</v>
      </c>
      <c r="K209" s="221">
        <f t="shared" si="15"/>
        <v>3</v>
      </c>
      <c r="L209" s="268">
        <f t="shared" si="16"/>
        <v>1</v>
      </c>
      <c r="M209" s="262"/>
      <c r="N209" s="262"/>
      <c r="O209" s="262"/>
      <c r="P209" s="263"/>
      <c r="Q209" s="263"/>
      <c r="R209" s="263"/>
    </row>
    <row r="210" spans="1:18" ht="30.75" thickBot="1" x14ac:dyDescent="0.3">
      <c r="A210" s="260">
        <v>6</v>
      </c>
      <c r="B210" s="255" t="s">
        <v>445</v>
      </c>
      <c r="C210" s="251"/>
      <c r="D210" s="299"/>
      <c r="E210" s="218"/>
      <c r="F210" s="218"/>
      <c r="G210" s="218"/>
      <c r="H210" s="218"/>
      <c r="I210" s="218"/>
      <c r="J210" s="218"/>
      <c r="K210" s="226"/>
      <c r="L210" s="264"/>
      <c r="M210" s="262"/>
      <c r="N210" s="1"/>
      <c r="O210" s="1"/>
      <c r="P210" s="263"/>
      <c r="Q210" s="263"/>
      <c r="R210" s="263"/>
    </row>
    <row r="211" spans="1:18" x14ac:dyDescent="0.25">
      <c r="A211" s="204">
        <v>6111</v>
      </c>
      <c r="B211" s="205" t="s">
        <v>446</v>
      </c>
      <c r="C211" s="256">
        <v>0</v>
      </c>
      <c r="D211" s="257">
        <v>0</v>
      </c>
      <c r="E211" s="209">
        <v>0</v>
      </c>
      <c r="F211" s="209">
        <v>0</v>
      </c>
      <c r="G211" s="209">
        <v>0</v>
      </c>
      <c r="H211" s="209">
        <v>0</v>
      </c>
      <c r="I211" s="209">
        <v>0</v>
      </c>
      <c r="J211" s="209">
        <v>0</v>
      </c>
      <c r="K211" s="221">
        <f t="shared" ref="K211:K226" si="17">C211+E211-G211-I211</f>
        <v>0</v>
      </c>
      <c r="L211" s="268">
        <f t="shared" ref="L211:L226" si="18">D211+F211-H211-J211</f>
        <v>0</v>
      </c>
      <c r="M211" s="262"/>
      <c r="N211" s="262"/>
      <c r="O211" s="262"/>
      <c r="P211" s="263"/>
      <c r="Q211" s="263"/>
      <c r="R211" s="263"/>
    </row>
    <row r="212" spans="1:18" x14ac:dyDescent="0.25">
      <c r="A212" s="210">
        <v>6112</v>
      </c>
      <c r="B212" s="211" t="s">
        <v>447</v>
      </c>
      <c r="C212" s="258">
        <v>117</v>
      </c>
      <c r="D212" s="259">
        <v>0</v>
      </c>
      <c r="E212" s="120">
        <v>0</v>
      </c>
      <c r="F212" s="120">
        <v>0</v>
      </c>
      <c r="G212" s="120">
        <v>0</v>
      </c>
      <c r="H212" s="120">
        <v>0</v>
      </c>
      <c r="I212" s="120">
        <v>0</v>
      </c>
      <c r="J212" s="120">
        <v>0</v>
      </c>
      <c r="K212" s="223">
        <f t="shared" si="17"/>
        <v>117</v>
      </c>
      <c r="L212" s="266">
        <f t="shared" si="18"/>
        <v>0</v>
      </c>
      <c r="M212" s="262"/>
      <c r="N212" s="262"/>
      <c r="O212" s="262"/>
      <c r="P212" s="263"/>
      <c r="Q212" s="263"/>
      <c r="R212" s="263"/>
    </row>
    <row r="213" spans="1:18" ht="30" x14ac:dyDescent="0.25">
      <c r="A213" s="210">
        <v>6113</v>
      </c>
      <c r="B213" s="211" t="s">
        <v>448</v>
      </c>
      <c r="C213" s="258">
        <v>0</v>
      </c>
      <c r="D213" s="259">
        <v>0</v>
      </c>
      <c r="E213" s="120">
        <v>0</v>
      </c>
      <c r="F213" s="120">
        <v>0</v>
      </c>
      <c r="G213" s="120">
        <v>0</v>
      </c>
      <c r="H213" s="120">
        <v>0</v>
      </c>
      <c r="I213" s="120">
        <v>0</v>
      </c>
      <c r="J213" s="120">
        <v>0</v>
      </c>
      <c r="K213" s="223">
        <f t="shared" si="17"/>
        <v>0</v>
      </c>
      <c r="L213" s="266">
        <f t="shared" si="18"/>
        <v>0</v>
      </c>
      <c r="M213" s="262"/>
      <c r="N213" s="262"/>
      <c r="O213" s="262"/>
      <c r="P213" s="263"/>
      <c r="Q213" s="263"/>
      <c r="R213" s="263"/>
    </row>
    <row r="214" spans="1:18" x14ac:dyDescent="0.25">
      <c r="A214" s="210">
        <v>6114</v>
      </c>
      <c r="B214" s="211" t="s">
        <v>449</v>
      </c>
      <c r="C214" s="258">
        <v>0</v>
      </c>
      <c r="D214" s="259">
        <v>0</v>
      </c>
      <c r="E214" s="120">
        <v>0</v>
      </c>
      <c r="F214" s="120">
        <v>0</v>
      </c>
      <c r="G214" s="120">
        <v>0</v>
      </c>
      <c r="H214" s="120">
        <v>0</v>
      </c>
      <c r="I214" s="120">
        <v>0</v>
      </c>
      <c r="J214" s="120">
        <v>0</v>
      </c>
      <c r="K214" s="223">
        <f t="shared" si="17"/>
        <v>0</v>
      </c>
      <c r="L214" s="266">
        <f t="shared" si="18"/>
        <v>0</v>
      </c>
      <c r="M214" s="262"/>
      <c r="N214" s="262"/>
      <c r="O214" s="262"/>
      <c r="P214" s="263"/>
      <c r="Q214" s="263"/>
      <c r="R214" s="263"/>
    </row>
    <row r="215" spans="1:18" x14ac:dyDescent="0.25">
      <c r="A215" s="210">
        <v>6121</v>
      </c>
      <c r="B215" s="211" t="s">
        <v>450</v>
      </c>
      <c r="C215" s="258">
        <v>0</v>
      </c>
      <c r="D215" s="259">
        <v>0</v>
      </c>
      <c r="E215" s="120">
        <v>0</v>
      </c>
      <c r="F215" s="120">
        <v>0</v>
      </c>
      <c r="G215" s="120">
        <v>0</v>
      </c>
      <c r="H215" s="120">
        <v>0</v>
      </c>
      <c r="I215" s="120">
        <v>0</v>
      </c>
      <c r="J215" s="120">
        <v>0</v>
      </c>
      <c r="K215" s="223">
        <f t="shared" si="17"/>
        <v>0</v>
      </c>
      <c r="L215" s="266">
        <f t="shared" si="18"/>
        <v>0</v>
      </c>
      <c r="M215" s="262"/>
      <c r="N215" s="262"/>
      <c r="O215" s="262"/>
      <c r="P215" s="263"/>
      <c r="Q215" s="263"/>
      <c r="R215" s="263"/>
    </row>
    <row r="216" spans="1:18" x14ac:dyDescent="0.25">
      <c r="A216" s="210">
        <v>6122</v>
      </c>
      <c r="B216" s="211" t="s">
        <v>451</v>
      </c>
      <c r="C216" s="258">
        <v>0</v>
      </c>
      <c r="D216" s="259">
        <v>0</v>
      </c>
      <c r="E216" s="120">
        <v>0</v>
      </c>
      <c r="F216" s="120">
        <v>0</v>
      </c>
      <c r="G216" s="120">
        <v>0</v>
      </c>
      <c r="H216" s="120">
        <v>0</v>
      </c>
      <c r="I216" s="120">
        <v>0</v>
      </c>
      <c r="J216" s="120">
        <v>0</v>
      </c>
      <c r="K216" s="223">
        <f t="shared" si="17"/>
        <v>0</v>
      </c>
      <c r="L216" s="266">
        <f t="shared" si="18"/>
        <v>0</v>
      </c>
      <c r="M216" s="262"/>
      <c r="N216" s="262"/>
      <c r="O216" s="262"/>
      <c r="P216" s="263"/>
      <c r="Q216" s="263"/>
      <c r="R216" s="263"/>
    </row>
    <row r="217" spans="1:18" x14ac:dyDescent="0.25">
      <c r="A217" s="210">
        <v>6123</v>
      </c>
      <c r="B217" s="211" t="s">
        <v>452</v>
      </c>
      <c r="C217" s="258">
        <v>0</v>
      </c>
      <c r="D217" s="259">
        <v>0</v>
      </c>
      <c r="E217" s="120">
        <v>0</v>
      </c>
      <c r="F217" s="120">
        <v>0</v>
      </c>
      <c r="G217" s="120">
        <v>0</v>
      </c>
      <c r="H217" s="120">
        <v>0</v>
      </c>
      <c r="I217" s="120">
        <v>0</v>
      </c>
      <c r="J217" s="120">
        <v>0</v>
      </c>
      <c r="K217" s="223">
        <f t="shared" si="17"/>
        <v>0</v>
      </c>
      <c r="L217" s="266">
        <f t="shared" si="18"/>
        <v>0</v>
      </c>
      <c r="M217" s="262"/>
      <c r="N217" s="262"/>
      <c r="O217" s="262"/>
      <c r="P217" s="263"/>
      <c r="Q217" s="263"/>
      <c r="R217" s="263"/>
    </row>
    <row r="218" spans="1:18" ht="45" x14ac:dyDescent="0.25">
      <c r="A218" s="210">
        <v>6129</v>
      </c>
      <c r="B218" s="211" t="s">
        <v>453</v>
      </c>
      <c r="C218" s="258">
        <v>0</v>
      </c>
      <c r="D218" s="259">
        <v>0</v>
      </c>
      <c r="E218" s="120">
        <v>0</v>
      </c>
      <c r="F218" s="120">
        <v>0</v>
      </c>
      <c r="G218" s="120">
        <v>0</v>
      </c>
      <c r="H218" s="120">
        <v>0</v>
      </c>
      <c r="I218" s="120">
        <v>0</v>
      </c>
      <c r="J218" s="120">
        <v>0</v>
      </c>
      <c r="K218" s="223">
        <f t="shared" si="17"/>
        <v>0</v>
      </c>
      <c r="L218" s="266">
        <f t="shared" si="18"/>
        <v>0</v>
      </c>
      <c r="M218" s="262"/>
      <c r="N218" s="262"/>
      <c r="O218" s="262"/>
      <c r="P218" s="263"/>
      <c r="Q218" s="263"/>
      <c r="R218" s="263"/>
    </row>
    <row r="219" spans="1:18" ht="30" x14ac:dyDescent="0.25">
      <c r="A219" s="210">
        <v>6130</v>
      </c>
      <c r="B219" s="211" t="s">
        <v>454</v>
      </c>
      <c r="C219" s="258">
        <v>0</v>
      </c>
      <c r="D219" s="259">
        <v>0</v>
      </c>
      <c r="E219" s="120">
        <v>0</v>
      </c>
      <c r="F219" s="120">
        <v>0</v>
      </c>
      <c r="G219" s="120">
        <v>0</v>
      </c>
      <c r="H219" s="120">
        <v>0</v>
      </c>
      <c r="I219" s="120">
        <v>0</v>
      </c>
      <c r="J219" s="120">
        <v>0</v>
      </c>
      <c r="K219" s="223">
        <f t="shared" si="17"/>
        <v>0</v>
      </c>
      <c r="L219" s="266">
        <f t="shared" si="18"/>
        <v>0</v>
      </c>
      <c r="M219" s="262"/>
      <c r="N219" s="262"/>
      <c r="O219" s="262"/>
      <c r="P219" s="263"/>
      <c r="Q219" s="263"/>
      <c r="R219" s="263"/>
    </row>
    <row r="220" spans="1:18" ht="30" x14ac:dyDescent="0.25">
      <c r="A220" s="210">
        <v>6141</v>
      </c>
      <c r="B220" s="211" t="s">
        <v>455</v>
      </c>
      <c r="C220" s="258">
        <v>0</v>
      </c>
      <c r="D220" s="259">
        <v>0</v>
      </c>
      <c r="E220" s="120">
        <v>0</v>
      </c>
      <c r="F220" s="120">
        <v>0</v>
      </c>
      <c r="G220" s="120">
        <v>0</v>
      </c>
      <c r="H220" s="120">
        <v>0</v>
      </c>
      <c r="I220" s="120">
        <v>0</v>
      </c>
      <c r="J220" s="120">
        <v>0</v>
      </c>
      <c r="K220" s="223">
        <f t="shared" si="17"/>
        <v>0</v>
      </c>
      <c r="L220" s="266">
        <f t="shared" si="18"/>
        <v>0</v>
      </c>
      <c r="M220" s="262"/>
      <c r="N220" s="262"/>
      <c r="O220" s="262"/>
      <c r="P220" s="263"/>
      <c r="Q220" s="263"/>
      <c r="R220" s="263"/>
    </row>
    <row r="221" spans="1:18" ht="30" x14ac:dyDescent="0.25">
      <c r="A221" s="210">
        <v>6142</v>
      </c>
      <c r="B221" s="211" t="s">
        <v>456</v>
      </c>
      <c r="C221" s="258">
        <v>0</v>
      </c>
      <c r="D221" s="259">
        <v>0</v>
      </c>
      <c r="E221" s="120">
        <v>0</v>
      </c>
      <c r="F221" s="120">
        <v>0</v>
      </c>
      <c r="G221" s="120">
        <v>0</v>
      </c>
      <c r="H221" s="120">
        <v>0</v>
      </c>
      <c r="I221" s="120">
        <v>0</v>
      </c>
      <c r="J221" s="120">
        <v>0</v>
      </c>
      <c r="K221" s="223">
        <f t="shared" si="17"/>
        <v>0</v>
      </c>
      <c r="L221" s="266">
        <f t="shared" si="18"/>
        <v>0</v>
      </c>
      <c r="M221" s="262"/>
      <c r="N221" s="262"/>
      <c r="O221" s="262"/>
      <c r="P221" s="263"/>
      <c r="Q221" s="263"/>
      <c r="R221" s="263"/>
    </row>
    <row r="222" spans="1:18" x14ac:dyDescent="0.25">
      <c r="A222" s="210">
        <v>6151</v>
      </c>
      <c r="B222" s="211" t="s">
        <v>457</v>
      </c>
      <c r="C222" s="258">
        <v>0</v>
      </c>
      <c r="D222" s="259">
        <v>0</v>
      </c>
      <c r="E222" s="120">
        <v>0</v>
      </c>
      <c r="F222" s="120">
        <v>0</v>
      </c>
      <c r="G222" s="120">
        <v>0</v>
      </c>
      <c r="H222" s="120">
        <v>0</v>
      </c>
      <c r="I222" s="120">
        <v>0</v>
      </c>
      <c r="J222" s="120">
        <v>0</v>
      </c>
      <c r="K222" s="223">
        <f t="shared" si="17"/>
        <v>0</v>
      </c>
      <c r="L222" s="266">
        <f t="shared" si="18"/>
        <v>0</v>
      </c>
      <c r="M222" s="262"/>
      <c r="N222" s="262"/>
      <c r="O222" s="262"/>
      <c r="P222" s="263"/>
      <c r="Q222" s="263"/>
      <c r="R222" s="263"/>
    </row>
    <row r="223" spans="1:18" ht="15" customHeight="1" x14ac:dyDescent="0.25">
      <c r="A223" s="210">
        <v>6152</v>
      </c>
      <c r="B223" s="211" t="s">
        <v>458</v>
      </c>
      <c r="C223" s="258">
        <v>0</v>
      </c>
      <c r="D223" s="259">
        <v>0</v>
      </c>
      <c r="E223" s="120">
        <v>0</v>
      </c>
      <c r="F223" s="120">
        <v>0</v>
      </c>
      <c r="G223" s="120">
        <v>0</v>
      </c>
      <c r="H223" s="120">
        <v>0</v>
      </c>
      <c r="I223" s="120">
        <v>0</v>
      </c>
      <c r="J223" s="120">
        <v>0</v>
      </c>
      <c r="K223" s="223">
        <f t="shared" si="17"/>
        <v>0</v>
      </c>
      <c r="L223" s="266">
        <f t="shared" si="18"/>
        <v>0</v>
      </c>
      <c r="M223" s="262"/>
      <c r="N223" s="262"/>
      <c r="O223" s="262"/>
      <c r="P223" s="263"/>
      <c r="Q223" s="263"/>
      <c r="R223" s="263"/>
    </row>
    <row r="224" spans="1:18" x14ac:dyDescent="0.25">
      <c r="A224" s="210">
        <v>6153</v>
      </c>
      <c r="B224" s="211" t="s">
        <v>459</v>
      </c>
      <c r="C224" s="258">
        <v>0</v>
      </c>
      <c r="D224" s="259">
        <v>0</v>
      </c>
      <c r="E224" s="120">
        <v>0</v>
      </c>
      <c r="F224" s="120">
        <v>0</v>
      </c>
      <c r="G224" s="120">
        <v>0</v>
      </c>
      <c r="H224" s="120">
        <v>0</v>
      </c>
      <c r="I224" s="120">
        <v>0</v>
      </c>
      <c r="J224" s="120">
        <v>0</v>
      </c>
      <c r="K224" s="223">
        <f t="shared" si="17"/>
        <v>0</v>
      </c>
      <c r="L224" s="266">
        <f t="shared" si="18"/>
        <v>0</v>
      </c>
      <c r="M224" s="262"/>
      <c r="N224" s="262"/>
      <c r="O224" s="262"/>
      <c r="P224" s="263"/>
      <c r="Q224" s="263"/>
      <c r="R224" s="263"/>
    </row>
    <row r="225" spans="1:18" ht="22.5" customHeight="1" x14ac:dyDescent="0.25">
      <c r="A225" s="210">
        <v>6154</v>
      </c>
      <c r="B225" s="211" t="s">
        <v>460</v>
      </c>
      <c r="C225" s="258">
        <v>0</v>
      </c>
      <c r="D225" s="259">
        <v>0</v>
      </c>
      <c r="E225" s="120">
        <v>0</v>
      </c>
      <c r="F225" s="120">
        <v>0</v>
      </c>
      <c r="G225" s="120">
        <v>0</v>
      </c>
      <c r="H225" s="120">
        <v>0</v>
      </c>
      <c r="I225" s="120">
        <v>0</v>
      </c>
      <c r="J225" s="120">
        <v>0</v>
      </c>
      <c r="K225" s="223">
        <f t="shared" si="17"/>
        <v>0</v>
      </c>
      <c r="L225" s="266">
        <f t="shared" si="18"/>
        <v>0</v>
      </c>
      <c r="M225" s="262"/>
      <c r="N225" s="262"/>
      <c r="O225" s="262"/>
      <c r="P225" s="263"/>
      <c r="Q225" s="263"/>
      <c r="R225" s="263"/>
    </row>
    <row r="226" spans="1:18" ht="30.75" thickBot="1" x14ac:dyDescent="0.3">
      <c r="A226" s="204">
        <v>6210</v>
      </c>
      <c r="B226" s="205" t="s">
        <v>461</v>
      </c>
      <c r="C226" s="256">
        <v>0</v>
      </c>
      <c r="D226" s="257">
        <v>0</v>
      </c>
      <c r="E226" s="209">
        <v>0</v>
      </c>
      <c r="F226" s="209">
        <v>0</v>
      </c>
      <c r="G226" s="209">
        <v>0</v>
      </c>
      <c r="H226" s="209">
        <v>0</v>
      </c>
      <c r="I226" s="209">
        <v>0</v>
      </c>
      <c r="J226" s="209">
        <v>0</v>
      </c>
      <c r="K226" s="221">
        <f t="shared" si="17"/>
        <v>0</v>
      </c>
      <c r="L226" s="268">
        <f t="shared" si="18"/>
        <v>0</v>
      </c>
      <c r="M226" s="262"/>
      <c r="N226" s="262"/>
      <c r="O226" s="262"/>
      <c r="P226" s="263"/>
      <c r="Q226" s="263"/>
      <c r="R226" s="263"/>
    </row>
    <row r="227" spans="1:18" ht="30.75" thickBot="1" x14ac:dyDescent="0.3">
      <c r="A227" s="254">
        <v>7</v>
      </c>
      <c r="B227" s="255" t="s">
        <v>462</v>
      </c>
      <c r="C227" s="251"/>
      <c r="D227" s="299"/>
      <c r="E227" s="218"/>
      <c r="F227" s="218"/>
      <c r="G227" s="218"/>
      <c r="H227" s="218"/>
      <c r="I227" s="218"/>
      <c r="J227" s="218"/>
      <c r="K227" s="226"/>
      <c r="L227" s="264"/>
      <c r="M227" s="262"/>
      <c r="N227" s="1"/>
      <c r="O227" s="1"/>
      <c r="P227" s="263"/>
      <c r="Q227" s="263"/>
      <c r="R227" s="263"/>
    </row>
    <row r="228" spans="1:18" ht="30" x14ac:dyDescent="0.25">
      <c r="A228" s="204">
        <v>7111</v>
      </c>
      <c r="B228" s="205" t="s">
        <v>463</v>
      </c>
      <c r="C228" s="256">
        <v>0</v>
      </c>
      <c r="D228" s="257">
        <v>0</v>
      </c>
      <c r="E228" s="209">
        <v>0</v>
      </c>
      <c r="F228" s="209">
        <v>0</v>
      </c>
      <c r="G228" s="209">
        <v>0</v>
      </c>
      <c r="H228" s="209">
        <v>0</v>
      </c>
      <c r="I228" s="209">
        <v>0</v>
      </c>
      <c r="J228" s="209">
        <v>0</v>
      </c>
      <c r="K228" s="221">
        <f t="shared" ref="K228:K259" si="19">C228+E228-G228-I228</f>
        <v>0</v>
      </c>
      <c r="L228" s="268">
        <f t="shared" ref="L228:L259" si="20">D228+F228-H228-J228</f>
        <v>0</v>
      </c>
      <c r="M228" s="262"/>
      <c r="N228" s="262"/>
      <c r="O228" s="262"/>
      <c r="P228" s="263"/>
      <c r="Q228" s="263"/>
      <c r="R228" s="263"/>
    </row>
    <row r="229" spans="1:18" x14ac:dyDescent="0.25">
      <c r="A229" s="210">
        <v>7112</v>
      </c>
      <c r="B229" s="211" t="s">
        <v>464</v>
      </c>
      <c r="C229" s="258">
        <v>0</v>
      </c>
      <c r="D229" s="259">
        <v>0</v>
      </c>
      <c r="E229" s="120">
        <v>0</v>
      </c>
      <c r="F229" s="120">
        <v>0</v>
      </c>
      <c r="G229" s="120">
        <v>0</v>
      </c>
      <c r="H229" s="120">
        <v>0</v>
      </c>
      <c r="I229" s="120">
        <v>0</v>
      </c>
      <c r="J229" s="120">
        <v>0</v>
      </c>
      <c r="K229" s="223">
        <f t="shared" si="19"/>
        <v>0</v>
      </c>
      <c r="L229" s="266">
        <f t="shared" si="20"/>
        <v>0</v>
      </c>
      <c r="M229" s="262"/>
      <c r="N229" s="262"/>
      <c r="O229" s="262"/>
      <c r="P229" s="263"/>
      <c r="Q229" s="263"/>
      <c r="R229" s="263"/>
    </row>
    <row r="230" spans="1:18" ht="30" x14ac:dyDescent="0.25">
      <c r="A230" s="210">
        <v>7113</v>
      </c>
      <c r="B230" s="211" t="s">
        <v>465</v>
      </c>
      <c r="C230" s="258">
        <v>0</v>
      </c>
      <c r="D230" s="259">
        <v>0</v>
      </c>
      <c r="E230" s="120">
        <v>0</v>
      </c>
      <c r="F230" s="120">
        <v>0</v>
      </c>
      <c r="G230" s="120">
        <v>0</v>
      </c>
      <c r="H230" s="120">
        <v>0</v>
      </c>
      <c r="I230" s="120">
        <v>0</v>
      </c>
      <c r="J230" s="120">
        <v>0</v>
      </c>
      <c r="K230" s="223">
        <f t="shared" si="19"/>
        <v>0</v>
      </c>
      <c r="L230" s="266">
        <f t="shared" si="20"/>
        <v>0</v>
      </c>
      <c r="M230" s="262"/>
      <c r="N230" s="262"/>
      <c r="O230" s="262"/>
      <c r="P230" s="263"/>
      <c r="Q230" s="263"/>
      <c r="R230" s="263"/>
    </row>
    <row r="231" spans="1:18" ht="30" x14ac:dyDescent="0.25">
      <c r="A231" s="210">
        <v>7121</v>
      </c>
      <c r="B231" s="211" t="s">
        <v>466</v>
      </c>
      <c r="C231" s="258">
        <v>0</v>
      </c>
      <c r="D231" s="259">
        <v>0</v>
      </c>
      <c r="E231" s="120">
        <v>0</v>
      </c>
      <c r="F231" s="120">
        <v>0</v>
      </c>
      <c r="G231" s="120">
        <v>0</v>
      </c>
      <c r="H231" s="120">
        <v>0</v>
      </c>
      <c r="I231" s="120">
        <v>0</v>
      </c>
      <c r="J231" s="120">
        <v>0</v>
      </c>
      <c r="K231" s="223">
        <f t="shared" si="19"/>
        <v>0</v>
      </c>
      <c r="L231" s="266">
        <f t="shared" si="20"/>
        <v>0</v>
      </c>
      <c r="M231" s="262"/>
      <c r="N231" s="262"/>
      <c r="O231" s="262"/>
      <c r="P231" s="263"/>
      <c r="Q231" s="263"/>
      <c r="R231" s="263"/>
    </row>
    <row r="232" spans="1:18" ht="24.75" customHeight="1" x14ac:dyDescent="0.25">
      <c r="A232" s="210">
        <v>7122</v>
      </c>
      <c r="B232" s="211" t="s">
        <v>467</v>
      </c>
      <c r="C232" s="258">
        <v>0</v>
      </c>
      <c r="D232" s="259">
        <v>0</v>
      </c>
      <c r="E232" s="120">
        <v>0</v>
      </c>
      <c r="F232" s="120">
        <v>0</v>
      </c>
      <c r="G232" s="120">
        <v>0</v>
      </c>
      <c r="H232" s="120">
        <v>0</v>
      </c>
      <c r="I232" s="120">
        <v>0</v>
      </c>
      <c r="J232" s="120">
        <v>0</v>
      </c>
      <c r="K232" s="223">
        <f t="shared" si="19"/>
        <v>0</v>
      </c>
      <c r="L232" s="266">
        <f t="shared" si="20"/>
        <v>0</v>
      </c>
      <c r="M232" s="262"/>
      <c r="N232" s="267"/>
      <c r="O232" s="267"/>
      <c r="P232" s="263"/>
      <c r="Q232" s="263"/>
      <c r="R232" s="263"/>
    </row>
    <row r="233" spans="1:18" ht="30" x14ac:dyDescent="0.25">
      <c r="A233" s="210">
        <v>7123</v>
      </c>
      <c r="B233" s="211" t="s">
        <v>468</v>
      </c>
      <c r="C233" s="258">
        <v>0</v>
      </c>
      <c r="D233" s="259">
        <v>0</v>
      </c>
      <c r="E233" s="120">
        <v>0</v>
      </c>
      <c r="F233" s="120">
        <v>0</v>
      </c>
      <c r="G233" s="120">
        <v>0</v>
      </c>
      <c r="H233" s="120">
        <v>0</v>
      </c>
      <c r="I233" s="120">
        <v>0</v>
      </c>
      <c r="J233" s="120">
        <v>0</v>
      </c>
      <c r="K233" s="223">
        <f t="shared" si="19"/>
        <v>0</v>
      </c>
      <c r="L233" s="266">
        <f t="shared" si="20"/>
        <v>0</v>
      </c>
      <c r="M233" s="262"/>
      <c r="N233" s="262"/>
      <c r="O233" s="262"/>
      <c r="P233" s="263"/>
      <c r="Q233" s="263"/>
      <c r="R233" s="263"/>
    </row>
    <row r="234" spans="1:18" ht="30" x14ac:dyDescent="0.25">
      <c r="A234" s="210">
        <v>7124</v>
      </c>
      <c r="B234" s="211" t="s">
        <v>469</v>
      </c>
      <c r="C234" s="258">
        <v>0</v>
      </c>
      <c r="D234" s="259">
        <v>0</v>
      </c>
      <c r="E234" s="120">
        <v>0</v>
      </c>
      <c r="F234" s="120">
        <v>0</v>
      </c>
      <c r="G234" s="120">
        <v>0</v>
      </c>
      <c r="H234" s="120">
        <v>0</v>
      </c>
      <c r="I234" s="120">
        <v>0</v>
      </c>
      <c r="J234" s="120">
        <v>0</v>
      </c>
      <c r="K234" s="223">
        <f t="shared" si="19"/>
        <v>0</v>
      </c>
      <c r="L234" s="266">
        <f t="shared" si="20"/>
        <v>0</v>
      </c>
      <c r="M234" s="262"/>
      <c r="N234" s="262"/>
      <c r="O234" s="262"/>
      <c r="P234" s="263"/>
      <c r="Q234" s="263"/>
      <c r="R234" s="263"/>
    </row>
    <row r="235" spans="1:18" ht="45" x14ac:dyDescent="0.25">
      <c r="A235" s="210">
        <v>7129</v>
      </c>
      <c r="B235" s="211" t="s">
        <v>641</v>
      </c>
      <c r="C235" s="258">
        <v>0</v>
      </c>
      <c r="D235" s="259">
        <v>0</v>
      </c>
      <c r="E235" s="120">
        <v>0</v>
      </c>
      <c r="F235" s="120">
        <v>0</v>
      </c>
      <c r="G235" s="120">
        <v>0</v>
      </c>
      <c r="H235" s="120">
        <v>0</v>
      </c>
      <c r="I235" s="120">
        <v>0</v>
      </c>
      <c r="J235" s="120">
        <v>0</v>
      </c>
      <c r="K235" s="223">
        <f t="shared" si="19"/>
        <v>0</v>
      </c>
      <c r="L235" s="266">
        <f t="shared" si="20"/>
        <v>0</v>
      </c>
      <c r="M235" s="262"/>
      <c r="N235" s="262"/>
      <c r="O235" s="262"/>
      <c r="P235" s="263"/>
      <c r="Q235" s="263"/>
      <c r="R235" s="263"/>
    </row>
    <row r="236" spans="1:18" x14ac:dyDescent="0.25">
      <c r="A236" s="210">
        <v>7131</v>
      </c>
      <c r="B236" s="211" t="s">
        <v>470</v>
      </c>
      <c r="C236" s="258">
        <v>0</v>
      </c>
      <c r="D236" s="259">
        <v>0</v>
      </c>
      <c r="E236" s="120">
        <v>0</v>
      </c>
      <c r="F236" s="120">
        <v>0</v>
      </c>
      <c r="G236" s="120">
        <v>0</v>
      </c>
      <c r="H236" s="120">
        <v>0</v>
      </c>
      <c r="I236" s="120">
        <v>0</v>
      </c>
      <c r="J236" s="120">
        <v>0</v>
      </c>
      <c r="K236" s="223">
        <f t="shared" si="19"/>
        <v>0</v>
      </c>
      <c r="L236" s="266">
        <f t="shared" si="20"/>
        <v>0</v>
      </c>
      <c r="M236" s="262"/>
      <c r="N236" s="262"/>
      <c r="O236" s="262"/>
      <c r="P236" s="263"/>
      <c r="Q236" s="263"/>
      <c r="R236" s="263"/>
    </row>
    <row r="237" spans="1:18" x14ac:dyDescent="0.25">
      <c r="A237" s="210">
        <v>7132</v>
      </c>
      <c r="B237" s="211" t="s">
        <v>471</v>
      </c>
      <c r="C237" s="258">
        <v>0</v>
      </c>
      <c r="D237" s="259">
        <v>0</v>
      </c>
      <c r="E237" s="120">
        <v>0</v>
      </c>
      <c r="F237" s="120">
        <v>0</v>
      </c>
      <c r="G237" s="120">
        <v>0</v>
      </c>
      <c r="H237" s="120">
        <v>0</v>
      </c>
      <c r="I237" s="120">
        <v>0</v>
      </c>
      <c r="J237" s="120">
        <v>0</v>
      </c>
      <c r="K237" s="223">
        <f t="shared" si="19"/>
        <v>0</v>
      </c>
      <c r="L237" s="266">
        <f t="shared" si="20"/>
        <v>0</v>
      </c>
      <c r="M237" s="262"/>
      <c r="N237" s="262"/>
      <c r="O237" s="262"/>
      <c r="P237" s="263"/>
      <c r="Q237" s="263"/>
      <c r="R237" s="263"/>
    </row>
    <row r="238" spans="1:18" x14ac:dyDescent="0.25">
      <c r="A238" s="210">
        <v>7133</v>
      </c>
      <c r="B238" s="211" t="s">
        <v>472</v>
      </c>
      <c r="C238" s="258">
        <v>0</v>
      </c>
      <c r="D238" s="259">
        <v>0</v>
      </c>
      <c r="E238" s="120">
        <v>0</v>
      </c>
      <c r="F238" s="120">
        <v>0</v>
      </c>
      <c r="G238" s="120">
        <v>0</v>
      </c>
      <c r="H238" s="120">
        <v>0</v>
      </c>
      <c r="I238" s="120">
        <v>0</v>
      </c>
      <c r="J238" s="120">
        <v>0</v>
      </c>
      <c r="K238" s="223">
        <f t="shared" si="19"/>
        <v>0</v>
      </c>
      <c r="L238" s="266">
        <f t="shared" si="20"/>
        <v>0</v>
      </c>
      <c r="M238" s="262"/>
      <c r="N238" s="262"/>
      <c r="O238" s="262"/>
      <c r="P238" s="263"/>
      <c r="Q238" s="263"/>
      <c r="R238" s="263"/>
    </row>
    <row r="239" spans="1:18" x14ac:dyDescent="0.25">
      <c r="A239" s="210">
        <v>7134</v>
      </c>
      <c r="B239" s="211" t="s">
        <v>473</v>
      </c>
      <c r="C239" s="258">
        <v>0</v>
      </c>
      <c r="D239" s="259">
        <v>0</v>
      </c>
      <c r="E239" s="120">
        <v>0</v>
      </c>
      <c r="F239" s="120">
        <v>0</v>
      </c>
      <c r="G239" s="120">
        <v>0</v>
      </c>
      <c r="H239" s="120">
        <v>0</v>
      </c>
      <c r="I239" s="120">
        <v>0</v>
      </c>
      <c r="J239" s="120">
        <v>0</v>
      </c>
      <c r="K239" s="223">
        <f t="shared" si="19"/>
        <v>0</v>
      </c>
      <c r="L239" s="266">
        <f t="shared" si="20"/>
        <v>0</v>
      </c>
      <c r="M239" s="262"/>
      <c r="N239" s="262"/>
      <c r="O239" s="262"/>
      <c r="P239" s="263"/>
      <c r="Q239" s="263"/>
      <c r="R239" s="263"/>
    </row>
    <row r="240" spans="1:18" x14ac:dyDescent="0.25">
      <c r="A240" s="210">
        <v>7135</v>
      </c>
      <c r="B240" s="211" t="s">
        <v>474</v>
      </c>
      <c r="C240" s="258">
        <v>0</v>
      </c>
      <c r="D240" s="259">
        <v>0</v>
      </c>
      <c r="E240" s="120">
        <v>0</v>
      </c>
      <c r="F240" s="120">
        <v>0</v>
      </c>
      <c r="G240" s="120">
        <v>0</v>
      </c>
      <c r="H240" s="120">
        <v>0</v>
      </c>
      <c r="I240" s="120">
        <v>0</v>
      </c>
      <c r="J240" s="120">
        <v>0</v>
      </c>
      <c r="K240" s="223">
        <f t="shared" si="19"/>
        <v>0</v>
      </c>
      <c r="L240" s="266">
        <f t="shared" si="20"/>
        <v>0</v>
      </c>
      <c r="M240" s="262"/>
      <c r="N240" s="262"/>
      <c r="O240" s="262"/>
      <c r="P240" s="263"/>
      <c r="Q240" s="263"/>
      <c r="R240" s="263"/>
    </row>
    <row r="241" spans="1:18" ht="30" x14ac:dyDescent="0.25">
      <c r="A241" s="210">
        <v>7136</v>
      </c>
      <c r="B241" s="211" t="s">
        <v>475</v>
      </c>
      <c r="C241" s="258">
        <v>0</v>
      </c>
      <c r="D241" s="259">
        <v>0</v>
      </c>
      <c r="E241" s="120">
        <v>0</v>
      </c>
      <c r="F241" s="120">
        <v>0</v>
      </c>
      <c r="G241" s="120">
        <v>0</v>
      </c>
      <c r="H241" s="120">
        <v>0</v>
      </c>
      <c r="I241" s="120">
        <v>0</v>
      </c>
      <c r="J241" s="120">
        <v>0</v>
      </c>
      <c r="K241" s="223">
        <f t="shared" si="19"/>
        <v>0</v>
      </c>
      <c r="L241" s="266">
        <f t="shared" si="20"/>
        <v>0</v>
      </c>
      <c r="M241" s="262"/>
      <c r="N241" s="262"/>
      <c r="O241" s="262"/>
      <c r="P241" s="263"/>
      <c r="Q241" s="263"/>
      <c r="R241" s="263"/>
    </row>
    <row r="242" spans="1:18" x14ac:dyDescent="0.25">
      <c r="A242" s="210">
        <v>7137</v>
      </c>
      <c r="B242" s="211" t="s">
        <v>476</v>
      </c>
      <c r="C242" s="258">
        <v>0</v>
      </c>
      <c r="D242" s="259">
        <v>0</v>
      </c>
      <c r="E242" s="120">
        <v>0</v>
      </c>
      <c r="F242" s="120">
        <v>0</v>
      </c>
      <c r="G242" s="120">
        <v>0</v>
      </c>
      <c r="H242" s="120">
        <v>0</v>
      </c>
      <c r="I242" s="120">
        <v>0</v>
      </c>
      <c r="J242" s="120">
        <v>0</v>
      </c>
      <c r="K242" s="223">
        <f t="shared" si="19"/>
        <v>0</v>
      </c>
      <c r="L242" s="266">
        <f t="shared" si="20"/>
        <v>0</v>
      </c>
      <c r="M242" s="262"/>
      <c r="N242" s="262"/>
      <c r="O242" s="262"/>
      <c r="P242" s="263"/>
      <c r="Q242" s="263"/>
      <c r="R242" s="263"/>
    </row>
    <row r="243" spans="1:18" x14ac:dyDescent="0.25">
      <c r="A243" s="210">
        <v>7141</v>
      </c>
      <c r="B243" s="211" t="s">
        <v>477</v>
      </c>
      <c r="C243" s="258">
        <v>0</v>
      </c>
      <c r="D243" s="259">
        <v>0</v>
      </c>
      <c r="E243" s="120">
        <v>0</v>
      </c>
      <c r="F243" s="120">
        <v>0</v>
      </c>
      <c r="G243" s="120">
        <v>0</v>
      </c>
      <c r="H243" s="120">
        <v>0</v>
      </c>
      <c r="I243" s="120">
        <v>0</v>
      </c>
      <c r="J243" s="120">
        <v>0</v>
      </c>
      <c r="K243" s="223">
        <f t="shared" si="19"/>
        <v>0</v>
      </c>
      <c r="L243" s="266">
        <f t="shared" si="20"/>
        <v>0</v>
      </c>
      <c r="M243" s="262"/>
      <c r="N243" s="262"/>
      <c r="O243" s="262"/>
      <c r="P243" s="263"/>
      <c r="Q243" s="263"/>
      <c r="R243" s="263"/>
    </row>
    <row r="244" spans="1:18" ht="30" x14ac:dyDescent="0.25">
      <c r="A244" s="210">
        <v>7142</v>
      </c>
      <c r="B244" s="211" t="s">
        <v>478</v>
      </c>
      <c r="C244" s="258">
        <v>0</v>
      </c>
      <c r="D244" s="259">
        <v>0</v>
      </c>
      <c r="E244" s="120">
        <v>0</v>
      </c>
      <c r="F244" s="120">
        <v>0</v>
      </c>
      <c r="G244" s="120">
        <v>0</v>
      </c>
      <c r="H244" s="120">
        <v>0</v>
      </c>
      <c r="I244" s="120">
        <v>0</v>
      </c>
      <c r="J244" s="120">
        <v>0</v>
      </c>
      <c r="K244" s="223">
        <f t="shared" si="19"/>
        <v>0</v>
      </c>
      <c r="L244" s="266">
        <f t="shared" si="20"/>
        <v>0</v>
      </c>
      <c r="M244" s="262"/>
      <c r="N244" s="262"/>
      <c r="O244" s="262"/>
      <c r="P244" s="263"/>
      <c r="Q244" s="263"/>
      <c r="R244" s="263"/>
    </row>
    <row r="245" spans="1:18" x14ac:dyDescent="0.25">
      <c r="A245" s="210">
        <v>7143</v>
      </c>
      <c r="B245" s="211" t="s">
        <v>479</v>
      </c>
      <c r="C245" s="258">
        <v>1</v>
      </c>
      <c r="D245" s="259">
        <v>0</v>
      </c>
      <c r="E245" s="120">
        <v>0</v>
      </c>
      <c r="F245" s="120">
        <v>0</v>
      </c>
      <c r="G245" s="120">
        <v>0</v>
      </c>
      <c r="H245" s="120">
        <v>0</v>
      </c>
      <c r="I245" s="120">
        <v>0</v>
      </c>
      <c r="J245" s="120">
        <v>0</v>
      </c>
      <c r="K245" s="223">
        <f t="shared" si="19"/>
        <v>1</v>
      </c>
      <c r="L245" s="266">
        <f t="shared" si="20"/>
        <v>0</v>
      </c>
      <c r="M245" s="262"/>
      <c r="N245" s="262"/>
      <c r="O245" s="262"/>
      <c r="P245" s="263"/>
      <c r="Q245" s="263"/>
      <c r="R245" s="263"/>
    </row>
    <row r="246" spans="1:18" x14ac:dyDescent="0.25">
      <c r="A246" s="210">
        <v>7211</v>
      </c>
      <c r="B246" s="211" t="s">
        <v>480</v>
      </c>
      <c r="C246" s="258">
        <v>0</v>
      </c>
      <c r="D246" s="259">
        <v>0</v>
      </c>
      <c r="E246" s="120">
        <v>0</v>
      </c>
      <c r="F246" s="120">
        <v>0</v>
      </c>
      <c r="G246" s="120">
        <v>0</v>
      </c>
      <c r="H246" s="120">
        <v>0</v>
      </c>
      <c r="I246" s="120">
        <v>0</v>
      </c>
      <c r="J246" s="120">
        <v>0</v>
      </c>
      <c r="K246" s="223">
        <f t="shared" si="19"/>
        <v>0</v>
      </c>
      <c r="L246" s="266">
        <f t="shared" si="20"/>
        <v>0</v>
      </c>
      <c r="M246" s="262"/>
      <c r="N246" s="262"/>
      <c r="O246" s="262"/>
      <c r="P246" s="263"/>
      <c r="Q246" s="263"/>
      <c r="R246" s="263"/>
    </row>
    <row r="247" spans="1:18" x14ac:dyDescent="0.25">
      <c r="A247" s="210">
        <v>7212</v>
      </c>
      <c r="B247" s="211" t="s">
        <v>481</v>
      </c>
      <c r="C247" s="258">
        <v>2</v>
      </c>
      <c r="D247" s="259">
        <v>0</v>
      </c>
      <c r="E247" s="120">
        <v>0</v>
      </c>
      <c r="F247" s="120">
        <v>0</v>
      </c>
      <c r="G247" s="120">
        <v>0</v>
      </c>
      <c r="H247" s="120">
        <v>0</v>
      </c>
      <c r="I247" s="120">
        <v>0</v>
      </c>
      <c r="J247" s="120">
        <v>0</v>
      </c>
      <c r="K247" s="223">
        <f t="shared" si="19"/>
        <v>2</v>
      </c>
      <c r="L247" s="266">
        <f t="shared" si="20"/>
        <v>0</v>
      </c>
      <c r="M247" s="262"/>
      <c r="N247" s="262"/>
      <c r="O247" s="262"/>
      <c r="P247" s="263"/>
      <c r="Q247" s="263"/>
      <c r="R247" s="263"/>
    </row>
    <row r="248" spans="1:18" x14ac:dyDescent="0.25">
      <c r="A248" s="210">
        <v>7213</v>
      </c>
      <c r="B248" s="211" t="s">
        <v>482</v>
      </c>
      <c r="C248" s="258">
        <v>0</v>
      </c>
      <c r="D248" s="259">
        <v>0</v>
      </c>
      <c r="E248" s="120">
        <v>0</v>
      </c>
      <c r="F248" s="120">
        <v>0</v>
      </c>
      <c r="G248" s="120">
        <v>0</v>
      </c>
      <c r="H248" s="120">
        <v>0</v>
      </c>
      <c r="I248" s="120">
        <v>0</v>
      </c>
      <c r="J248" s="120">
        <v>0</v>
      </c>
      <c r="K248" s="223">
        <f t="shared" si="19"/>
        <v>0</v>
      </c>
      <c r="L248" s="266">
        <f t="shared" si="20"/>
        <v>0</v>
      </c>
      <c r="M248" s="262"/>
      <c r="N248" s="262"/>
      <c r="O248" s="262"/>
      <c r="P248" s="263"/>
      <c r="Q248" s="263"/>
      <c r="R248" s="263"/>
    </row>
    <row r="249" spans="1:18" ht="30" x14ac:dyDescent="0.25">
      <c r="A249" s="210">
        <v>7214</v>
      </c>
      <c r="B249" s="211" t="s">
        <v>483</v>
      </c>
      <c r="C249" s="258">
        <v>0</v>
      </c>
      <c r="D249" s="259">
        <v>0</v>
      </c>
      <c r="E249" s="120">
        <v>0</v>
      </c>
      <c r="F249" s="120">
        <v>0</v>
      </c>
      <c r="G249" s="120">
        <v>0</v>
      </c>
      <c r="H249" s="120">
        <v>0</v>
      </c>
      <c r="I249" s="120">
        <v>0</v>
      </c>
      <c r="J249" s="120">
        <v>0</v>
      </c>
      <c r="K249" s="223">
        <f t="shared" si="19"/>
        <v>0</v>
      </c>
      <c r="L249" s="266">
        <f t="shared" si="20"/>
        <v>0</v>
      </c>
      <c r="M249" s="262"/>
      <c r="N249" s="262"/>
      <c r="O249" s="262"/>
      <c r="P249" s="263"/>
      <c r="Q249" s="263"/>
      <c r="R249" s="263"/>
    </row>
    <row r="250" spans="1:18" ht="30" x14ac:dyDescent="0.25">
      <c r="A250" s="210">
        <v>7215</v>
      </c>
      <c r="B250" s="211" t="s">
        <v>484</v>
      </c>
      <c r="C250" s="258">
        <v>0</v>
      </c>
      <c r="D250" s="259">
        <v>0</v>
      </c>
      <c r="E250" s="120">
        <v>0</v>
      </c>
      <c r="F250" s="120">
        <v>0</v>
      </c>
      <c r="G250" s="120">
        <v>0</v>
      </c>
      <c r="H250" s="120">
        <v>0</v>
      </c>
      <c r="I250" s="120">
        <v>0</v>
      </c>
      <c r="J250" s="120">
        <v>0</v>
      </c>
      <c r="K250" s="223">
        <f t="shared" si="19"/>
        <v>0</v>
      </c>
      <c r="L250" s="266">
        <f t="shared" si="20"/>
        <v>0</v>
      </c>
      <c r="M250" s="262"/>
      <c r="N250" s="262"/>
      <c r="O250" s="262"/>
      <c r="P250" s="263"/>
      <c r="Q250" s="263"/>
      <c r="R250" s="263"/>
    </row>
    <row r="251" spans="1:18" x14ac:dyDescent="0.25">
      <c r="A251" s="210">
        <v>7216</v>
      </c>
      <c r="B251" s="211" t="s">
        <v>485</v>
      </c>
      <c r="C251" s="258">
        <v>0</v>
      </c>
      <c r="D251" s="259">
        <v>0</v>
      </c>
      <c r="E251" s="120">
        <v>0</v>
      </c>
      <c r="F251" s="120">
        <v>0</v>
      </c>
      <c r="G251" s="120">
        <v>0</v>
      </c>
      <c r="H251" s="120">
        <v>0</v>
      </c>
      <c r="I251" s="120">
        <v>0</v>
      </c>
      <c r="J251" s="120">
        <v>0</v>
      </c>
      <c r="K251" s="223">
        <f t="shared" si="19"/>
        <v>0</v>
      </c>
      <c r="L251" s="266">
        <f t="shared" si="20"/>
        <v>0</v>
      </c>
      <c r="M251" s="262"/>
      <c r="N251" s="262"/>
      <c r="O251" s="262"/>
      <c r="P251" s="263"/>
      <c r="Q251" s="263"/>
      <c r="R251" s="263"/>
    </row>
    <row r="252" spans="1:18" ht="30" x14ac:dyDescent="0.25">
      <c r="A252" s="210">
        <v>7221</v>
      </c>
      <c r="B252" s="211" t="s">
        <v>486</v>
      </c>
      <c r="C252" s="258">
        <v>0</v>
      </c>
      <c r="D252" s="259">
        <v>0</v>
      </c>
      <c r="E252" s="120">
        <v>0</v>
      </c>
      <c r="F252" s="120">
        <v>0</v>
      </c>
      <c r="G252" s="120">
        <v>0</v>
      </c>
      <c r="H252" s="120">
        <v>0</v>
      </c>
      <c r="I252" s="120">
        <v>0</v>
      </c>
      <c r="J252" s="120">
        <v>0</v>
      </c>
      <c r="K252" s="223">
        <f t="shared" si="19"/>
        <v>0</v>
      </c>
      <c r="L252" s="266">
        <f t="shared" si="20"/>
        <v>0</v>
      </c>
      <c r="M252" s="262"/>
      <c r="N252" s="262"/>
      <c r="O252" s="262"/>
      <c r="P252" s="263"/>
      <c r="Q252" s="263"/>
      <c r="R252" s="263"/>
    </row>
    <row r="253" spans="1:18" x14ac:dyDescent="0.25">
      <c r="A253" s="210">
        <v>7222</v>
      </c>
      <c r="B253" s="211" t="s">
        <v>487</v>
      </c>
      <c r="C253" s="258">
        <v>0</v>
      </c>
      <c r="D253" s="259">
        <v>0</v>
      </c>
      <c r="E253" s="120">
        <v>0</v>
      </c>
      <c r="F253" s="120">
        <v>0</v>
      </c>
      <c r="G253" s="120">
        <v>0</v>
      </c>
      <c r="H253" s="120">
        <v>0</v>
      </c>
      <c r="I253" s="120">
        <v>0</v>
      </c>
      <c r="J253" s="120">
        <v>0</v>
      </c>
      <c r="K253" s="223">
        <f t="shared" si="19"/>
        <v>0</v>
      </c>
      <c r="L253" s="266">
        <f t="shared" si="20"/>
        <v>0</v>
      </c>
      <c r="M253" s="262"/>
      <c r="N253" s="262"/>
      <c r="O253" s="262"/>
      <c r="P253" s="263"/>
      <c r="Q253" s="263"/>
      <c r="R253" s="263"/>
    </row>
    <row r="254" spans="1:18" ht="30" customHeight="1" x14ac:dyDescent="0.25">
      <c r="A254" s="210">
        <v>7223</v>
      </c>
      <c r="B254" s="211" t="s">
        <v>488</v>
      </c>
      <c r="C254" s="258">
        <v>0</v>
      </c>
      <c r="D254" s="259">
        <v>0</v>
      </c>
      <c r="E254" s="120">
        <v>0</v>
      </c>
      <c r="F254" s="120">
        <v>0</v>
      </c>
      <c r="G254" s="120">
        <v>0</v>
      </c>
      <c r="H254" s="120">
        <v>0</v>
      </c>
      <c r="I254" s="120">
        <v>0</v>
      </c>
      <c r="J254" s="120">
        <v>0</v>
      </c>
      <c r="K254" s="223">
        <f t="shared" si="19"/>
        <v>0</v>
      </c>
      <c r="L254" s="266">
        <f t="shared" si="20"/>
        <v>0</v>
      </c>
      <c r="M254" s="262"/>
      <c r="N254" s="262"/>
      <c r="O254" s="262"/>
      <c r="P254" s="263"/>
      <c r="Q254" s="263"/>
      <c r="R254" s="263"/>
    </row>
    <row r="255" spans="1:18" ht="30" x14ac:dyDescent="0.25">
      <c r="A255" s="210">
        <v>7224</v>
      </c>
      <c r="B255" s="211" t="s">
        <v>489</v>
      </c>
      <c r="C255" s="258">
        <v>0</v>
      </c>
      <c r="D255" s="259">
        <v>0</v>
      </c>
      <c r="E255" s="120">
        <v>0</v>
      </c>
      <c r="F255" s="120">
        <v>0</v>
      </c>
      <c r="G255" s="120">
        <v>0</v>
      </c>
      <c r="H255" s="120">
        <v>0</v>
      </c>
      <c r="I255" s="120">
        <v>0</v>
      </c>
      <c r="J255" s="120">
        <v>0</v>
      </c>
      <c r="K255" s="223">
        <f t="shared" si="19"/>
        <v>0</v>
      </c>
      <c r="L255" s="266">
        <f t="shared" si="20"/>
        <v>0</v>
      </c>
      <c r="M255" s="262"/>
      <c r="N255" s="262"/>
      <c r="O255" s="262"/>
      <c r="P255" s="263"/>
      <c r="Q255" s="263"/>
      <c r="R255" s="263"/>
    </row>
    <row r="256" spans="1:18" ht="45" x14ac:dyDescent="0.25">
      <c r="A256" s="210">
        <v>7231</v>
      </c>
      <c r="B256" s="211" t="s">
        <v>490</v>
      </c>
      <c r="C256" s="258">
        <v>1</v>
      </c>
      <c r="D256" s="259">
        <v>0</v>
      </c>
      <c r="E256" s="120">
        <v>0</v>
      </c>
      <c r="F256" s="120">
        <v>0</v>
      </c>
      <c r="G256" s="120">
        <v>0</v>
      </c>
      <c r="H256" s="120">
        <v>0</v>
      </c>
      <c r="I256" s="120">
        <v>0</v>
      </c>
      <c r="J256" s="120">
        <v>0</v>
      </c>
      <c r="K256" s="223">
        <f t="shared" si="19"/>
        <v>1</v>
      </c>
      <c r="L256" s="266">
        <f t="shared" si="20"/>
        <v>0</v>
      </c>
      <c r="M256" s="262"/>
      <c r="N256" s="262"/>
      <c r="O256" s="262"/>
      <c r="P256" s="263"/>
      <c r="Q256" s="263"/>
      <c r="R256" s="263"/>
    </row>
    <row r="257" spans="1:18" ht="30" x14ac:dyDescent="0.25">
      <c r="A257" s="210">
        <v>7232</v>
      </c>
      <c r="B257" s="211" t="s">
        <v>491</v>
      </c>
      <c r="C257" s="258">
        <v>0</v>
      </c>
      <c r="D257" s="259">
        <v>0</v>
      </c>
      <c r="E257" s="120">
        <v>0</v>
      </c>
      <c r="F257" s="120">
        <v>0</v>
      </c>
      <c r="G257" s="120">
        <v>0</v>
      </c>
      <c r="H257" s="120">
        <v>0</v>
      </c>
      <c r="I257" s="120">
        <v>0</v>
      </c>
      <c r="J257" s="120">
        <v>0</v>
      </c>
      <c r="K257" s="223">
        <f t="shared" si="19"/>
        <v>0</v>
      </c>
      <c r="L257" s="266">
        <f t="shared" si="20"/>
        <v>0</v>
      </c>
      <c r="M257" s="262"/>
      <c r="N257" s="262"/>
      <c r="O257" s="262"/>
      <c r="P257" s="263"/>
      <c r="Q257" s="263"/>
      <c r="R257" s="263"/>
    </row>
    <row r="258" spans="1:18" ht="54" customHeight="1" x14ac:dyDescent="0.25">
      <c r="A258" s="210">
        <v>7233</v>
      </c>
      <c r="B258" s="211" t="s">
        <v>492</v>
      </c>
      <c r="C258" s="258">
        <v>0</v>
      </c>
      <c r="D258" s="259">
        <v>0</v>
      </c>
      <c r="E258" s="120">
        <v>0</v>
      </c>
      <c r="F258" s="120">
        <v>0</v>
      </c>
      <c r="G258" s="120">
        <v>0</v>
      </c>
      <c r="H258" s="120">
        <v>0</v>
      </c>
      <c r="I258" s="120">
        <v>0</v>
      </c>
      <c r="J258" s="120">
        <v>0</v>
      </c>
      <c r="K258" s="223">
        <f t="shared" si="19"/>
        <v>0</v>
      </c>
      <c r="L258" s="266">
        <f t="shared" si="20"/>
        <v>0</v>
      </c>
      <c r="M258" s="262"/>
      <c r="N258" s="262"/>
      <c r="O258" s="262"/>
      <c r="P258" s="263"/>
      <c r="Q258" s="263"/>
      <c r="R258" s="263"/>
    </row>
    <row r="259" spans="1:18" s="247" customFormat="1" ht="15" customHeight="1" x14ac:dyDescent="0.25">
      <c r="A259" s="210">
        <v>7241</v>
      </c>
      <c r="B259" s="211" t="s">
        <v>493</v>
      </c>
      <c r="C259" s="258">
        <v>2</v>
      </c>
      <c r="D259" s="259">
        <v>0</v>
      </c>
      <c r="E259" s="120">
        <v>0</v>
      </c>
      <c r="F259" s="120">
        <v>0</v>
      </c>
      <c r="G259" s="120">
        <v>0</v>
      </c>
      <c r="H259" s="120">
        <v>0</v>
      </c>
      <c r="I259" s="120">
        <v>0</v>
      </c>
      <c r="J259" s="120">
        <v>0</v>
      </c>
      <c r="K259" s="223">
        <f t="shared" si="19"/>
        <v>2</v>
      </c>
      <c r="L259" s="266">
        <f t="shared" si="20"/>
        <v>0</v>
      </c>
      <c r="M259" s="262"/>
      <c r="N259" s="267"/>
      <c r="O259" s="267"/>
      <c r="P259" s="23"/>
      <c r="Q259" s="23"/>
      <c r="R259" s="23"/>
    </row>
    <row r="260" spans="1:18" x14ac:dyDescent="0.25">
      <c r="A260" s="210">
        <v>7242</v>
      </c>
      <c r="B260" s="211" t="s">
        <v>494</v>
      </c>
      <c r="C260" s="258">
        <v>0</v>
      </c>
      <c r="D260" s="259">
        <v>0</v>
      </c>
      <c r="E260" s="120">
        <v>0</v>
      </c>
      <c r="F260" s="120">
        <v>0</v>
      </c>
      <c r="G260" s="120">
        <v>0</v>
      </c>
      <c r="H260" s="120">
        <v>0</v>
      </c>
      <c r="I260" s="120">
        <v>0</v>
      </c>
      <c r="J260" s="120">
        <v>0</v>
      </c>
      <c r="K260" s="223">
        <f t="shared" ref="K260:K291" si="21">C260+E260-G260-I260</f>
        <v>0</v>
      </c>
      <c r="L260" s="266">
        <f t="shared" ref="L260:L291" si="22">D260+F260-H260-J260</f>
        <v>0</v>
      </c>
      <c r="M260" s="262"/>
      <c r="N260" s="262"/>
      <c r="O260" s="262"/>
      <c r="P260" s="263"/>
      <c r="Q260" s="263"/>
      <c r="R260" s="263"/>
    </row>
    <row r="261" spans="1:18" ht="30" x14ac:dyDescent="0.25">
      <c r="A261" s="210">
        <v>7243</v>
      </c>
      <c r="B261" s="211" t="s">
        <v>495</v>
      </c>
      <c r="C261" s="258">
        <v>0</v>
      </c>
      <c r="D261" s="259">
        <v>0</v>
      </c>
      <c r="E261" s="120">
        <v>0</v>
      </c>
      <c r="F261" s="120">
        <v>0</v>
      </c>
      <c r="G261" s="120">
        <v>0</v>
      </c>
      <c r="H261" s="120">
        <v>0</v>
      </c>
      <c r="I261" s="120">
        <v>0</v>
      </c>
      <c r="J261" s="120">
        <v>0</v>
      </c>
      <c r="K261" s="223">
        <f t="shared" si="21"/>
        <v>0</v>
      </c>
      <c r="L261" s="266">
        <f t="shared" si="22"/>
        <v>0</v>
      </c>
      <c r="M261" s="262"/>
      <c r="N261" s="262"/>
      <c r="O261" s="262"/>
      <c r="P261" s="263"/>
      <c r="Q261" s="263"/>
      <c r="R261" s="263"/>
    </row>
    <row r="262" spans="1:18" ht="30" x14ac:dyDescent="0.25">
      <c r="A262" s="210">
        <v>7244</v>
      </c>
      <c r="B262" s="211" t="s">
        <v>496</v>
      </c>
      <c r="C262" s="258">
        <v>0</v>
      </c>
      <c r="D262" s="259">
        <v>0</v>
      </c>
      <c r="E262" s="120">
        <v>0</v>
      </c>
      <c r="F262" s="120">
        <v>0</v>
      </c>
      <c r="G262" s="120">
        <v>0</v>
      </c>
      <c r="H262" s="120">
        <v>0</v>
      </c>
      <c r="I262" s="120">
        <v>0</v>
      </c>
      <c r="J262" s="120">
        <v>0</v>
      </c>
      <c r="K262" s="223">
        <f t="shared" si="21"/>
        <v>0</v>
      </c>
      <c r="L262" s="266">
        <f t="shared" si="22"/>
        <v>0</v>
      </c>
      <c r="M262" s="262"/>
      <c r="N262" s="262"/>
      <c r="O262" s="262"/>
      <c r="P262" s="263"/>
      <c r="Q262" s="263"/>
      <c r="R262" s="263"/>
    </row>
    <row r="263" spans="1:18" ht="30" x14ac:dyDescent="0.25">
      <c r="A263" s="210">
        <v>7245</v>
      </c>
      <c r="B263" s="211" t="s">
        <v>497</v>
      </c>
      <c r="C263" s="258">
        <v>0</v>
      </c>
      <c r="D263" s="259">
        <v>0</v>
      </c>
      <c r="E263" s="120">
        <v>0</v>
      </c>
      <c r="F263" s="120">
        <v>0</v>
      </c>
      <c r="G263" s="120">
        <v>0</v>
      </c>
      <c r="H263" s="120">
        <v>0</v>
      </c>
      <c r="I263" s="120">
        <v>0</v>
      </c>
      <c r="J263" s="120">
        <v>0</v>
      </c>
      <c r="K263" s="223">
        <f t="shared" si="21"/>
        <v>0</v>
      </c>
      <c r="L263" s="266">
        <f t="shared" si="22"/>
        <v>0</v>
      </c>
      <c r="M263" s="262"/>
      <c r="N263" s="262"/>
      <c r="O263" s="262"/>
      <c r="P263" s="263"/>
      <c r="Q263" s="263"/>
      <c r="R263" s="263"/>
    </row>
    <row r="264" spans="1:18" ht="30" x14ac:dyDescent="0.25">
      <c r="A264" s="210">
        <v>7311</v>
      </c>
      <c r="B264" s="211" t="s">
        <v>498</v>
      </c>
      <c r="C264" s="258">
        <v>0</v>
      </c>
      <c r="D264" s="259">
        <v>0</v>
      </c>
      <c r="E264" s="120">
        <v>0</v>
      </c>
      <c r="F264" s="120">
        <v>0</v>
      </c>
      <c r="G264" s="120">
        <v>0</v>
      </c>
      <c r="H264" s="120">
        <v>0</v>
      </c>
      <c r="I264" s="120">
        <v>0</v>
      </c>
      <c r="J264" s="120">
        <v>0</v>
      </c>
      <c r="K264" s="223">
        <f t="shared" si="21"/>
        <v>0</v>
      </c>
      <c r="L264" s="266">
        <f t="shared" si="22"/>
        <v>0</v>
      </c>
      <c r="M264" s="262"/>
      <c r="N264" s="262"/>
      <c r="O264" s="262"/>
      <c r="P264" s="263"/>
      <c r="Q264" s="263"/>
      <c r="R264" s="263"/>
    </row>
    <row r="265" spans="1:18" ht="30" x14ac:dyDescent="0.25">
      <c r="A265" s="210">
        <v>7312</v>
      </c>
      <c r="B265" s="211" t="s">
        <v>499</v>
      </c>
      <c r="C265" s="258">
        <v>0</v>
      </c>
      <c r="D265" s="259">
        <v>0</v>
      </c>
      <c r="E265" s="120">
        <v>0</v>
      </c>
      <c r="F265" s="120">
        <v>0</v>
      </c>
      <c r="G265" s="120">
        <v>0</v>
      </c>
      <c r="H265" s="120">
        <v>0</v>
      </c>
      <c r="I265" s="120">
        <v>0</v>
      </c>
      <c r="J265" s="120">
        <v>0</v>
      </c>
      <c r="K265" s="223">
        <f t="shared" si="21"/>
        <v>0</v>
      </c>
      <c r="L265" s="266">
        <f t="shared" si="22"/>
        <v>0</v>
      </c>
      <c r="M265" s="262"/>
      <c r="N265" s="262"/>
      <c r="O265" s="262"/>
      <c r="P265" s="263"/>
      <c r="Q265" s="263"/>
      <c r="R265" s="263"/>
    </row>
    <row r="266" spans="1:18" ht="30" x14ac:dyDescent="0.25">
      <c r="A266" s="210">
        <v>7313</v>
      </c>
      <c r="B266" s="211" t="s">
        <v>500</v>
      </c>
      <c r="C266" s="258">
        <v>0</v>
      </c>
      <c r="D266" s="259">
        <v>0</v>
      </c>
      <c r="E266" s="120">
        <v>0</v>
      </c>
      <c r="F266" s="120">
        <v>0</v>
      </c>
      <c r="G266" s="120">
        <v>0</v>
      </c>
      <c r="H266" s="120">
        <v>0</v>
      </c>
      <c r="I266" s="120">
        <v>0</v>
      </c>
      <c r="J266" s="120">
        <v>0</v>
      </c>
      <c r="K266" s="223">
        <f t="shared" si="21"/>
        <v>0</v>
      </c>
      <c r="L266" s="266">
        <f t="shared" si="22"/>
        <v>0</v>
      </c>
      <c r="M266" s="262"/>
      <c r="N266" s="262"/>
      <c r="O266" s="262"/>
      <c r="P266" s="263"/>
      <c r="Q266" s="263"/>
      <c r="R266" s="263"/>
    </row>
    <row r="267" spans="1:18" ht="45" x14ac:dyDescent="0.25">
      <c r="A267" s="210">
        <v>7321</v>
      </c>
      <c r="B267" s="211" t="s">
        <v>501</v>
      </c>
      <c r="C267" s="258">
        <v>0</v>
      </c>
      <c r="D267" s="259">
        <v>0</v>
      </c>
      <c r="E267" s="120">
        <v>0</v>
      </c>
      <c r="F267" s="120">
        <v>0</v>
      </c>
      <c r="G267" s="120">
        <v>0</v>
      </c>
      <c r="H267" s="120">
        <v>0</v>
      </c>
      <c r="I267" s="120">
        <v>0</v>
      </c>
      <c r="J267" s="120">
        <v>0</v>
      </c>
      <c r="K267" s="223">
        <f t="shared" si="21"/>
        <v>0</v>
      </c>
      <c r="L267" s="266">
        <f t="shared" si="22"/>
        <v>0</v>
      </c>
      <c r="M267" s="262"/>
      <c r="N267" s="262"/>
      <c r="O267" s="262"/>
      <c r="P267" s="263"/>
      <c r="Q267" s="263"/>
      <c r="R267" s="263"/>
    </row>
    <row r="268" spans="1:18" x14ac:dyDescent="0.25">
      <c r="A268" s="210">
        <v>7322</v>
      </c>
      <c r="B268" s="211" t="s">
        <v>502</v>
      </c>
      <c r="C268" s="258">
        <v>0</v>
      </c>
      <c r="D268" s="259">
        <v>0</v>
      </c>
      <c r="E268" s="120">
        <v>0</v>
      </c>
      <c r="F268" s="120">
        <v>0</v>
      </c>
      <c r="G268" s="120">
        <v>0</v>
      </c>
      <c r="H268" s="120">
        <v>0</v>
      </c>
      <c r="I268" s="120">
        <v>0</v>
      </c>
      <c r="J268" s="120">
        <v>0</v>
      </c>
      <c r="K268" s="223">
        <f t="shared" si="21"/>
        <v>0</v>
      </c>
      <c r="L268" s="266">
        <f t="shared" si="22"/>
        <v>0</v>
      </c>
      <c r="M268" s="262"/>
      <c r="N268" s="262"/>
      <c r="O268" s="262"/>
      <c r="P268" s="263"/>
      <c r="Q268" s="263"/>
      <c r="R268" s="263"/>
    </row>
    <row r="269" spans="1:18" ht="30" x14ac:dyDescent="0.25">
      <c r="A269" s="210">
        <v>7323</v>
      </c>
      <c r="B269" s="211" t="s">
        <v>503</v>
      </c>
      <c r="C269" s="258">
        <v>0</v>
      </c>
      <c r="D269" s="259">
        <v>0</v>
      </c>
      <c r="E269" s="120">
        <v>0</v>
      </c>
      <c r="F269" s="120">
        <v>0</v>
      </c>
      <c r="G269" s="120">
        <v>0</v>
      </c>
      <c r="H269" s="120">
        <v>0</v>
      </c>
      <c r="I269" s="120">
        <v>0</v>
      </c>
      <c r="J269" s="120">
        <v>0</v>
      </c>
      <c r="K269" s="223">
        <f t="shared" si="21"/>
        <v>0</v>
      </c>
      <c r="L269" s="266">
        <f t="shared" si="22"/>
        <v>0</v>
      </c>
      <c r="M269" s="262"/>
      <c r="N269" s="262"/>
      <c r="O269" s="262"/>
      <c r="P269" s="263"/>
      <c r="Q269" s="263"/>
      <c r="R269" s="263"/>
    </row>
    <row r="270" spans="1:18" ht="30" customHeight="1" x14ac:dyDescent="0.25">
      <c r="A270" s="210">
        <v>7324</v>
      </c>
      <c r="B270" s="211" t="s">
        <v>504</v>
      </c>
      <c r="C270" s="258">
        <v>0</v>
      </c>
      <c r="D270" s="259">
        <v>0</v>
      </c>
      <c r="E270" s="120">
        <v>0</v>
      </c>
      <c r="F270" s="120">
        <v>0</v>
      </c>
      <c r="G270" s="120">
        <v>0</v>
      </c>
      <c r="H270" s="120">
        <v>0</v>
      </c>
      <c r="I270" s="120">
        <v>0</v>
      </c>
      <c r="J270" s="120">
        <v>0</v>
      </c>
      <c r="K270" s="223">
        <f t="shared" si="21"/>
        <v>0</v>
      </c>
      <c r="L270" s="266">
        <f t="shared" si="22"/>
        <v>0</v>
      </c>
      <c r="M270" s="262"/>
      <c r="N270" s="262"/>
      <c r="O270" s="262"/>
      <c r="P270" s="263"/>
      <c r="Q270" s="263"/>
      <c r="R270" s="263"/>
    </row>
    <row r="271" spans="1:18" ht="30" x14ac:dyDescent="0.25">
      <c r="A271" s="210">
        <v>7331</v>
      </c>
      <c r="B271" s="211" t="s">
        <v>505</v>
      </c>
      <c r="C271" s="258">
        <v>0</v>
      </c>
      <c r="D271" s="259">
        <v>0</v>
      </c>
      <c r="E271" s="120">
        <v>0</v>
      </c>
      <c r="F271" s="120">
        <v>0</v>
      </c>
      <c r="G271" s="120">
        <v>0</v>
      </c>
      <c r="H271" s="120">
        <v>0</v>
      </c>
      <c r="I271" s="120">
        <v>0</v>
      </c>
      <c r="J271" s="120">
        <v>0</v>
      </c>
      <c r="K271" s="223">
        <f t="shared" si="21"/>
        <v>0</v>
      </c>
      <c r="L271" s="266">
        <f t="shared" si="22"/>
        <v>0</v>
      </c>
      <c r="M271" s="262"/>
      <c r="N271" s="262"/>
      <c r="O271" s="262"/>
      <c r="P271" s="263"/>
      <c r="Q271" s="263"/>
      <c r="R271" s="263"/>
    </row>
    <row r="272" spans="1:18" ht="30" x14ac:dyDescent="0.25">
      <c r="A272" s="210">
        <v>7332</v>
      </c>
      <c r="B272" s="211" t="s">
        <v>506</v>
      </c>
      <c r="C272" s="258">
        <v>0</v>
      </c>
      <c r="D272" s="259">
        <v>0</v>
      </c>
      <c r="E272" s="120">
        <v>0</v>
      </c>
      <c r="F272" s="120">
        <v>0</v>
      </c>
      <c r="G272" s="120">
        <v>0</v>
      </c>
      <c r="H272" s="120">
        <v>0</v>
      </c>
      <c r="I272" s="120">
        <v>0</v>
      </c>
      <c r="J272" s="120">
        <v>0</v>
      </c>
      <c r="K272" s="223">
        <f t="shared" si="21"/>
        <v>0</v>
      </c>
      <c r="L272" s="266">
        <f t="shared" si="22"/>
        <v>0</v>
      </c>
      <c r="M272" s="262"/>
      <c r="N272" s="262"/>
      <c r="O272" s="262"/>
      <c r="P272" s="263"/>
      <c r="Q272" s="263"/>
      <c r="R272" s="263"/>
    </row>
    <row r="273" spans="1:18" ht="36" customHeight="1" x14ac:dyDescent="0.25">
      <c r="A273" s="210">
        <v>7341</v>
      </c>
      <c r="B273" s="211" t="s">
        <v>507</v>
      </c>
      <c r="C273" s="258">
        <v>0</v>
      </c>
      <c r="D273" s="259">
        <v>0</v>
      </c>
      <c r="E273" s="120">
        <v>0</v>
      </c>
      <c r="F273" s="120">
        <v>0</v>
      </c>
      <c r="G273" s="120">
        <v>0</v>
      </c>
      <c r="H273" s="120">
        <v>0</v>
      </c>
      <c r="I273" s="120">
        <v>0</v>
      </c>
      <c r="J273" s="120">
        <v>0</v>
      </c>
      <c r="K273" s="223">
        <f t="shared" si="21"/>
        <v>0</v>
      </c>
      <c r="L273" s="266">
        <f t="shared" si="22"/>
        <v>0</v>
      </c>
      <c r="M273" s="262"/>
      <c r="N273" s="262"/>
      <c r="O273" s="262"/>
      <c r="P273" s="263"/>
      <c r="Q273" s="263"/>
      <c r="R273" s="263"/>
    </row>
    <row r="274" spans="1:18" ht="30" x14ac:dyDescent="0.25">
      <c r="A274" s="210">
        <v>7342</v>
      </c>
      <c r="B274" s="211" t="s">
        <v>508</v>
      </c>
      <c r="C274" s="258">
        <v>0</v>
      </c>
      <c r="D274" s="259">
        <v>0</v>
      </c>
      <c r="E274" s="120">
        <v>0</v>
      </c>
      <c r="F274" s="120">
        <v>0</v>
      </c>
      <c r="G274" s="120">
        <v>0</v>
      </c>
      <c r="H274" s="120">
        <v>0</v>
      </c>
      <c r="I274" s="120">
        <v>0</v>
      </c>
      <c r="J274" s="120">
        <v>0</v>
      </c>
      <c r="K274" s="223">
        <f t="shared" si="21"/>
        <v>0</v>
      </c>
      <c r="L274" s="266">
        <f t="shared" si="22"/>
        <v>0</v>
      </c>
      <c r="M274" s="262"/>
      <c r="N274" s="267"/>
      <c r="O274" s="267"/>
      <c r="P274" s="263"/>
      <c r="Q274" s="263"/>
      <c r="R274" s="263"/>
    </row>
    <row r="275" spans="1:18" ht="30" x14ac:dyDescent="0.25">
      <c r="A275" s="210">
        <v>7343</v>
      </c>
      <c r="B275" s="211" t="s">
        <v>509</v>
      </c>
      <c r="C275" s="258">
        <v>0</v>
      </c>
      <c r="D275" s="259">
        <v>0</v>
      </c>
      <c r="E275" s="120">
        <v>0</v>
      </c>
      <c r="F275" s="120">
        <v>0</v>
      </c>
      <c r="G275" s="120">
        <v>0</v>
      </c>
      <c r="H275" s="120">
        <v>0</v>
      </c>
      <c r="I275" s="120">
        <v>0</v>
      </c>
      <c r="J275" s="120">
        <v>0</v>
      </c>
      <c r="K275" s="223">
        <f t="shared" si="21"/>
        <v>0</v>
      </c>
      <c r="L275" s="266">
        <f t="shared" si="22"/>
        <v>0</v>
      </c>
      <c r="M275" s="262"/>
      <c r="N275" s="262"/>
      <c r="O275" s="262"/>
      <c r="P275" s="263"/>
      <c r="Q275" s="263"/>
      <c r="R275" s="263"/>
    </row>
    <row r="276" spans="1:18" x14ac:dyDescent="0.25">
      <c r="A276" s="210">
        <v>7344</v>
      </c>
      <c r="B276" s="211" t="s">
        <v>510</v>
      </c>
      <c r="C276" s="258">
        <v>1</v>
      </c>
      <c r="D276" s="259">
        <v>0</v>
      </c>
      <c r="E276" s="120">
        <v>0</v>
      </c>
      <c r="F276" s="120">
        <v>0</v>
      </c>
      <c r="G276" s="120">
        <v>0</v>
      </c>
      <c r="H276" s="120">
        <v>0</v>
      </c>
      <c r="I276" s="120">
        <v>0</v>
      </c>
      <c r="J276" s="120">
        <v>0</v>
      </c>
      <c r="K276" s="223">
        <f t="shared" si="21"/>
        <v>1</v>
      </c>
      <c r="L276" s="266">
        <f t="shared" si="22"/>
        <v>0</v>
      </c>
      <c r="M276" s="262"/>
      <c r="N276" s="262"/>
      <c r="O276" s="262"/>
      <c r="P276" s="263"/>
      <c r="Q276" s="263"/>
      <c r="R276" s="263"/>
    </row>
    <row r="277" spans="1:18" ht="27" customHeight="1" x14ac:dyDescent="0.25">
      <c r="A277" s="210">
        <v>7345</v>
      </c>
      <c r="B277" s="211" t="s">
        <v>511</v>
      </c>
      <c r="C277" s="258">
        <v>0</v>
      </c>
      <c r="D277" s="259">
        <v>0</v>
      </c>
      <c r="E277" s="120">
        <v>0</v>
      </c>
      <c r="F277" s="120">
        <v>0</v>
      </c>
      <c r="G277" s="120">
        <v>0</v>
      </c>
      <c r="H277" s="120">
        <v>0</v>
      </c>
      <c r="I277" s="120">
        <v>0</v>
      </c>
      <c r="J277" s="120">
        <v>0</v>
      </c>
      <c r="K277" s="223">
        <f t="shared" si="21"/>
        <v>0</v>
      </c>
      <c r="L277" s="266">
        <f t="shared" si="22"/>
        <v>0</v>
      </c>
      <c r="M277" s="262"/>
      <c r="N277" s="262"/>
      <c r="O277" s="262"/>
      <c r="P277" s="263"/>
      <c r="Q277" s="263"/>
      <c r="R277" s="263"/>
    </row>
    <row r="278" spans="1:18" ht="30" x14ac:dyDescent="0.25">
      <c r="A278" s="210">
        <v>7346</v>
      </c>
      <c r="B278" s="211" t="s">
        <v>512</v>
      </c>
      <c r="C278" s="258">
        <v>0</v>
      </c>
      <c r="D278" s="259">
        <v>0</v>
      </c>
      <c r="E278" s="120">
        <v>0</v>
      </c>
      <c r="F278" s="120">
        <v>0</v>
      </c>
      <c r="G278" s="120">
        <v>0</v>
      </c>
      <c r="H278" s="120">
        <v>0</v>
      </c>
      <c r="I278" s="120">
        <v>0</v>
      </c>
      <c r="J278" s="120">
        <v>0</v>
      </c>
      <c r="K278" s="223">
        <f t="shared" si="21"/>
        <v>0</v>
      </c>
      <c r="L278" s="266">
        <f t="shared" si="22"/>
        <v>0</v>
      </c>
      <c r="M278" s="262"/>
      <c r="N278" s="262"/>
      <c r="O278" s="262"/>
      <c r="P278" s="263"/>
      <c r="Q278" s="263"/>
      <c r="R278" s="263"/>
    </row>
    <row r="279" spans="1:18" ht="45" x14ac:dyDescent="0.25">
      <c r="A279" s="210">
        <v>7411</v>
      </c>
      <c r="B279" s="211" t="s">
        <v>513</v>
      </c>
      <c r="C279" s="258">
        <v>0</v>
      </c>
      <c r="D279" s="259">
        <v>0</v>
      </c>
      <c r="E279" s="120">
        <v>0</v>
      </c>
      <c r="F279" s="120">
        <v>0</v>
      </c>
      <c r="G279" s="120">
        <v>0</v>
      </c>
      <c r="H279" s="120">
        <v>0</v>
      </c>
      <c r="I279" s="120">
        <v>0</v>
      </c>
      <c r="J279" s="120">
        <v>0</v>
      </c>
      <c r="K279" s="223">
        <f t="shared" si="21"/>
        <v>0</v>
      </c>
      <c r="L279" s="266">
        <f t="shared" si="22"/>
        <v>0</v>
      </c>
      <c r="M279" s="262"/>
      <c r="N279" s="262"/>
      <c r="O279" s="262"/>
      <c r="P279" s="263"/>
      <c r="Q279" s="263"/>
      <c r="R279" s="263"/>
    </row>
    <row r="280" spans="1:18" ht="25.5" customHeight="1" x14ac:dyDescent="0.25">
      <c r="A280" s="210">
        <v>7412</v>
      </c>
      <c r="B280" s="211" t="s">
        <v>514</v>
      </c>
      <c r="C280" s="258">
        <v>0</v>
      </c>
      <c r="D280" s="259">
        <v>0</v>
      </c>
      <c r="E280" s="120">
        <v>0</v>
      </c>
      <c r="F280" s="120">
        <v>0</v>
      </c>
      <c r="G280" s="120">
        <v>0</v>
      </c>
      <c r="H280" s="120">
        <v>0</v>
      </c>
      <c r="I280" s="120">
        <v>0</v>
      </c>
      <c r="J280" s="120">
        <v>0</v>
      </c>
      <c r="K280" s="223">
        <f t="shared" si="21"/>
        <v>0</v>
      </c>
      <c r="L280" s="266">
        <f t="shared" si="22"/>
        <v>0</v>
      </c>
      <c r="M280" s="262"/>
      <c r="N280" s="267"/>
      <c r="O280" s="267"/>
      <c r="P280" s="263"/>
      <c r="Q280" s="263"/>
      <c r="R280" s="263"/>
    </row>
    <row r="281" spans="1:18" x14ac:dyDescent="0.25">
      <c r="A281" s="210">
        <v>7413</v>
      </c>
      <c r="B281" s="211" t="s">
        <v>515</v>
      </c>
      <c r="C281" s="258">
        <v>0</v>
      </c>
      <c r="D281" s="259">
        <v>0</v>
      </c>
      <c r="E281" s="120">
        <v>0</v>
      </c>
      <c r="F281" s="120">
        <v>0</v>
      </c>
      <c r="G281" s="120">
        <v>0</v>
      </c>
      <c r="H281" s="120">
        <v>0</v>
      </c>
      <c r="I281" s="120">
        <v>0</v>
      </c>
      <c r="J281" s="120">
        <v>0</v>
      </c>
      <c r="K281" s="223">
        <f t="shared" si="21"/>
        <v>0</v>
      </c>
      <c r="L281" s="266">
        <f t="shared" si="22"/>
        <v>0</v>
      </c>
      <c r="M281" s="262"/>
      <c r="N281" s="262"/>
      <c r="O281" s="262"/>
      <c r="P281" s="263"/>
      <c r="Q281" s="263"/>
      <c r="R281" s="263"/>
    </row>
    <row r="282" spans="1:18" x14ac:dyDescent="0.25">
      <c r="A282" s="210">
        <v>7414</v>
      </c>
      <c r="B282" s="211" t="s">
        <v>516</v>
      </c>
      <c r="C282" s="258">
        <v>0</v>
      </c>
      <c r="D282" s="259">
        <v>0</v>
      </c>
      <c r="E282" s="120">
        <v>0</v>
      </c>
      <c r="F282" s="120">
        <v>0</v>
      </c>
      <c r="G282" s="120">
        <v>0</v>
      </c>
      <c r="H282" s="120">
        <v>0</v>
      </c>
      <c r="I282" s="120">
        <v>0</v>
      </c>
      <c r="J282" s="120">
        <v>0</v>
      </c>
      <c r="K282" s="223">
        <f t="shared" si="21"/>
        <v>0</v>
      </c>
      <c r="L282" s="266">
        <f t="shared" si="22"/>
        <v>0</v>
      </c>
      <c r="M282" s="262"/>
      <c r="N282" s="262"/>
      <c r="O282" s="262"/>
      <c r="P282" s="263"/>
      <c r="Q282" s="263"/>
      <c r="R282" s="263"/>
    </row>
    <row r="283" spans="1:18" ht="30" x14ac:dyDescent="0.25">
      <c r="A283" s="210">
        <v>7415</v>
      </c>
      <c r="B283" s="211" t="s">
        <v>517</v>
      </c>
      <c r="C283" s="258">
        <v>0</v>
      </c>
      <c r="D283" s="259">
        <v>0</v>
      </c>
      <c r="E283" s="120">
        <v>0</v>
      </c>
      <c r="F283" s="120">
        <v>0</v>
      </c>
      <c r="G283" s="120">
        <v>0</v>
      </c>
      <c r="H283" s="120">
        <v>0</v>
      </c>
      <c r="I283" s="120">
        <v>0</v>
      </c>
      <c r="J283" s="120">
        <v>0</v>
      </c>
      <c r="K283" s="223">
        <f t="shared" si="21"/>
        <v>0</v>
      </c>
      <c r="L283" s="266">
        <f t="shared" si="22"/>
        <v>0</v>
      </c>
      <c r="M283" s="262"/>
      <c r="N283" s="262"/>
      <c r="O283" s="262"/>
      <c r="P283" s="263"/>
      <c r="Q283" s="263"/>
      <c r="R283" s="263"/>
    </row>
    <row r="284" spans="1:18" ht="30" x14ac:dyDescent="0.25">
      <c r="A284" s="210">
        <v>7416</v>
      </c>
      <c r="B284" s="211" t="s">
        <v>518</v>
      </c>
      <c r="C284" s="258">
        <v>0</v>
      </c>
      <c r="D284" s="259">
        <v>0</v>
      </c>
      <c r="E284" s="120">
        <v>0</v>
      </c>
      <c r="F284" s="120">
        <v>0</v>
      </c>
      <c r="G284" s="120">
        <v>0</v>
      </c>
      <c r="H284" s="120">
        <v>0</v>
      </c>
      <c r="I284" s="120">
        <v>0</v>
      </c>
      <c r="J284" s="120">
        <v>0</v>
      </c>
      <c r="K284" s="223">
        <f t="shared" si="21"/>
        <v>0</v>
      </c>
      <c r="L284" s="266">
        <f t="shared" si="22"/>
        <v>0</v>
      </c>
      <c r="M284" s="262"/>
      <c r="N284" s="262"/>
      <c r="O284" s="262"/>
      <c r="P284" s="263"/>
      <c r="Q284" s="263"/>
      <c r="R284" s="263"/>
    </row>
    <row r="285" spans="1:18" x14ac:dyDescent="0.25">
      <c r="A285" s="210">
        <v>7421</v>
      </c>
      <c r="B285" s="211" t="s">
        <v>519</v>
      </c>
      <c r="C285" s="258">
        <v>0</v>
      </c>
      <c r="D285" s="259">
        <v>0</v>
      </c>
      <c r="E285" s="120">
        <v>0</v>
      </c>
      <c r="F285" s="120">
        <v>0</v>
      </c>
      <c r="G285" s="120">
        <v>0</v>
      </c>
      <c r="H285" s="120">
        <v>0</v>
      </c>
      <c r="I285" s="120">
        <v>0</v>
      </c>
      <c r="J285" s="120">
        <v>0</v>
      </c>
      <c r="K285" s="223">
        <f t="shared" si="21"/>
        <v>0</v>
      </c>
      <c r="L285" s="266">
        <f t="shared" si="22"/>
        <v>0</v>
      </c>
      <c r="M285" s="262"/>
      <c r="N285" s="262"/>
      <c r="O285" s="262"/>
      <c r="P285" s="263"/>
      <c r="Q285" s="263"/>
      <c r="R285" s="263"/>
    </row>
    <row r="286" spans="1:18" ht="30" x14ac:dyDescent="0.25">
      <c r="A286" s="210">
        <v>7422</v>
      </c>
      <c r="B286" s="211" t="s">
        <v>520</v>
      </c>
      <c r="C286" s="258">
        <v>0</v>
      </c>
      <c r="D286" s="259">
        <v>0</v>
      </c>
      <c r="E286" s="120">
        <v>0</v>
      </c>
      <c r="F286" s="120">
        <v>0</v>
      </c>
      <c r="G286" s="120">
        <v>0</v>
      </c>
      <c r="H286" s="120">
        <v>0</v>
      </c>
      <c r="I286" s="120">
        <v>0</v>
      </c>
      <c r="J286" s="120">
        <v>0</v>
      </c>
      <c r="K286" s="223">
        <f t="shared" si="21"/>
        <v>0</v>
      </c>
      <c r="L286" s="266">
        <f t="shared" si="22"/>
        <v>0</v>
      </c>
      <c r="M286" s="262"/>
      <c r="N286" s="262"/>
      <c r="O286" s="262"/>
      <c r="P286" s="263"/>
      <c r="Q286" s="263"/>
      <c r="R286" s="263"/>
    </row>
    <row r="287" spans="1:18" ht="30" x14ac:dyDescent="0.25">
      <c r="A287" s="210">
        <v>7423</v>
      </c>
      <c r="B287" s="211" t="s">
        <v>521</v>
      </c>
      <c r="C287" s="258">
        <v>0</v>
      </c>
      <c r="D287" s="259">
        <v>0</v>
      </c>
      <c r="E287" s="120">
        <v>0</v>
      </c>
      <c r="F287" s="120">
        <v>0</v>
      </c>
      <c r="G287" s="120">
        <v>0</v>
      </c>
      <c r="H287" s="120">
        <v>0</v>
      </c>
      <c r="I287" s="120">
        <v>0</v>
      </c>
      <c r="J287" s="120">
        <v>0</v>
      </c>
      <c r="K287" s="223">
        <f t="shared" si="21"/>
        <v>0</v>
      </c>
      <c r="L287" s="266">
        <f t="shared" si="22"/>
        <v>0</v>
      </c>
      <c r="M287" s="262"/>
      <c r="N287" s="262"/>
      <c r="O287" s="262"/>
      <c r="P287" s="263"/>
      <c r="Q287" s="263"/>
      <c r="R287" s="263"/>
    </row>
    <row r="288" spans="1:18" ht="30" x14ac:dyDescent="0.25">
      <c r="A288" s="210">
        <v>7424</v>
      </c>
      <c r="B288" s="211" t="s">
        <v>522</v>
      </c>
      <c r="C288" s="258">
        <v>0</v>
      </c>
      <c r="D288" s="259">
        <v>0</v>
      </c>
      <c r="E288" s="120">
        <v>0</v>
      </c>
      <c r="F288" s="120">
        <v>0</v>
      </c>
      <c r="G288" s="120">
        <v>0</v>
      </c>
      <c r="H288" s="120">
        <v>0</v>
      </c>
      <c r="I288" s="120">
        <v>0</v>
      </c>
      <c r="J288" s="120">
        <v>0</v>
      </c>
      <c r="K288" s="223">
        <f t="shared" si="21"/>
        <v>0</v>
      </c>
      <c r="L288" s="266">
        <f t="shared" si="22"/>
        <v>0</v>
      </c>
      <c r="M288" s="262"/>
      <c r="N288" s="262"/>
      <c r="O288" s="262"/>
      <c r="P288" s="263"/>
      <c r="Q288" s="263"/>
      <c r="R288" s="263"/>
    </row>
    <row r="289" spans="1:18" x14ac:dyDescent="0.25">
      <c r="A289" s="210">
        <v>7431</v>
      </c>
      <c r="B289" s="211" t="s">
        <v>523</v>
      </c>
      <c r="C289" s="258">
        <v>0</v>
      </c>
      <c r="D289" s="259">
        <v>0</v>
      </c>
      <c r="E289" s="120">
        <v>0</v>
      </c>
      <c r="F289" s="120">
        <v>0</v>
      </c>
      <c r="G289" s="120">
        <v>0</v>
      </c>
      <c r="H289" s="120">
        <v>0</v>
      </c>
      <c r="I289" s="120">
        <v>0</v>
      </c>
      <c r="J289" s="120">
        <v>0</v>
      </c>
      <c r="K289" s="223">
        <f t="shared" si="21"/>
        <v>0</v>
      </c>
      <c r="L289" s="266">
        <f t="shared" si="22"/>
        <v>0</v>
      </c>
      <c r="M289" s="262"/>
      <c r="N289" s="262"/>
      <c r="O289" s="262"/>
      <c r="P289" s="263"/>
      <c r="Q289" s="263"/>
      <c r="R289" s="263"/>
    </row>
    <row r="290" spans="1:18" ht="25.5" customHeight="1" x14ac:dyDescent="0.25">
      <c r="A290" s="210">
        <v>7432</v>
      </c>
      <c r="B290" s="211" t="s">
        <v>524</v>
      </c>
      <c r="C290" s="258">
        <v>0</v>
      </c>
      <c r="D290" s="259">
        <v>0</v>
      </c>
      <c r="E290" s="120">
        <v>0</v>
      </c>
      <c r="F290" s="120">
        <v>0</v>
      </c>
      <c r="G290" s="120">
        <v>0</v>
      </c>
      <c r="H290" s="120">
        <v>0</v>
      </c>
      <c r="I290" s="120">
        <v>0</v>
      </c>
      <c r="J290" s="120">
        <v>0</v>
      </c>
      <c r="K290" s="223">
        <f t="shared" si="21"/>
        <v>0</v>
      </c>
      <c r="L290" s="266">
        <f t="shared" si="22"/>
        <v>0</v>
      </c>
      <c r="M290" s="262"/>
      <c r="N290" s="262"/>
      <c r="O290" s="262"/>
      <c r="P290" s="263"/>
      <c r="Q290" s="263"/>
      <c r="R290" s="263"/>
    </row>
    <row r="291" spans="1:18" ht="30" x14ac:dyDescent="0.25">
      <c r="A291" s="210">
        <v>7433</v>
      </c>
      <c r="B291" s="211" t="s">
        <v>525</v>
      </c>
      <c r="C291" s="258">
        <v>0</v>
      </c>
      <c r="D291" s="259">
        <v>0</v>
      </c>
      <c r="E291" s="120">
        <v>0</v>
      </c>
      <c r="F291" s="120">
        <v>0</v>
      </c>
      <c r="G291" s="120">
        <v>0</v>
      </c>
      <c r="H291" s="120">
        <v>0</v>
      </c>
      <c r="I291" s="120">
        <v>0</v>
      </c>
      <c r="J291" s="120">
        <v>0</v>
      </c>
      <c r="K291" s="223">
        <f t="shared" si="21"/>
        <v>0</v>
      </c>
      <c r="L291" s="266">
        <f t="shared" si="22"/>
        <v>0</v>
      </c>
      <c r="M291" s="262"/>
      <c r="N291" s="262"/>
      <c r="O291" s="262"/>
      <c r="P291" s="263"/>
      <c r="Q291" s="263"/>
      <c r="R291" s="263"/>
    </row>
    <row r="292" spans="1:18" ht="30" x14ac:dyDescent="0.25">
      <c r="A292" s="210">
        <v>7434</v>
      </c>
      <c r="B292" s="211" t="s">
        <v>526</v>
      </c>
      <c r="C292" s="258">
        <v>0</v>
      </c>
      <c r="D292" s="259">
        <v>0</v>
      </c>
      <c r="E292" s="120">
        <v>0</v>
      </c>
      <c r="F292" s="120">
        <v>0</v>
      </c>
      <c r="G292" s="120">
        <v>0</v>
      </c>
      <c r="H292" s="120">
        <v>0</v>
      </c>
      <c r="I292" s="120">
        <v>0</v>
      </c>
      <c r="J292" s="120">
        <v>0</v>
      </c>
      <c r="K292" s="223">
        <f t="shared" ref="K292:K297" si="23">C292+E292-G292-I292</f>
        <v>0</v>
      </c>
      <c r="L292" s="266">
        <f t="shared" ref="L292:L297" si="24">D292+F292-H292-J292</f>
        <v>0</v>
      </c>
      <c r="M292" s="262"/>
      <c r="N292" s="262"/>
      <c r="O292" s="262"/>
      <c r="P292" s="263"/>
      <c r="Q292" s="263"/>
      <c r="R292" s="263"/>
    </row>
    <row r="293" spans="1:18" ht="30" x14ac:dyDescent="0.25">
      <c r="A293" s="210">
        <v>7435</v>
      </c>
      <c r="B293" s="211" t="s">
        <v>527</v>
      </c>
      <c r="C293" s="258">
        <v>0</v>
      </c>
      <c r="D293" s="259">
        <v>0</v>
      </c>
      <c r="E293" s="120">
        <v>0</v>
      </c>
      <c r="F293" s="120">
        <v>0</v>
      </c>
      <c r="G293" s="120">
        <v>0</v>
      </c>
      <c r="H293" s="120">
        <v>0</v>
      </c>
      <c r="I293" s="120">
        <v>0</v>
      </c>
      <c r="J293" s="120">
        <v>0</v>
      </c>
      <c r="K293" s="223">
        <f t="shared" si="23"/>
        <v>0</v>
      </c>
      <c r="L293" s="266">
        <f t="shared" si="24"/>
        <v>0</v>
      </c>
      <c r="M293" s="262"/>
      <c r="N293" s="262"/>
      <c r="O293" s="262"/>
      <c r="P293" s="263"/>
      <c r="Q293" s="263"/>
      <c r="R293" s="263"/>
    </row>
    <row r="294" spans="1:18" ht="30" x14ac:dyDescent="0.25">
      <c r="A294" s="210">
        <v>7436</v>
      </c>
      <c r="B294" s="211" t="s">
        <v>528</v>
      </c>
      <c r="C294" s="258">
        <v>0</v>
      </c>
      <c r="D294" s="259">
        <v>0</v>
      </c>
      <c r="E294" s="120">
        <v>0</v>
      </c>
      <c r="F294" s="120">
        <v>0</v>
      </c>
      <c r="G294" s="120">
        <v>0</v>
      </c>
      <c r="H294" s="120">
        <v>0</v>
      </c>
      <c r="I294" s="120">
        <v>0</v>
      </c>
      <c r="J294" s="120">
        <v>0</v>
      </c>
      <c r="K294" s="223">
        <f t="shared" si="23"/>
        <v>0</v>
      </c>
      <c r="L294" s="266">
        <f t="shared" si="24"/>
        <v>0</v>
      </c>
      <c r="M294" s="262"/>
      <c r="N294" s="262"/>
      <c r="O294" s="262"/>
      <c r="P294" s="263"/>
      <c r="Q294" s="263"/>
      <c r="R294" s="263"/>
    </row>
    <row r="295" spans="1:18" ht="30" x14ac:dyDescent="0.25">
      <c r="A295" s="210">
        <v>7437</v>
      </c>
      <c r="B295" s="211" t="s">
        <v>529</v>
      </c>
      <c r="C295" s="258">
        <v>0</v>
      </c>
      <c r="D295" s="259">
        <v>0</v>
      </c>
      <c r="E295" s="120">
        <v>0</v>
      </c>
      <c r="F295" s="120">
        <v>0</v>
      </c>
      <c r="G295" s="120">
        <v>0</v>
      </c>
      <c r="H295" s="120">
        <v>0</v>
      </c>
      <c r="I295" s="120">
        <v>0</v>
      </c>
      <c r="J295" s="120">
        <v>0</v>
      </c>
      <c r="K295" s="223">
        <f t="shared" si="23"/>
        <v>0</v>
      </c>
      <c r="L295" s="266">
        <f t="shared" si="24"/>
        <v>0</v>
      </c>
      <c r="M295" s="262"/>
      <c r="N295" s="262"/>
      <c r="O295" s="262"/>
      <c r="P295" s="263"/>
      <c r="Q295" s="263"/>
      <c r="R295" s="263"/>
    </row>
    <row r="296" spans="1:18" ht="30" customHeight="1" x14ac:dyDescent="0.25">
      <c r="A296" s="210">
        <v>7441</v>
      </c>
      <c r="B296" s="211" t="s">
        <v>530</v>
      </c>
      <c r="C296" s="258">
        <v>0</v>
      </c>
      <c r="D296" s="259">
        <v>0</v>
      </c>
      <c r="E296" s="120">
        <v>0</v>
      </c>
      <c r="F296" s="120">
        <v>0</v>
      </c>
      <c r="G296" s="120">
        <v>0</v>
      </c>
      <c r="H296" s="120">
        <v>0</v>
      </c>
      <c r="I296" s="120">
        <v>0</v>
      </c>
      <c r="J296" s="120">
        <v>0</v>
      </c>
      <c r="K296" s="223">
        <f t="shared" si="23"/>
        <v>0</v>
      </c>
      <c r="L296" s="266">
        <f t="shared" si="24"/>
        <v>0</v>
      </c>
      <c r="M296" s="262"/>
      <c r="N296" s="262"/>
      <c r="O296" s="262"/>
      <c r="P296" s="263"/>
      <c r="Q296" s="263"/>
      <c r="R296" s="263"/>
    </row>
    <row r="297" spans="1:18" ht="15" customHeight="1" thickBot="1" x14ac:dyDescent="0.3">
      <c r="A297" s="204">
        <v>7442</v>
      </c>
      <c r="B297" s="205" t="s">
        <v>531</v>
      </c>
      <c r="C297" s="256">
        <v>0</v>
      </c>
      <c r="D297" s="257">
        <v>0</v>
      </c>
      <c r="E297" s="209">
        <v>0</v>
      </c>
      <c r="F297" s="209">
        <v>0</v>
      </c>
      <c r="G297" s="209">
        <v>0</v>
      </c>
      <c r="H297" s="209">
        <v>0</v>
      </c>
      <c r="I297" s="209">
        <v>0</v>
      </c>
      <c r="J297" s="209">
        <v>0</v>
      </c>
      <c r="K297" s="221">
        <f t="shared" si="23"/>
        <v>0</v>
      </c>
      <c r="L297" s="268">
        <f t="shared" si="24"/>
        <v>0</v>
      </c>
      <c r="M297" s="262"/>
      <c r="N297" s="262"/>
      <c r="O297" s="262"/>
      <c r="P297" s="263"/>
      <c r="Q297" s="263"/>
      <c r="R297" s="263"/>
    </row>
    <row r="298" spans="1:18" ht="30.75" thickBot="1" x14ac:dyDescent="0.3">
      <c r="A298" s="254">
        <v>8</v>
      </c>
      <c r="B298" s="255" t="s">
        <v>532</v>
      </c>
      <c r="C298" s="251"/>
      <c r="D298" s="299"/>
      <c r="E298" s="218"/>
      <c r="F298" s="218"/>
      <c r="G298" s="218"/>
      <c r="H298" s="218"/>
      <c r="I298" s="218"/>
      <c r="J298" s="218"/>
      <c r="K298" s="226"/>
      <c r="L298" s="264"/>
      <c r="M298" s="262"/>
      <c r="N298" s="1"/>
      <c r="O298" s="1"/>
      <c r="P298" s="263"/>
      <c r="Q298" s="263"/>
      <c r="R298" s="263"/>
    </row>
    <row r="299" spans="1:18" x14ac:dyDescent="0.25">
      <c r="A299" s="204">
        <v>8111</v>
      </c>
      <c r="B299" s="205" t="s">
        <v>533</v>
      </c>
      <c r="C299" s="256">
        <v>0</v>
      </c>
      <c r="D299" s="257">
        <v>0</v>
      </c>
      <c r="E299" s="209">
        <v>0</v>
      </c>
      <c r="F299" s="209">
        <v>0</v>
      </c>
      <c r="G299" s="209">
        <v>0</v>
      </c>
      <c r="H299" s="209">
        <v>0</v>
      </c>
      <c r="I299" s="209">
        <v>0</v>
      </c>
      <c r="J299" s="209">
        <v>0</v>
      </c>
      <c r="K299" s="221">
        <f t="shared" ref="K299:K330" si="25">C299+E299-G299-I299</f>
        <v>0</v>
      </c>
      <c r="L299" s="268">
        <f t="shared" ref="L299:L330" si="26">D299+F299-H299-J299</f>
        <v>0</v>
      </c>
      <c r="M299" s="262"/>
      <c r="N299" s="262"/>
      <c r="O299" s="262"/>
      <c r="P299" s="263"/>
      <c r="Q299" s="263"/>
      <c r="R299" s="263"/>
    </row>
    <row r="300" spans="1:18" ht="30" customHeight="1" x14ac:dyDescent="0.25">
      <c r="A300" s="210">
        <v>8112</v>
      </c>
      <c r="B300" s="211" t="s">
        <v>534</v>
      </c>
      <c r="C300" s="258">
        <v>0</v>
      </c>
      <c r="D300" s="259">
        <v>0</v>
      </c>
      <c r="E300" s="120">
        <v>0</v>
      </c>
      <c r="F300" s="120">
        <v>0</v>
      </c>
      <c r="G300" s="120">
        <v>0</v>
      </c>
      <c r="H300" s="120">
        <v>0</v>
      </c>
      <c r="I300" s="120">
        <v>0</v>
      </c>
      <c r="J300" s="120">
        <v>0</v>
      </c>
      <c r="K300" s="223">
        <f t="shared" si="25"/>
        <v>0</v>
      </c>
      <c r="L300" s="266">
        <f t="shared" si="26"/>
        <v>0</v>
      </c>
      <c r="M300" s="262"/>
      <c r="N300" s="262"/>
      <c r="O300" s="262"/>
      <c r="P300" s="263"/>
      <c r="Q300" s="263"/>
      <c r="R300" s="263"/>
    </row>
    <row r="301" spans="1:18" ht="30" x14ac:dyDescent="0.25">
      <c r="A301" s="210">
        <v>8113</v>
      </c>
      <c r="B301" s="211" t="s">
        <v>535</v>
      </c>
      <c r="C301" s="258">
        <v>0</v>
      </c>
      <c r="D301" s="259">
        <v>0</v>
      </c>
      <c r="E301" s="120">
        <v>0</v>
      </c>
      <c r="F301" s="120">
        <v>0</v>
      </c>
      <c r="G301" s="120">
        <v>0</v>
      </c>
      <c r="H301" s="120">
        <v>0</v>
      </c>
      <c r="I301" s="120">
        <v>0</v>
      </c>
      <c r="J301" s="120">
        <v>0</v>
      </c>
      <c r="K301" s="223">
        <f t="shared" si="25"/>
        <v>0</v>
      </c>
      <c r="L301" s="266">
        <f t="shared" si="26"/>
        <v>0</v>
      </c>
      <c r="M301" s="262"/>
      <c r="N301" s="262"/>
      <c r="O301" s="262"/>
      <c r="P301" s="263"/>
      <c r="Q301" s="263"/>
      <c r="R301" s="263"/>
    </row>
    <row r="302" spans="1:18" ht="30" x14ac:dyDescent="0.25">
      <c r="A302" s="210">
        <v>8121</v>
      </c>
      <c r="B302" s="211" t="s">
        <v>536</v>
      </c>
      <c r="C302" s="258">
        <v>0</v>
      </c>
      <c r="D302" s="259">
        <v>0</v>
      </c>
      <c r="E302" s="120">
        <v>0</v>
      </c>
      <c r="F302" s="120">
        <v>0</v>
      </c>
      <c r="G302" s="120">
        <v>0</v>
      </c>
      <c r="H302" s="120">
        <v>0</v>
      </c>
      <c r="I302" s="120">
        <v>0</v>
      </c>
      <c r="J302" s="120">
        <v>0</v>
      </c>
      <c r="K302" s="223">
        <f t="shared" si="25"/>
        <v>0</v>
      </c>
      <c r="L302" s="266">
        <f t="shared" si="26"/>
        <v>0</v>
      </c>
      <c r="M302" s="262"/>
      <c r="N302" s="262"/>
      <c r="O302" s="262"/>
      <c r="P302" s="263"/>
      <c r="Q302" s="263"/>
      <c r="R302" s="263"/>
    </row>
    <row r="303" spans="1:18" ht="30" x14ac:dyDescent="0.25">
      <c r="A303" s="210">
        <v>8122</v>
      </c>
      <c r="B303" s="211" t="s">
        <v>537</v>
      </c>
      <c r="C303" s="258">
        <v>0</v>
      </c>
      <c r="D303" s="259">
        <v>0</v>
      </c>
      <c r="E303" s="120">
        <v>0</v>
      </c>
      <c r="F303" s="120">
        <v>0</v>
      </c>
      <c r="G303" s="120">
        <v>0</v>
      </c>
      <c r="H303" s="120">
        <v>0</v>
      </c>
      <c r="I303" s="120">
        <v>0</v>
      </c>
      <c r="J303" s="120">
        <v>0</v>
      </c>
      <c r="K303" s="223">
        <f t="shared" si="25"/>
        <v>0</v>
      </c>
      <c r="L303" s="266">
        <f t="shared" si="26"/>
        <v>0</v>
      </c>
      <c r="M303" s="262"/>
      <c r="N303" s="262"/>
      <c r="O303" s="262"/>
      <c r="P303" s="263"/>
      <c r="Q303" s="263"/>
      <c r="R303" s="263"/>
    </row>
    <row r="304" spans="1:18" x14ac:dyDescent="0.25">
      <c r="A304" s="210">
        <v>8124</v>
      </c>
      <c r="B304" s="211" t="s">
        <v>538</v>
      </c>
      <c r="C304" s="258">
        <v>0</v>
      </c>
      <c r="D304" s="259">
        <v>0</v>
      </c>
      <c r="E304" s="120">
        <v>0</v>
      </c>
      <c r="F304" s="120">
        <v>0</v>
      </c>
      <c r="G304" s="120">
        <v>0</v>
      </c>
      <c r="H304" s="120">
        <v>0</v>
      </c>
      <c r="I304" s="120">
        <v>0</v>
      </c>
      <c r="J304" s="120">
        <v>0</v>
      </c>
      <c r="K304" s="223">
        <f t="shared" si="25"/>
        <v>0</v>
      </c>
      <c r="L304" s="266">
        <f t="shared" si="26"/>
        <v>0</v>
      </c>
      <c r="M304" s="262"/>
      <c r="N304" s="262"/>
      <c r="O304" s="262"/>
      <c r="P304" s="263"/>
      <c r="Q304" s="263"/>
      <c r="R304" s="263"/>
    </row>
    <row r="305" spans="1:18" ht="30" x14ac:dyDescent="0.25">
      <c r="A305" s="210">
        <v>8131</v>
      </c>
      <c r="B305" s="211" t="s">
        <v>539</v>
      </c>
      <c r="C305" s="258">
        <v>0</v>
      </c>
      <c r="D305" s="259">
        <v>0</v>
      </c>
      <c r="E305" s="120">
        <v>0</v>
      </c>
      <c r="F305" s="120">
        <v>0</v>
      </c>
      <c r="G305" s="120">
        <v>0</v>
      </c>
      <c r="H305" s="120">
        <v>0</v>
      </c>
      <c r="I305" s="120">
        <v>0</v>
      </c>
      <c r="J305" s="120">
        <v>0</v>
      </c>
      <c r="K305" s="223">
        <f t="shared" si="25"/>
        <v>0</v>
      </c>
      <c r="L305" s="266">
        <f t="shared" si="26"/>
        <v>0</v>
      </c>
      <c r="M305" s="262"/>
      <c r="N305" s="262"/>
      <c r="O305" s="262"/>
      <c r="P305" s="263"/>
      <c r="Q305" s="263"/>
      <c r="R305" s="263"/>
    </row>
    <row r="306" spans="1:18" ht="30" x14ac:dyDescent="0.25">
      <c r="A306" s="210">
        <v>8139</v>
      </c>
      <c r="B306" s="211" t="s">
        <v>540</v>
      </c>
      <c r="C306" s="258">
        <v>0</v>
      </c>
      <c r="D306" s="259">
        <v>0</v>
      </c>
      <c r="E306" s="120">
        <v>0</v>
      </c>
      <c r="F306" s="120">
        <v>0</v>
      </c>
      <c r="G306" s="120">
        <v>0</v>
      </c>
      <c r="H306" s="120">
        <v>0</v>
      </c>
      <c r="I306" s="120">
        <v>0</v>
      </c>
      <c r="J306" s="120">
        <v>0</v>
      </c>
      <c r="K306" s="223">
        <f t="shared" si="25"/>
        <v>0</v>
      </c>
      <c r="L306" s="266">
        <f t="shared" si="26"/>
        <v>0</v>
      </c>
      <c r="M306" s="262"/>
      <c r="N306" s="262"/>
      <c r="O306" s="262"/>
      <c r="P306" s="263"/>
      <c r="Q306" s="263"/>
      <c r="R306" s="263"/>
    </row>
    <row r="307" spans="1:18" ht="30" x14ac:dyDescent="0.25">
      <c r="A307" s="210">
        <v>8141</v>
      </c>
      <c r="B307" s="211" t="s">
        <v>541</v>
      </c>
      <c r="C307" s="258">
        <v>0</v>
      </c>
      <c r="D307" s="259">
        <v>0</v>
      </c>
      <c r="E307" s="120">
        <v>0</v>
      </c>
      <c r="F307" s="120">
        <v>0</v>
      </c>
      <c r="G307" s="120">
        <v>0</v>
      </c>
      <c r="H307" s="120">
        <v>0</v>
      </c>
      <c r="I307" s="120">
        <v>0</v>
      </c>
      <c r="J307" s="120">
        <v>0</v>
      </c>
      <c r="K307" s="223">
        <f t="shared" si="25"/>
        <v>0</v>
      </c>
      <c r="L307" s="266">
        <f t="shared" si="26"/>
        <v>0</v>
      </c>
      <c r="M307" s="262"/>
      <c r="N307" s="262"/>
      <c r="O307" s="262"/>
      <c r="P307" s="263"/>
      <c r="Q307" s="263"/>
      <c r="R307" s="263"/>
    </row>
    <row r="308" spans="1:18" ht="30" x14ac:dyDescent="0.25">
      <c r="A308" s="210">
        <v>8142</v>
      </c>
      <c r="B308" s="211" t="s">
        <v>542</v>
      </c>
      <c r="C308" s="258">
        <v>0</v>
      </c>
      <c r="D308" s="259">
        <v>0</v>
      </c>
      <c r="E308" s="120">
        <v>0</v>
      </c>
      <c r="F308" s="120">
        <v>0</v>
      </c>
      <c r="G308" s="120">
        <v>0</v>
      </c>
      <c r="H308" s="120">
        <v>0</v>
      </c>
      <c r="I308" s="120">
        <v>0</v>
      </c>
      <c r="J308" s="120">
        <v>0</v>
      </c>
      <c r="K308" s="223">
        <f t="shared" si="25"/>
        <v>0</v>
      </c>
      <c r="L308" s="266">
        <f t="shared" si="26"/>
        <v>0</v>
      </c>
      <c r="M308" s="262"/>
      <c r="N308" s="262"/>
      <c r="O308" s="262"/>
      <c r="P308" s="263"/>
      <c r="Q308" s="263"/>
      <c r="R308" s="263"/>
    </row>
    <row r="309" spans="1:18" ht="30" x14ac:dyDescent="0.25">
      <c r="A309" s="210">
        <v>8143</v>
      </c>
      <c r="B309" s="211" t="s">
        <v>543</v>
      </c>
      <c r="C309" s="258">
        <v>0</v>
      </c>
      <c r="D309" s="259">
        <v>0</v>
      </c>
      <c r="E309" s="120">
        <v>0</v>
      </c>
      <c r="F309" s="120">
        <v>0</v>
      </c>
      <c r="G309" s="120">
        <v>0</v>
      </c>
      <c r="H309" s="120">
        <v>0</v>
      </c>
      <c r="I309" s="120">
        <v>0</v>
      </c>
      <c r="J309" s="120">
        <v>0</v>
      </c>
      <c r="K309" s="223">
        <f t="shared" si="25"/>
        <v>0</v>
      </c>
      <c r="L309" s="266">
        <f t="shared" si="26"/>
        <v>0</v>
      </c>
      <c r="M309" s="262"/>
      <c r="N309" s="262"/>
      <c r="O309" s="262"/>
      <c r="P309" s="263"/>
      <c r="Q309" s="263"/>
      <c r="R309" s="263"/>
    </row>
    <row r="310" spans="1:18" ht="45" x14ac:dyDescent="0.25">
      <c r="A310" s="210">
        <v>8151</v>
      </c>
      <c r="B310" s="211" t="s">
        <v>544</v>
      </c>
      <c r="C310" s="258">
        <v>0</v>
      </c>
      <c r="D310" s="259">
        <v>0</v>
      </c>
      <c r="E310" s="120">
        <v>0</v>
      </c>
      <c r="F310" s="120">
        <v>0</v>
      </c>
      <c r="G310" s="120">
        <v>0</v>
      </c>
      <c r="H310" s="120">
        <v>0</v>
      </c>
      <c r="I310" s="120">
        <v>0</v>
      </c>
      <c r="J310" s="120">
        <v>0</v>
      </c>
      <c r="K310" s="223">
        <f t="shared" si="25"/>
        <v>0</v>
      </c>
      <c r="L310" s="266">
        <f t="shared" si="26"/>
        <v>0</v>
      </c>
      <c r="M310" s="262"/>
      <c r="N310" s="262"/>
      <c r="O310" s="262"/>
      <c r="P310" s="263"/>
      <c r="Q310" s="263"/>
      <c r="R310" s="263"/>
    </row>
    <row r="311" spans="1:18" ht="30" x14ac:dyDescent="0.25">
      <c r="A311" s="210">
        <v>8152</v>
      </c>
      <c r="B311" s="211" t="s">
        <v>545</v>
      </c>
      <c r="C311" s="258">
        <v>0</v>
      </c>
      <c r="D311" s="259">
        <v>0</v>
      </c>
      <c r="E311" s="120">
        <v>0</v>
      </c>
      <c r="F311" s="120">
        <v>0</v>
      </c>
      <c r="G311" s="120">
        <v>0</v>
      </c>
      <c r="H311" s="120">
        <v>0</v>
      </c>
      <c r="I311" s="120">
        <v>0</v>
      </c>
      <c r="J311" s="120">
        <v>0</v>
      </c>
      <c r="K311" s="223">
        <f t="shared" si="25"/>
        <v>0</v>
      </c>
      <c r="L311" s="266">
        <f t="shared" si="26"/>
        <v>0</v>
      </c>
      <c r="M311" s="262"/>
      <c r="N311" s="262"/>
      <c r="O311" s="262"/>
      <c r="P311" s="263"/>
      <c r="Q311" s="263"/>
      <c r="R311" s="263"/>
    </row>
    <row r="312" spans="1:18" ht="30" x14ac:dyDescent="0.25">
      <c r="A312" s="210">
        <v>8153</v>
      </c>
      <c r="B312" s="211" t="s">
        <v>546</v>
      </c>
      <c r="C312" s="258">
        <v>0</v>
      </c>
      <c r="D312" s="259">
        <v>0</v>
      </c>
      <c r="E312" s="120">
        <v>0</v>
      </c>
      <c r="F312" s="120">
        <v>0</v>
      </c>
      <c r="G312" s="120">
        <v>0</v>
      </c>
      <c r="H312" s="120">
        <v>0</v>
      </c>
      <c r="I312" s="120">
        <v>0</v>
      </c>
      <c r="J312" s="120">
        <v>0</v>
      </c>
      <c r="K312" s="223">
        <f t="shared" si="25"/>
        <v>0</v>
      </c>
      <c r="L312" s="266">
        <f t="shared" si="26"/>
        <v>0</v>
      </c>
      <c r="M312" s="262"/>
      <c r="N312" s="262"/>
      <c r="O312" s="262"/>
      <c r="P312" s="263"/>
      <c r="Q312" s="263"/>
      <c r="R312" s="263"/>
    </row>
    <row r="313" spans="1:18" ht="45" customHeight="1" x14ac:dyDescent="0.25">
      <c r="A313" s="210">
        <v>8154</v>
      </c>
      <c r="B313" s="211" t="s">
        <v>547</v>
      </c>
      <c r="C313" s="258">
        <v>0</v>
      </c>
      <c r="D313" s="259">
        <v>0</v>
      </c>
      <c r="E313" s="120">
        <v>0</v>
      </c>
      <c r="F313" s="120">
        <v>0</v>
      </c>
      <c r="G313" s="120">
        <v>0</v>
      </c>
      <c r="H313" s="120">
        <v>0</v>
      </c>
      <c r="I313" s="120">
        <v>0</v>
      </c>
      <c r="J313" s="120">
        <v>0</v>
      </c>
      <c r="K313" s="223">
        <f t="shared" si="25"/>
        <v>0</v>
      </c>
      <c r="L313" s="266">
        <f t="shared" si="26"/>
        <v>0</v>
      </c>
      <c r="M313" s="262"/>
      <c r="N313" s="262"/>
      <c r="O313" s="262"/>
      <c r="P313" s="263"/>
      <c r="Q313" s="263"/>
      <c r="R313" s="263"/>
    </row>
    <row r="314" spans="1:18" ht="30" x14ac:dyDescent="0.25">
      <c r="A314" s="210">
        <v>8155</v>
      </c>
      <c r="B314" s="211" t="s">
        <v>548</v>
      </c>
      <c r="C314" s="258">
        <v>0</v>
      </c>
      <c r="D314" s="259">
        <v>0</v>
      </c>
      <c r="E314" s="120">
        <v>0</v>
      </c>
      <c r="F314" s="120">
        <v>0</v>
      </c>
      <c r="G314" s="120">
        <v>0</v>
      </c>
      <c r="H314" s="120">
        <v>0</v>
      </c>
      <c r="I314" s="120">
        <v>0</v>
      </c>
      <c r="J314" s="120">
        <v>0</v>
      </c>
      <c r="K314" s="223">
        <f t="shared" si="25"/>
        <v>0</v>
      </c>
      <c r="L314" s="266">
        <f t="shared" si="26"/>
        <v>0</v>
      </c>
      <c r="M314" s="262"/>
      <c r="N314" s="262"/>
      <c r="O314" s="262"/>
      <c r="P314" s="263"/>
      <c r="Q314" s="263"/>
      <c r="R314" s="263"/>
    </row>
    <row r="315" spans="1:18" ht="30" x14ac:dyDescent="0.25">
      <c r="A315" s="210">
        <v>8159</v>
      </c>
      <c r="B315" s="211" t="s">
        <v>549</v>
      </c>
      <c r="C315" s="258">
        <v>0</v>
      </c>
      <c r="D315" s="259">
        <v>0</v>
      </c>
      <c r="E315" s="120">
        <v>0</v>
      </c>
      <c r="F315" s="120">
        <v>0</v>
      </c>
      <c r="G315" s="120">
        <v>0</v>
      </c>
      <c r="H315" s="120">
        <v>0</v>
      </c>
      <c r="I315" s="120">
        <v>0</v>
      </c>
      <c r="J315" s="120">
        <v>0</v>
      </c>
      <c r="K315" s="223">
        <f t="shared" si="25"/>
        <v>0</v>
      </c>
      <c r="L315" s="266">
        <f t="shared" si="26"/>
        <v>0</v>
      </c>
      <c r="M315" s="262"/>
      <c r="N315" s="262"/>
      <c r="O315" s="262"/>
      <c r="P315" s="263"/>
      <c r="Q315" s="263"/>
      <c r="R315" s="263"/>
    </row>
    <row r="316" spans="1:18" ht="30" x14ac:dyDescent="0.25">
      <c r="A316" s="210">
        <v>8161</v>
      </c>
      <c r="B316" s="211" t="s">
        <v>550</v>
      </c>
      <c r="C316" s="258">
        <v>0</v>
      </c>
      <c r="D316" s="259">
        <v>0</v>
      </c>
      <c r="E316" s="120">
        <v>0</v>
      </c>
      <c r="F316" s="120">
        <v>0</v>
      </c>
      <c r="G316" s="120">
        <v>0</v>
      </c>
      <c r="H316" s="120">
        <v>0</v>
      </c>
      <c r="I316" s="120">
        <v>0</v>
      </c>
      <c r="J316" s="120">
        <v>0</v>
      </c>
      <c r="K316" s="223">
        <f t="shared" si="25"/>
        <v>0</v>
      </c>
      <c r="L316" s="266">
        <f t="shared" si="26"/>
        <v>0</v>
      </c>
      <c r="M316" s="262"/>
      <c r="N316" s="262"/>
      <c r="O316" s="262"/>
      <c r="P316" s="263"/>
      <c r="Q316" s="263"/>
      <c r="R316" s="263"/>
    </row>
    <row r="317" spans="1:18" x14ac:dyDescent="0.25">
      <c r="A317" s="210">
        <v>8162</v>
      </c>
      <c r="B317" s="211" t="s">
        <v>551</v>
      </c>
      <c r="C317" s="258">
        <v>0</v>
      </c>
      <c r="D317" s="259">
        <v>0</v>
      </c>
      <c r="E317" s="120">
        <v>0</v>
      </c>
      <c r="F317" s="120">
        <v>0</v>
      </c>
      <c r="G317" s="120">
        <v>0</v>
      </c>
      <c r="H317" s="120">
        <v>0</v>
      </c>
      <c r="I317" s="120">
        <v>0</v>
      </c>
      <c r="J317" s="120">
        <v>0</v>
      </c>
      <c r="K317" s="223">
        <f t="shared" si="25"/>
        <v>0</v>
      </c>
      <c r="L317" s="266">
        <f t="shared" si="26"/>
        <v>0</v>
      </c>
      <c r="M317" s="262"/>
      <c r="N317" s="262"/>
      <c r="O317" s="262"/>
      <c r="P317" s="263"/>
      <c r="Q317" s="263"/>
      <c r="R317" s="263"/>
    </row>
    <row r="318" spans="1:18" ht="45" x14ac:dyDescent="0.25">
      <c r="A318" s="210">
        <v>8163</v>
      </c>
      <c r="B318" s="211" t="s">
        <v>552</v>
      </c>
      <c r="C318" s="258">
        <v>0</v>
      </c>
      <c r="D318" s="259">
        <v>0</v>
      </c>
      <c r="E318" s="120">
        <v>0</v>
      </c>
      <c r="F318" s="120">
        <v>0</v>
      </c>
      <c r="G318" s="120">
        <v>0</v>
      </c>
      <c r="H318" s="120">
        <v>0</v>
      </c>
      <c r="I318" s="120">
        <v>0</v>
      </c>
      <c r="J318" s="120">
        <v>0</v>
      </c>
      <c r="K318" s="223">
        <f t="shared" si="25"/>
        <v>0</v>
      </c>
      <c r="L318" s="266">
        <f t="shared" si="26"/>
        <v>0</v>
      </c>
      <c r="M318" s="262"/>
      <c r="N318" s="262"/>
      <c r="O318" s="262"/>
      <c r="P318" s="263"/>
      <c r="Q318" s="263"/>
      <c r="R318" s="263"/>
    </row>
    <row r="319" spans="1:18" x14ac:dyDescent="0.25">
      <c r="A319" s="210">
        <v>8171</v>
      </c>
      <c r="B319" s="211" t="s">
        <v>553</v>
      </c>
      <c r="C319" s="258">
        <v>0</v>
      </c>
      <c r="D319" s="259">
        <v>0</v>
      </c>
      <c r="E319" s="120">
        <v>0</v>
      </c>
      <c r="F319" s="120">
        <v>0</v>
      </c>
      <c r="G319" s="120">
        <v>0</v>
      </c>
      <c r="H319" s="120">
        <v>0</v>
      </c>
      <c r="I319" s="120">
        <v>0</v>
      </c>
      <c r="J319" s="120">
        <v>0</v>
      </c>
      <c r="K319" s="223">
        <f t="shared" si="25"/>
        <v>0</v>
      </c>
      <c r="L319" s="266">
        <f t="shared" si="26"/>
        <v>0</v>
      </c>
      <c r="M319" s="262"/>
      <c r="N319" s="262"/>
      <c r="O319" s="262"/>
      <c r="P319" s="263"/>
      <c r="Q319" s="263"/>
      <c r="R319" s="263"/>
    </row>
    <row r="320" spans="1:18" x14ac:dyDescent="0.25">
      <c r="A320" s="210">
        <v>8172</v>
      </c>
      <c r="B320" s="211" t="s">
        <v>554</v>
      </c>
      <c r="C320" s="258">
        <v>0</v>
      </c>
      <c r="D320" s="259">
        <v>0</v>
      </c>
      <c r="E320" s="120">
        <v>0</v>
      </c>
      <c r="F320" s="120">
        <v>0</v>
      </c>
      <c r="G320" s="120">
        <v>0</v>
      </c>
      <c r="H320" s="120">
        <v>0</v>
      </c>
      <c r="I320" s="120">
        <v>0</v>
      </c>
      <c r="J320" s="120">
        <v>0</v>
      </c>
      <c r="K320" s="223">
        <f t="shared" si="25"/>
        <v>0</v>
      </c>
      <c r="L320" s="266">
        <f t="shared" si="26"/>
        <v>0</v>
      </c>
      <c r="M320" s="262"/>
      <c r="N320" s="262"/>
      <c r="O320" s="262"/>
      <c r="P320" s="263"/>
      <c r="Q320" s="263"/>
      <c r="R320" s="263"/>
    </row>
    <row r="321" spans="1:18" x14ac:dyDescent="0.25">
      <c r="A321" s="210">
        <v>8211</v>
      </c>
      <c r="B321" s="211" t="s">
        <v>555</v>
      </c>
      <c r="C321" s="258">
        <v>0</v>
      </c>
      <c r="D321" s="259">
        <v>0</v>
      </c>
      <c r="E321" s="120">
        <v>0</v>
      </c>
      <c r="F321" s="120">
        <v>0</v>
      </c>
      <c r="G321" s="120">
        <v>0</v>
      </c>
      <c r="H321" s="120">
        <v>0</v>
      </c>
      <c r="I321" s="120">
        <v>0</v>
      </c>
      <c r="J321" s="120">
        <v>0</v>
      </c>
      <c r="K321" s="223">
        <f t="shared" si="25"/>
        <v>0</v>
      </c>
      <c r="L321" s="266">
        <f t="shared" si="26"/>
        <v>0</v>
      </c>
      <c r="M321" s="262"/>
      <c r="N321" s="262"/>
      <c r="O321" s="262"/>
      <c r="P321" s="263"/>
      <c r="Q321" s="263"/>
      <c r="R321" s="263"/>
    </row>
    <row r="322" spans="1:18" ht="30" x14ac:dyDescent="0.25">
      <c r="A322" s="210">
        <v>8212</v>
      </c>
      <c r="B322" s="211" t="s">
        <v>556</v>
      </c>
      <c r="C322" s="258">
        <v>0</v>
      </c>
      <c r="D322" s="259">
        <v>0</v>
      </c>
      <c r="E322" s="120">
        <v>0</v>
      </c>
      <c r="F322" s="120">
        <v>0</v>
      </c>
      <c r="G322" s="120">
        <v>0</v>
      </c>
      <c r="H322" s="120">
        <v>0</v>
      </c>
      <c r="I322" s="120">
        <v>0</v>
      </c>
      <c r="J322" s="120">
        <v>0</v>
      </c>
      <c r="K322" s="223">
        <f t="shared" si="25"/>
        <v>0</v>
      </c>
      <c r="L322" s="266">
        <f t="shared" si="26"/>
        <v>0</v>
      </c>
      <c r="M322" s="262"/>
      <c r="N322" s="262"/>
      <c r="O322" s="262"/>
      <c r="P322" s="263"/>
      <c r="Q322" s="263"/>
      <c r="R322" s="263"/>
    </row>
    <row r="323" spans="1:18" ht="30" x14ac:dyDescent="0.25">
      <c r="A323" s="210">
        <v>8221</v>
      </c>
      <c r="B323" s="211" t="s">
        <v>557</v>
      </c>
      <c r="C323" s="258">
        <v>0</v>
      </c>
      <c r="D323" s="259">
        <v>0</v>
      </c>
      <c r="E323" s="120">
        <v>0</v>
      </c>
      <c r="F323" s="120">
        <v>0</v>
      </c>
      <c r="G323" s="120">
        <v>0</v>
      </c>
      <c r="H323" s="120">
        <v>0</v>
      </c>
      <c r="I323" s="120">
        <v>0</v>
      </c>
      <c r="J323" s="120">
        <v>0</v>
      </c>
      <c r="K323" s="223">
        <f t="shared" si="25"/>
        <v>0</v>
      </c>
      <c r="L323" s="266">
        <f t="shared" si="26"/>
        <v>0</v>
      </c>
      <c r="M323" s="262"/>
      <c r="N323" s="262"/>
      <c r="O323" s="262"/>
      <c r="P323" s="263"/>
      <c r="Q323" s="263"/>
      <c r="R323" s="263"/>
    </row>
    <row r="324" spans="1:18" ht="30" x14ac:dyDescent="0.25">
      <c r="A324" s="210">
        <v>8222</v>
      </c>
      <c r="B324" s="211" t="s">
        <v>558</v>
      </c>
      <c r="C324" s="258">
        <v>0</v>
      </c>
      <c r="D324" s="259">
        <v>0</v>
      </c>
      <c r="E324" s="120">
        <v>0</v>
      </c>
      <c r="F324" s="120">
        <v>0</v>
      </c>
      <c r="G324" s="120">
        <v>0</v>
      </c>
      <c r="H324" s="120">
        <v>0</v>
      </c>
      <c r="I324" s="120">
        <v>0</v>
      </c>
      <c r="J324" s="120">
        <v>0</v>
      </c>
      <c r="K324" s="223">
        <f t="shared" si="25"/>
        <v>0</v>
      </c>
      <c r="L324" s="266">
        <f t="shared" si="26"/>
        <v>0</v>
      </c>
      <c r="M324" s="262"/>
      <c r="N324" s="262"/>
      <c r="O324" s="262"/>
      <c r="P324" s="263"/>
      <c r="Q324" s="263"/>
      <c r="R324" s="263"/>
    </row>
    <row r="325" spans="1:18" ht="30" x14ac:dyDescent="0.25">
      <c r="A325" s="210">
        <v>8223</v>
      </c>
      <c r="B325" s="211" t="s">
        <v>559</v>
      </c>
      <c r="C325" s="258">
        <v>0</v>
      </c>
      <c r="D325" s="259">
        <v>0</v>
      </c>
      <c r="E325" s="120">
        <v>0</v>
      </c>
      <c r="F325" s="120">
        <v>0</v>
      </c>
      <c r="G325" s="120">
        <v>0</v>
      </c>
      <c r="H325" s="120">
        <v>0</v>
      </c>
      <c r="I325" s="120">
        <v>0</v>
      </c>
      <c r="J325" s="120">
        <v>0</v>
      </c>
      <c r="K325" s="223">
        <f t="shared" si="25"/>
        <v>0</v>
      </c>
      <c r="L325" s="266">
        <f t="shared" si="26"/>
        <v>0</v>
      </c>
      <c r="M325" s="262"/>
      <c r="N325" s="262"/>
      <c r="O325" s="262"/>
      <c r="P325" s="263"/>
      <c r="Q325" s="263"/>
      <c r="R325" s="263"/>
    </row>
    <row r="326" spans="1:18" ht="30" x14ac:dyDescent="0.25">
      <c r="A326" s="210">
        <v>8224</v>
      </c>
      <c r="B326" s="211" t="s">
        <v>560</v>
      </c>
      <c r="C326" s="258">
        <v>0</v>
      </c>
      <c r="D326" s="259">
        <v>0</v>
      </c>
      <c r="E326" s="120">
        <v>0</v>
      </c>
      <c r="F326" s="120">
        <v>0</v>
      </c>
      <c r="G326" s="120">
        <v>0</v>
      </c>
      <c r="H326" s="120">
        <v>0</v>
      </c>
      <c r="I326" s="120">
        <v>0</v>
      </c>
      <c r="J326" s="120">
        <v>0</v>
      </c>
      <c r="K326" s="223">
        <f t="shared" si="25"/>
        <v>0</v>
      </c>
      <c r="L326" s="266">
        <f t="shared" si="26"/>
        <v>0</v>
      </c>
      <c r="M326" s="262"/>
      <c r="N326" s="262"/>
      <c r="O326" s="262"/>
      <c r="P326" s="263"/>
      <c r="Q326" s="263"/>
      <c r="R326" s="263"/>
    </row>
    <row r="327" spans="1:18" ht="30" x14ac:dyDescent="0.25">
      <c r="A327" s="210">
        <v>8229</v>
      </c>
      <c r="B327" s="211" t="s">
        <v>561</v>
      </c>
      <c r="C327" s="258">
        <v>0</v>
      </c>
      <c r="D327" s="259">
        <v>0</v>
      </c>
      <c r="E327" s="120">
        <v>0</v>
      </c>
      <c r="F327" s="120">
        <v>0</v>
      </c>
      <c r="G327" s="120">
        <v>0</v>
      </c>
      <c r="H327" s="120">
        <v>0</v>
      </c>
      <c r="I327" s="120">
        <v>0</v>
      </c>
      <c r="J327" s="120">
        <v>0</v>
      </c>
      <c r="K327" s="223">
        <f t="shared" si="25"/>
        <v>0</v>
      </c>
      <c r="L327" s="266">
        <f t="shared" si="26"/>
        <v>0</v>
      </c>
      <c r="M327" s="262"/>
      <c r="N327" s="262"/>
      <c r="O327" s="262"/>
      <c r="P327" s="263"/>
      <c r="Q327" s="263"/>
      <c r="R327" s="263"/>
    </row>
    <row r="328" spans="1:18" x14ac:dyDescent="0.25">
      <c r="A328" s="210">
        <v>8231</v>
      </c>
      <c r="B328" s="211" t="s">
        <v>562</v>
      </c>
      <c r="C328" s="258">
        <v>0</v>
      </c>
      <c r="D328" s="259">
        <v>0</v>
      </c>
      <c r="E328" s="120">
        <v>0</v>
      </c>
      <c r="F328" s="120">
        <v>0</v>
      </c>
      <c r="G328" s="120">
        <v>0</v>
      </c>
      <c r="H328" s="120">
        <v>0</v>
      </c>
      <c r="I328" s="120">
        <v>0</v>
      </c>
      <c r="J328" s="120">
        <v>0</v>
      </c>
      <c r="K328" s="223">
        <f t="shared" si="25"/>
        <v>0</v>
      </c>
      <c r="L328" s="266">
        <f t="shared" si="26"/>
        <v>0</v>
      </c>
      <c r="M328" s="262"/>
      <c r="N328" s="262"/>
      <c r="O328" s="262"/>
      <c r="P328" s="263"/>
      <c r="Q328" s="263"/>
      <c r="R328" s="263"/>
    </row>
    <row r="329" spans="1:18" ht="30" x14ac:dyDescent="0.25">
      <c r="A329" s="210">
        <v>8232</v>
      </c>
      <c r="B329" s="211" t="s">
        <v>563</v>
      </c>
      <c r="C329" s="258">
        <v>0</v>
      </c>
      <c r="D329" s="259">
        <v>0</v>
      </c>
      <c r="E329" s="120">
        <v>0</v>
      </c>
      <c r="F329" s="120">
        <v>0</v>
      </c>
      <c r="G329" s="120">
        <v>0</v>
      </c>
      <c r="H329" s="120">
        <v>0</v>
      </c>
      <c r="I329" s="120">
        <v>0</v>
      </c>
      <c r="J329" s="120">
        <v>0</v>
      </c>
      <c r="K329" s="223">
        <f t="shared" si="25"/>
        <v>0</v>
      </c>
      <c r="L329" s="266">
        <f t="shared" si="26"/>
        <v>0</v>
      </c>
      <c r="M329" s="262"/>
      <c r="N329" s="262"/>
      <c r="O329" s="262"/>
      <c r="P329" s="263"/>
      <c r="Q329" s="263"/>
      <c r="R329" s="263"/>
    </row>
    <row r="330" spans="1:18" x14ac:dyDescent="0.25">
      <c r="A330" s="210">
        <v>8240</v>
      </c>
      <c r="B330" s="211" t="s">
        <v>564</v>
      </c>
      <c r="C330" s="258">
        <v>0</v>
      </c>
      <c r="D330" s="259">
        <v>0</v>
      </c>
      <c r="E330" s="120">
        <v>0</v>
      </c>
      <c r="F330" s="120">
        <v>0</v>
      </c>
      <c r="G330" s="120">
        <v>0</v>
      </c>
      <c r="H330" s="120">
        <v>0</v>
      </c>
      <c r="I330" s="120">
        <v>0</v>
      </c>
      <c r="J330" s="120">
        <v>0</v>
      </c>
      <c r="K330" s="223">
        <f t="shared" si="25"/>
        <v>0</v>
      </c>
      <c r="L330" s="266">
        <f t="shared" si="26"/>
        <v>0</v>
      </c>
      <c r="M330" s="262"/>
      <c r="N330" s="262"/>
      <c r="O330" s="262"/>
      <c r="P330" s="263"/>
      <c r="Q330" s="263"/>
      <c r="R330" s="263"/>
    </row>
    <row r="331" spans="1:18" x14ac:dyDescent="0.25">
      <c r="A331" s="210">
        <v>8251</v>
      </c>
      <c r="B331" s="211" t="s">
        <v>565</v>
      </c>
      <c r="C331" s="258">
        <v>0</v>
      </c>
      <c r="D331" s="259">
        <v>0</v>
      </c>
      <c r="E331" s="120">
        <v>0</v>
      </c>
      <c r="F331" s="120">
        <v>0</v>
      </c>
      <c r="G331" s="120">
        <v>0</v>
      </c>
      <c r="H331" s="120">
        <v>0</v>
      </c>
      <c r="I331" s="120">
        <v>0</v>
      </c>
      <c r="J331" s="120">
        <v>0</v>
      </c>
      <c r="K331" s="223">
        <f t="shared" ref="K331:K367" si="27">C331+E331-G331-I331</f>
        <v>0</v>
      </c>
      <c r="L331" s="266">
        <f t="shared" ref="L331:L367" si="28">D331+F331-H331-J331</f>
        <v>0</v>
      </c>
      <c r="M331" s="262"/>
      <c r="N331" s="262"/>
      <c r="O331" s="262"/>
      <c r="P331" s="263"/>
      <c r="Q331" s="263"/>
      <c r="R331" s="263"/>
    </row>
    <row r="332" spans="1:18" x14ac:dyDescent="0.25">
      <c r="A332" s="210">
        <v>8252</v>
      </c>
      <c r="B332" s="211" t="s">
        <v>566</v>
      </c>
      <c r="C332" s="258">
        <v>0</v>
      </c>
      <c r="D332" s="259">
        <v>0</v>
      </c>
      <c r="E332" s="120">
        <v>0</v>
      </c>
      <c r="F332" s="120">
        <v>0</v>
      </c>
      <c r="G332" s="120">
        <v>0</v>
      </c>
      <c r="H332" s="120">
        <v>0</v>
      </c>
      <c r="I332" s="120">
        <v>0</v>
      </c>
      <c r="J332" s="120">
        <v>0</v>
      </c>
      <c r="K332" s="223">
        <f t="shared" si="27"/>
        <v>0</v>
      </c>
      <c r="L332" s="266">
        <f t="shared" si="28"/>
        <v>0</v>
      </c>
      <c r="M332" s="262"/>
      <c r="N332" s="262"/>
      <c r="O332" s="262"/>
      <c r="P332" s="263"/>
      <c r="Q332" s="263"/>
      <c r="R332" s="263"/>
    </row>
    <row r="333" spans="1:18" ht="30" x14ac:dyDescent="0.25">
      <c r="A333" s="210">
        <v>8253</v>
      </c>
      <c r="B333" s="211" t="s">
        <v>567</v>
      </c>
      <c r="C333" s="258">
        <v>0</v>
      </c>
      <c r="D333" s="259">
        <v>0</v>
      </c>
      <c r="E333" s="120">
        <v>0</v>
      </c>
      <c r="F333" s="120">
        <v>0</v>
      </c>
      <c r="G333" s="120">
        <v>0</v>
      </c>
      <c r="H333" s="120">
        <v>0</v>
      </c>
      <c r="I333" s="120">
        <v>0</v>
      </c>
      <c r="J333" s="120">
        <v>0</v>
      </c>
      <c r="K333" s="223">
        <f t="shared" si="27"/>
        <v>0</v>
      </c>
      <c r="L333" s="266">
        <f t="shared" si="28"/>
        <v>0</v>
      </c>
      <c r="M333" s="262"/>
      <c r="N333" s="262"/>
      <c r="O333" s="262"/>
      <c r="P333" s="263"/>
      <c r="Q333" s="263"/>
      <c r="R333" s="263"/>
    </row>
    <row r="334" spans="1:18" ht="45" x14ac:dyDescent="0.25">
      <c r="A334" s="210">
        <v>8261</v>
      </c>
      <c r="B334" s="211" t="s">
        <v>568</v>
      </c>
      <c r="C334" s="258">
        <v>0</v>
      </c>
      <c r="D334" s="259">
        <v>0</v>
      </c>
      <c r="E334" s="120">
        <v>0</v>
      </c>
      <c r="F334" s="120">
        <v>0</v>
      </c>
      <c r="G334" s="120">
        <v>0</v>
      </c>
      <c r="H334" s="120">
        <v>0</v>
      </c>
      <c r="I334" s="120">
        <v>0</v>
      </c>
      <c r="J334" s="120">
        <v>0</v>
      </c>
      <c r="K334" s="223">
        <f t="shared" si="27"/>
        <v>0</v>
      </c>
      <c r="L334" s="266">
        <f t="shared" si="28"/>
        <v>0</v>
      </c>
      <c r="M334" s="262"/>
      <c r="N334" s="262"/>
      <c r="O334" s="262"/>
      <c r="P334" s="263"/>
      <c r="Q334" s="263"/>
      <c r="R334" s="263"/>
    </row>
    <row r="335" spans="1:18" x14ac:dyDescent="0.25">
      <c r="A335" s="210">
        <v>8262</v>
      </c>
      <c r="B335" s="211" t="s">
        <v>569</v>
      </c>
      <c r="C335" s="258">
        <v>0</v>
      </c>
      <c r="D335" s="259">
        <v>0</v>
      </c>
      <c r="E335" s="120">
        <v>0</v>
      </c>
      <c r="F335" s="120">
        <v>0</v>
      </c>
      <c r="G335" s="120">
        <v>0</v>
      </c>
      <c r="H335" s="120">
        <v>0</v>
      </c>
      <c r="I335" s="120">
        <v>0</v>
      </c>
      <c r="J335" s="120">
        <v>0</v>
      </c>
      <c r="K335" s="223">
        <f t="shared" si="27"/>
        <v>0</v>
      </c>
      <c r="L335" s="266">
        <f t="shared" si="28"/>
        <v>0</v>
      </c>
      <c r="M335" s="262"/>
      <c r="N335" s="262"/>
      <c r="O335" s="262"/>
      <c r="P335" s="263"/>
      <c r="Q335" s="263"/>
      <c r="R335" s="263"/>
    </row>
    <row r="336" spans="1:18" x14ac:dyDescent="0.25">
      <c r="A336" s="210">
        <v>8263</v>
      </c>
      <c r="B336" s="211" t="s">
        <v>570</v>
      </c>
      <c r="C336" s="258">
        <v>0</v>
      </c>
      <c r="D336" s="259">
        <v>0</v>
      </c>
      <c r="E336" s="120">
        <v>0</v>
      </c>
      <c r="F336" s="120">
        <v>0</v>
      </c>
      <c r="G336" s="120">
        <v>0</v>
      </c>
      <c r="H336" s="120">
        <v>0</v>
      </c>
      <c r="I336" s="120">
        <v>0</v>
      </c>
      <c r="J336" s="120">
        <v>0</v>
      </c>
      <c r="K336" s="223">
        <f t="shared" si="27"/>
        <v>0</v>
      </c>
      <c r="L336" s="266">
        <f t="shared" si="28"/>
        <v>0</v>
      </c>
      <c r="M336" s="262"/>
      <c r="N336" s="262"/>
      <c r="O336" s="262"/>
      <c r="P336" s="263"/>
      <c r="Q336" s="263"/>
      <c r="R336" s="263"/>
    </row>
    <row r="337" spans="1:18" ht="30" x14ac:dyDescent="0.25">
      <c r="A337" s="210">
        <v>8264</v>
      </c>
      <c r="B337" s="211" t="s">
        <v>571</v>
      </c>
      <c r="C337" s="258">
        <v>0</v>
      </c>
      <c r="D337" s="259">
        <v>0</v>
      </c>
      <c r="E337" s="120">
        <v>0</v>
      </c>
      <c r="F337" s="120">
        <v>0</v>
      </c>
      <c r="G337" s="120">
        <v>0</v>
      </c>
      <c r="H337" s="120">
        <v>0</v>
      </c>
      <c r="I337" s="120">
        <v>0</v>
      </c>
      <c r="J337" s="120">
        <v>0</v>
      </c>
      <c r="K337" s="223">
        <f t="shared" si="27"/>
        <v>0</v>
      </c>
      <c r="L337" s="266">
        <f t="shared" si="28"/>
        <v>0</v>
      </c>
      <c r="M337" s="262"/>
      <c r="N337" s="262"/>
      <c r="O337" s="262"/>
      <c r="P337" s="263"/>
      <c r="Q337" s="263"/>
      <c r="R337" s="263"/>
    </row>
    <row r="338" spans="1:18" ht="30" x14ac:dyDescent="0.25">
      <c r="A338" s="210">
        <v>8265</v>
      </c>
      <c r="B338" s="211" t="s">
        <v>572</v>
      </c>
      <c r="C338" s="258">
        <v>0</v>
      </c>
      <c r="D338" s="259">
        <v>0</v>
      </c>
      <c r="E338" s="120">
        <v>0</v>
      </c>
      <c r="F338" s="120">
        <v>0</v>
      </c>
      <c r="G338" s="120">
        <v>0</v>
      </c>
      <c r="H338" s="120">
        <v>0</v>
      </c>
      <c r="I338" s="120">
        <v>0</v>
      </c>
      <c r="J338" s="120">
        <v>0</v>
      </c>
      <c r="K338" s="223">
        <f t="shared" si="27"/>
        <v>0</v>
      </c>
      <c r="L338" s="266">
        <f t="shared" si="28"/>
        <v>0</v>
      </c>
      <c r="M338" s="262"/>
      <c r="N338" s="262"/>
      <c r="O338" s="262"/>
      <c r="P338" s="263"/>
      <c r="Q338" s="263"/>
      <c r="R338" s="263"/>
    </row>
    <row r="339" spans="1:18" ht="30" x14ac:dyDescent="0.25">
      <c r="A339" s="210">
        <v>8266</v>
      </c>
      <c r="B339" s="211" t="s">
        <v>573</v>
      </c>
      <c r="C339" s="258">
        <v>0</v>
      </c>
      <c r="D339" s="259">
        <v>0</v>
      </c>
      <c r="E339" s="120">
        <v>0</v>
      </c>
      <c r="F339" s="120">
        <v>0</v>
      </c>
      <c r="G339" s="120">
        <v>0</v>
      </c>
      <c r="H339" s="120">
        <v>0</v>
      </c>
      <c r="I339" s="120">
        <v>0</v>
      </c>
      <c r="J339" s="120">
        <v>0</v>
      </c>
      <c r="K339" s="223">
        <f t="shared" si="27"/>
        <v>0</v>
      </c>
      <c r="L339" s="266">
        <f t="shared" si="28"/>
        <v>0</v>
      </c>
      <c r="M339" s="262"/>
      <c r="N339" s="262"/>
      <c r="O339" s="262"/>
      <c r="P339" s="263"/>
      <c r="Q339" s="263"/>
      <c r="R339" s="263"/>
    </row>
    <row r="340" spans="1:18" ht="30" x14ac:dyDescent="0.25">
      <c r="A340" s="210">
        <v>8269</v>
      </c>
      <c r="B340" s="211" t="s">
        <v>574</v>
      </c>
      <c r="C340" s="258">
        <v>0</v>
      </c>
      <c r="D340" s="259">
        <v>0</v>
      </c>
      <c r="E340" s="120">
        <v>0</v>
      </c>
      <c r="F340" s="120">
        <v>0</v>
      </c>
      <c r="G340" s="120">
        <v>0</v>
      </c>
      <c r="H340" s="120">
        <v>0</v>
      </c>
      <c r="I340" s="120">
        <v>0</v>
      </c>
      <c r="J340" s="120">
        <v>0</v>
      </c>
      <c r="K340" s="223">
        <f t="shared" si="27"/>
        <v>0</v>
      </c>
      <c r="L340" s="266">
        <f t="shared" si="28"/>
        <v>0</v>
      </c>
      <c r="M340" s="262"/>
      <c r="N340" s="262"/>
      <c r="O340" s="262"/>
      <c r="P340" s="263"/>
      <c r="Q340" s="263"/>
      <c r="R340" s="263"/>
    </row>
    <row r="341" spans="1:18" ht="30" x14ac:dyDescent="0.25">
      <c r="A341" s="210">
        <v>8271</v>
      </c>
      <c r="B341" s="211" t="s">
        <v>575</v>
      </c>
      <c r="C341" s="258">
        <v>0</v>
      </c>
      <c r="D341" s="259">
        <v>0</v>
      </c>
      <c r="E341" s="120">
        <v>0</v>
      </c>
      <c r="F341" s="120">
        <v>0</v>
      </c>
      <c r="G341" s="120">
        <v>0</v>
      </c>
      <c r="H341" s="120">
        <v>0</v>
      </c>
      <c r="I341" s="120">
        <v>0</v>
      </c>
      <c r="J341" s="120">
        <v>0</v>
      </c>
      <c r="K341" s="223">
        <f t="shared" si="27"/>
        <v>0</v>
      </c>
      <c r="L341" s="266">
        <f t="shared" si="28"/>
        <v>0</v>
      </c>
      <c r="M341" s="262"/>
      <c r="N341" s="262"/>
      <c r="O341" s="262"/>
      <c r="P341" s="263"/>
      <c r="Q341" s="263"/>
      <c r="R341" s="263"/>
    </row>
    <row r="342" spans="1:18" ht="30" x14ac:dyDescent="0.25">
      <c r="A342" s="210">
        <v>8272</v>
      </c>
      <c r="B342" s="211" t="s">
        <v>576</v>
      </c>
      <c r="C342" s="258">
        <v>0</v>
      </c>
      <c r="D342" s="259">
        <v>0</v>
      </c>
      <c r="E342" s="120">
        <v>0</v>
      </c>
      <c r="F342" s="120">
        <v>0</v>
      </c>
      <c r="G342" s="120">
        <v>0</v>
      </c>
      <c r="H342" s="120">
        <v>0</v>
      </c>
      <c r="I342" s="120">
        <v>0</v>
      </c>
      <c r="J342" s="120">
        <v>0</v>
      </c>
      <c r="K342" s="223">
        <f t="shared" si="27"/>
        <v>0</v>
      </c>
      <c r="L342" s="266">
        <f t="shared" si="28"/>
        <v>0</v>
      </c>
      <c r="M342" s="262"/>
      <c r="N342" s="262"/>
      <c r="O342" s="262"/>
      <c r="P342" s="263"/>
      <c r="Q342" s="263"/>
      <c r="R342" s="263"/>
    </row>
    <row r="343" spans="1:18" ht="30" x14ac:dyDescent="0.25">
      <c r="A343" s="210">
        <v>8273</v>
      </c>
      <c r="B343" s="211" t="s">
        <v>577</v>
      </c>
      <c r="C343" s="258">
        <v>0</v>
      </c>
      <c r="D343" s="259">
        <v>0</v>
      </c>
      <c r="E343" s="120">
        <v>0</v>
      </c>
      <c r="F343" s="120">
        <v>0</v>
      </c>
      <c r="G343" s="120">
        <v>0</v>
      </c>
      <c r="H343" s="120">
        <v>0</v>
      </c>
      <c r="I343" s="120">
        <v>0</v>
      </c>
      <c r="J343" s="120">
        <v>0</v>
      </c>
      <c r="K343" s="223">
        <f t="shared" si="27"/>
        <v>0</v>
      </c>
      <c r="L343" s="266">
        <f t="shared" si="28"/>
        <v>0</v>
      </c>
      <c r="M343" s="262"/>
      <c r="N343" s="262"/>
      <c r="O343" s="262"/>
      <c r="P343" s="263"/>
      <c r="Q343" s="263"/>
      <c r="R343" s="263"/>
    </row>
    <row r="344" spans="1:18" ht="30" x14ac:dyDescent="0.25">
      <c r="A344" s="210">
        <v>8274</v>
      </c>
      <c r="B344" s="211" t="s">
        <v>578</v>
      </c>
      <c r="C344" s="258">
        <v>0</v>
      </c>
      <c r="D344" s="259">
        <v>0</v>
      </c>
      <c r="E344" s="120">
        <v>0</v>
      </c>
      <c r="F344" s="120">
        <v>0</v>
      </c>
      <c r="G344" s="120">
        <v>0</v>
      </c>
      <c r="H344" s="120">
        <v>0</v>
      </c>
      <c r="I344" s="120">
        <v>0</v>
      </c>
      <c r="J344" s="120">
        <v>0</v>
      </c>
      <c r="K344" s="223">
        <f t="shared" si="27"/>
        <v>0</v>
      </c>
      <c r="L344" s="266">
        <f t="shared" si="28"/>
        <v>0</v>
      </c>
      <c r="M344" s="262"/>
      <c r="N344" s="262"/>
      <c r="O344" s="262"/>
      <c r="P344" s="263"/>
      <c r="Q344" s="263"/>
      <c r="R344" s="263"/>
    </row>
    <row r="345" spans="1:18" ht="45" x14ac:dyDescent="0.25">
      <c r="A345" s="210">
        <v>8275</v>
      </c>
      <c r="B345" s="211" t="s">
        <v>579</v>
      </c>
      <c r="C345" s="258">
        <v>0</v>
      </c>
      <c r="D345" s="259">
        <v>0</v>
      </c>
      <c r="E345" s="120">
        <v>0</v>
      </c>
      <c r="F345" s="120">
        <v>0</v>
      </c>
      <c r="G345" s="120">
        <v>0</v>
      </c>
      <c r="H345" s="120">
        <v>0</v>
      </c>
      <c r="I345" s="120">
        <v>0</v>
      </c>
      <c r="J345" s="120">
        <v>0</v>
      </c>
      <c r="K345" s="223">
        <f t="shared" si="27"/>
        <v>0</v>
      </c>
      <c r="L345" s="266">
        <f t="shared" si="28"/>
        <v>0</v>
      </c>
      <c r="M345" s="262"/>
      <c r="N345" s="262"/>
      <c r="O345" s="262"/>
      <c r="P345" s="263"/>
      <c r="Q345" s="263"/>
      <c r="R345" s="263"/>
    </row>
    <row r="346" spans="1:18" x14ac:dyDescent="0.25">
      <c r="A346" s="210">
        <v>8276</v>
      </c>
      <c r="B346" s="211" t="s">
        <v>580</v>
      </c>
      <c r="C346" s="258">
        <v>0</v>
      </c>
      <c r="D346" s="259">
        <v>0</v>
      </c>
      <c r="E346" s="120">
        <v>0</v>
      </c>
      <c r="F346" s="120">
        <v>0</v>
      </c>
      <c r="G346" s="120">
        <v>0</v>
      </c>
      <c r="H346" s="120">
        <v>0</v>
      </c>
      <c r="I346" s="120">
        <v>0</v>
      </c>
      <c r="J346" s="120">
        <v>0</v>
      </c>
      <c r="K346" s="223">
        <f t="shared" si="27"/>
        <v>0</v>
      </c>
      <c r="L346" s="266">
        <f t="shared" si="28"/>
        <v>0</v>
      </c>
      <c r="M346" s="262"/>
      <c r="N346" s="262"/>
      <c r="O346" s="262"/>
      <c r="P346" s="263"/>
      <c r="Q346" s="263"/>
      <c r="R346" s="263"/>
    </row>
    <row r="347" spans="1:18" ht="30" x14ac:dyDescent="0.25">
      <c r="A347" s="210">
        <v>8277</v>
      </c>
      <c r="B347" s="211" t="s">
        <v>581</v>
      </c>
      <c r="C347" s="258">
        <v>0</v>
      </c>
      <c r="D347" s="259">
        <v>0</v>
      </c>
      <c r="E347" s="120">
        <v>0</v>
      </c>
      <c r="F347" s="120">
        <v>0</v>
      </c>
      <c r="G347" s="120">
        <v>0</v>
      </c>
      <c r="H347" s="120">
        <v>0</v>
      </c>
      <c r="I347" s="120">
        <v>0</v>
      </c>
      <c r="J347" s="120">
        <v>0</v>
      </c>
      <c r="K347" s="223">
        <f t="shared" si="27"/>
        <v>0</v>
      </c>
      <c r="L347" s="266">
        <f t="shared" si="28"/>
        <v>0</v>
      </c>
      <c r="M347" s="262"/>
      <c r="N347" s="262"/>
      <c r="O347" s="262"/>
      <c r="P347" s="263"/>
      <c r="Q347" s="263"/>
      <c r="R347" s="263"/>
    </row>
    <row r="348" spans="1:18" ht="45" x14ac:dyDescent="0.25">
      <c r="A348" s="210">
        <v>8278</v>
      </c>
      <c r="B348" s="211" t="s">
        <v>582</v>
      </c>
      <c r="C348" s="258">
        <v>0</v>
      </c>
      <c r="D348" s="259">
        <v>0</v>
      </c>
      <c r="E348" s="120">
        <v>0</v>
      </c>
      <c r="F348" s="120">
        <v>0</v>
      </c>
      <c r="G348" s="120">
        <v>0</v>
      </c>
      <c r="H348" s="120">
        <v>0</v>
      </c>
      <c r="I348" s="120">
        <v>0</v>
      </c>
      <c r="J348" s="120">
        <v>0</v>
      </c>
      <c r="K348" s="223">
        <f t="shared" si="27"/>
        <v>0</v>
      </c>
      <c r="L348" s="266">
        <f t="shared" si="28"/>
        <v>0</v>
      </c>
      <c r="M348" s="262"/>
      <c r="N348" s="262"/>
      <c r="O348" s="262"/>
      <c r="P348" s="263"/>
      <c r="Q348" s="263"/>
      <c r="R348" s="263"/>
    </row>
    <row r="349" spans="1:18" ht="24" customHeight="1" x14ac:dyDescent="0.25">
      <c r="A349" s="210">
        <v>8279</v>
      </c>
      <c r="B349" s="211" t="s">
        <v>583</v>
      </c>
      <c r="C349" s="258">
        <v>0</v>
      </c>
      <c r="D349" s="259">
        <v>0</v>
      </c>
      <c r="E349" s="120">
        <v>0</v>
      </c>
      <c r="F349" s="120">
        <v>0</v>
      </c>
      <c r="G349" s="120">
        <v>0</v>
      </c>
      <c r="H349" s="120">
        <v>0</v>
      </c>
      <c r="I349" s="120">
        <v>0</v>
      </c>
      <c r="J349" s="120">
        <v>0</v>
      </c>
      <c r="K349" s="223">
        <f t="shared" si="27"/>
        <v>0</v>
      </c>
      <c r="L349" s="266">
        <f t="shared" si="28"/>
        <v>0</v>
      </c>
      <c r="M349" s="262"/>
      <c r="N349" s="262"/>
      <c r="O349" s="262"/>
      <c r="P349" s="263"/>
      <c r="Q349" s="263"/>
      <c r="R349" s="263"/>
    </row>
    <row r="350" spans="1:18" x14ac:dyDescent="0.25">
      <c r="A350" s="210">
        <v>8281</v>
      </c>
      <c r="B350" s="211" t="s">
        <v>584</v>
      </c>
      <c r="C350" s="258">
        <v>93</v>
      </c>
      <c r="D350" s="259">
        <v>0</v>
      </c>
      <c r="E350" s="120">
        <v>0</v>
      </c>
      <c r="F350" s="120">
        <v>0</v>
      </c>
      <c r="G350" s="120">
        <v>0</v>
      </c>
      <c r="H350" s="120">
        <v>0</v>
      </c>
      <c r="I350" s="120">
        <v>0</v>
      </c>
      <c r="J350" s="120">
        <v>0</v>
      </c>
      <c r="K350" s="223">
        <f t="shared" si="27"/>
        <v>93</v>
      </c>
      <c r="L350" s="266">
        <f t="shared" si="28"/>
        <v>0</v>
      </c>
      <c r="M350" s="262"/>
      <c r="N350" s="262"/>
      <c r="O350" s="262"/>
      <c r="P350" s="263"/>
      <c r="Q350" s="263"/>
      <c r="R350" s="263"/>
    </row>
    <row r="351" spans="1:18" x14ac:dyDescent="0.25">
      <c r="A351" s="210">
        <v>8282</v>
      </c>
      <c r="B351" s="211" t="s">
        <v>585</v>
      </c>
      <c r="C351" s="258">
        <v>4</v>
      </c>
      <c r="D351" s="259">
        <v>0</v>
      </c>
      <c r="E351" s="120">
        <v>0</v>
      </c>
      <c r="F351" s="120">
        <v>0</v>
      </c>
      <c r="G351" s="120">
        <v>0</v>
      </c>
      <c r="H351" s="120">
        <v>0</v>
      </c>
      <c r="I351" s="120">
        <v>0</v>
      </c>
      <c r="J351" s="120">
        <v>0</v>
      </c>
      <c r="K351" s="223">
        <f t="shared" si="27"/>
        <v>4</v>
      </c>
      <c r="L351" s="266">
        <f t="shared" si="28"/>
        <v>0</v>
      </c>
      <c r="M351" s="262"/>
      <c r="N351" s="262"/>
      <c r="O351" s="262"/>
      <c r="P351" s="263"/>
      <c r="Q351" s="263"/>
      <c r="R351" s="263"/>
    </row>
    <row r="352" spans="1:18" x14ac:dyDescent="0.25">
      <c r="A352" s="210">
        <v>8283</v>
      </c>
      <c r="B352" s="211" t="s">
        <v>586</v>
      </c>
      <c r="C352" s="258">
        <v>0</v>
      </c>
      <c r="D352" s="259">
        <v>0</v>
      </c>
      <c r="E352" s="120">
        <v>0</v>
      </c>
      <c r="F352" s="120">
        <v>0</v>
      </c>
      <c r="G352" s="120">
        <v>0</v>
      </c>
      <c r="H352" s="120">
        <v>0</v>
      </c>
      <c r="I352" s="120">
        <v>0</v>
      </c>
      <c r="J352" s="120">
        <v>0</v>
      </c>
      <c r="K352" s="223">
        <f t="shared" si="27"/>
        <v>0</v>
      </c>
      <c r="L352" s="266">
        <f t="shared" si="28"/>
        <v>0</v>
      </c>
      <c r="M352" s="262"/>
      <c r="N352" s="262"/>
      <c r="O352" s="262"/>
      <c r="P352" s="263"/>
      <c r="Q352" s="263"/>
      <c r="R352" s="263"/>
    </row>
    <row r="353" spans="1:18" ht="30" x14ac:dyDescent="0.25">
      <c r="A353" s="210">
        <v>8284</v>
      </c>
      <c r="B353" s="211" t="s">
        <v>587</v>
      </c>
      <c r="C353" s="258">
        <v>0</v>
      </c>
      <c r="D353" s="259">
        <v>0</v>
      </c>
      <c r="E353" s="120">
        <v>0</v>
      </c>
      <c r="F353" s="120">
        <v>0</v>
      </c>
      <c r="G353" s="120">
        <v>0</v>
      </c>
      <c r="H353" s="120">
        <v>0</v>
      </c>
      <c r="I353" s="120">
        <v>0</v>
      </c>
      <c r="J353" s="120">
        <v>0</v>
      </c>
      <c r="K353" s="223">
        <f t="shared" si="27"/>
        <v>0</v>
      </c>
      <c r="L353" s="266">
        <f t="shared" si="28"/>
        <v>0</v>
      </c>
      <c r="M353" s="262"/>
      <c r="N353" s="262"/>
      <c r="O353" s="262"/>
      <c r="P353" s="263"/>
      <c r="Q353" s="263"/>
      <c r="R353" s="263"/>
    </row>
    <row r="354" spans="1:18" ht="30" x14ac:dyDescent="0.25">
      <c r="A354" s="210">
        <v>8285</v>
      </c>
      <c r="B354" s="211" t="s">
        <v>588</v>
      </c>
      <c r="C354" s="258">
        <v>0</v>
      </c>
      <c r="D354" s="259">
        <v>0</v>
      </c>
      <c r="E354" s="120">
        <v>0</v>
      </c>
      <c r="F354" s="120">
        <v>0</v>
      </c>
      <c r="G354" s="120">
        <v>0</v>
      </c>
      <c r="H354" s="120">
        <v>0</v>
      </c>
      <c r="I354" s="120">
        <v>0</v>
      </c>
      <c r="J354" s="120">
        <v>0</v>
      </c>
      <c r="K354" s="223">
        <f t="shared" si="27"/>
        <v>0</v>
      </c>
      <c r="L354" s="266">
        <f t="shared" si="28"/>
        <v>0</v>
      </c>
      <c r="M354" s="262"/>
      <c r="N354" s="262"/>
      <c r="O354" s="262"/>
      <c r="P354" s="263"/>
      <c r="Q354" s="263"/>
      <c r="R354" s="263"/>
    </row>
    <row r="355" spans="1:18" ht="30" x14ac:dyDescent="0.25">
      <c r="A355" s="210">
        <v>8286</v>
      </c>
      <c r="B355" s="211" t="s">
        <v>589</v>
      </c>
      <c r="C355" s="258">
        <v>0</v>
      </c>
      <c r="D355" s="259">
        <v>0</v>
      </c>
      <c r="E355" s="120">
        <v>0</v>
      </c>
      <c r="F355" s="120">
        <v>0</v>
      </c>
      <c r="G355" s="120">
        <v>0</v>
      </c>
      <c r="H355" s="120">
        <v>0</v>
      </c>
      <c r="I355" s="120">
        <v>0</v>
      </c>
      <c r="J355" s="120">
        <v>0</v>
      </c>
      <c r="K355" s="223">
        <f t="shared" si="27"/>
        <v>0</v>
      </c>
      <c r="L355" s="266">
        <f t="shared" si="28"/>
        <v>0</v>
      </c>
      <c r="M355" s="262"/>
      <c r="N355" s="262"/>
      <c r="O355" s="262"/>
      <c r="P355" s="263"/>
      <c r="Q355" s="263"/>
      <c r="R355" s="263"/>
    </row>
    <row r="356" spans="1:18" ht="24.75" customHeight="1" x14ac:dyDescent="0.25">
      <c r="A356" s="210">
        <v>8290</v>
      </c>
      <c r="B356" s="211" t="s">
        <v>590</v>
      </c>
      <c r="C356" s="258">
        <v>1</v>
      </c>
      <c r="D356" s="259">
        <v>0</v>
      </c>
      <c r="E356" s="120">
        <v>0</v>
      </c>
      <c r="F356" s="120">
        <v>0</v>
      </c>
      <c r="G356" s="120">
        <v>0</v>
      </c>
      <c r="H356" s="120">
        <v>0</v>
      </c>
      <c r="I356" s="120">
        <v>0</v>
      </c>
      <c r="J356" s="120">
        <v>0</v>
      </c>
      <c r="K356" s="223">
        <f t="shared" si="27"/>
        <v>1</v>
      </c>
      <c r="L356" s="266">
        <f t="shared" si="28"/>
        <v>0</v>
      </c>
      <c r="M356" s="262"/>
      <c r="N356" s="267"/>
      <c r="O356" s="267"/>
      <c r="P356" s="263"/>
      <c r="Q356" s="263"/>
      <c r="R356" s="263"/>
    </row>
    <row r="357" spans="1:18" x14ac:dyDescent="0.25">
      <c r="A357" s="210">
        <v>8311</v>
      </c>
      <c r="B357" s="211" t="s">
        <v>591</v>
      </c>
      <c r="C357" s="258">
        <v>0</v>
      </c>
      <c r="D357" s="259">
        <v>0</v>
      </c>
      <c r="E357" s="120">
        <v>0</v>
      </c>
      <c r="F357" s="120">
        <v>0</v>
      </c>
      <c r="G357" s="120">
        <v>0</v>
      </c>
      <c r="H357" s="120">
        <v>0</v>
      </c>
      <c r="I357" s="120">
        <v>0</v>
      </c>
      <c r="J357" s="120">
        <v>0</v>
      </c>
      <c r="K357" s="223">
        <f t="shared" si="27"/>
        <v>0</v>
      </c>
      <c r="L357" s="266">
        <f t="shared" si="28"/>
        <v>0</v>
      </c>
      <c r="M357" s="262"/>
      <c r="N357" s="262"/>
      <c r="O357" s="262"/>
      <c r="P357" s="263"/>
      <c r="Q357" s="263"/>
      <c r="R357" s="263"/>
    </row>
    <row r="358" spans="1:18" ht="30" x14ac:dyDescent="0.25">
      <c r="A358" s="210">
        <v>8312</v>
      </c>
      <c r="B358" s="211" t="s">
        <v>592</v>
      </c>
      <c r="C358" s="258">
        <v>0</v>
      </c>
      <c r="D358" s="259">
        <v>0</v>
      </c>
      <c r="E358" s="120">
        <v>0</v>
      </c>
      <c r="F358" s="120">
        <v>0</v>
      </c>
      <c r="G358" s="120">
        <v>0</v>
      </c>
      <c r="H358" s="120">
        <v>0</v>
      </c>
      <c r="I358" s="120">
        <v>0</v>
      </c>
      <c r="J358" s="120">
        <v>0</v>
      </c>
      <c r="K358" s="223">
        <f t="shared" si="27"/>
        <v>0</v>
      </c>
      <c r="L358" s="266">
        <f t="shared" si="28"/>
        <v>0</v>
      </c>
      <c r="M358" s="262"/>
      <c r="N358" s="262"/>
      <c r="O358" s="262"/>
      <c r="P358" s="263"/>
      <c r="Q358" s="263"/>
      <c r="R358" s="263"/>
    </row>
    <row r="359" spans="1:18" x14ac:dyDescent="0.25">
      <c r="A359" s="210">
        <v>8321</v>
      </c>
      <c r="B359" s="211" t="s">
        <v>593</v>
      </c>
      <c r="C359" s="258">
        <v>0</v>
      </c>
      <c r="D359" s="259">
        <v>0</v>
      </c>
      <c r="E359" s="120">
        <v>0</v>
      </c>
      <c r="F359" s="120">
        <v>0</v>
      </c>
      <c r="G359" s="120">
        <v>0</v>
      </c>
      <c r="H359" s="120">
        <v>0</v>
      </c>
      <c r="I359" s="120">
        <v>0</v>
      </c>
      <c r="J359" s="120">
        <v>0</v>
      </c>
      <c r="K359" s="223">
        <f t="shared" si="27"/>
        <v>0</v>
      </c>
      <c r="L359" s="266">
        <f t="shared" si="28"/>
        <v>0</v>
      </c>
      <c r="M359" s="262"/>
      <c r="N359" s="262"/>
      <c r="O359" s="262"/>
      <c r="P359" s="263"/>
      <c r="Q359" s="263"/>
      <c r="R359" s="263"/>
    </row>
    <row r="360" spans="1:18" ht="30" x14ac:dyDescent="0.25">
      <c r="A360" s="210">
        <v>8322</v>
      </c>
      <c r="B360" s="211" t="s">
        <v>594</v>
      </c>
      <c r="C360" s="258">
        <v>0</v>
      </c>
      <c r="D360" s="259">
        <v>0</v>
      </c>
      <c r="E360" s="120">
        <v>0</v>
      </c>
      <c r="F360" s="120">
        <v>0</v>
      </c>
      <c r="G360" s="120">
        <v>0</v>
      </c>
      <c r="H360" s="120">
        <v>0</v>
      </c>
      <c r="I360" s="120">
        <v>0</v>
      </c>
      <c r="J360" s="120">
        <v>0</v>
      </c>
      <c r="K360" s="223">
        <f t="shared" si="27"/>
        <v>0</v>
      </c>
      <c r="L360" s="266">
        <f t="shared" si="28"/>
        <v>0</v>
      </c>
      <c r="M360" s="262"/>
      <c r="N360" s="262"/>
      <c r="O360" s="262"/>
      <c r="P360" s="263"/>
      <c r="Q360" s="263"/>
      <c r="R360" s="263"/>
    </row>
    <row r="361" spans="1:18" ht="30" x14ac:dyDescent="0.25">
      <c r="A361" s="210">
        <v>8323</v>
      </c>
      <c r="B361" s="211" t="s">
        <v>595</v>
      </c>
      <c r="C361" s="258">
        <v>1</v>
      </c>
      <c r="D361" s="259">
        <v>0</v>
      </c>
      <c r="E361" s="120">
        <v>0</v>
      </c>
      <c r="F361" s="120">
        <v>0</v>
      </c>
      <c r="G361" s="120">
        <v>0</v>
      </c>
      <c r="H361" s="120">
        <v>0</v>
      </c>
      <c r="I361" s="120">
        <v>0</v>
      </c>
      <c r="J361" s="120">
        <v>0</v>
      </c>
      <c r="K361" s="223">
        <f t="shared" si="27"/>
        <v>1</v>
      </c>
      <c r="L361" s="266">
        <f t="shared" si="28"/>
        <v>0</v>
      </c>
      <c r="M361" s="262"/>
      <c r="N361" s="262"/>
      <c r="O361" s="262"/>
      <c r="P361" s="263"/>
      <c r="Q361" s="263"/>
      <c r="R361" s="263"/>
    </row>
    <row r="362" spans="1:18" ht="30" x14ac:dyDescent="0.25">
      <c r="A362" s="210">
        <v>8324</v>
      </c>
      <c r="B362" s="211" t="s">
        <v>596</v>
      </c>
      <c r="C362" s="258">
        <v>0</v>
      </c>
      <c r="D362" s="259">
        <v>0</v>
      </c>
      <c r="E362" s="120">
        <v>0</v>
      </c>
      <c r="F362" s="120">
        <v>0</v>
      </c>
      <c r="G362" s="120">
        <v>0</v>
      </c>
      <c r="H362" s="120">
        <v>0</v>
      </c>
      <c r="I362" s="120">
        <v>0</v>
      </c>
      <c r="J362" s="120">
        <v>0</v>
      </c>
      <c r="K362" s="223">
        <f t="shared" si="27"/>
        <v>0</v>
      </c>
      <c r="L362" s="266">
        <f t="shared" si="28"/>
        <v>0</v>
      </c>
      <c r="M362" s="262"/>
      <c r="N362" s="262"/>
      <c r="O362" s="262"/>
      <c r="P362" s="263"/>
      <c r="Q362" s="263"/>
      <c r="R362" s="263"/>
    </row>
    <row r="363" spans="1:18" ht="30" x14ac:dyDescent="0.25">
      <c r="A363" s="210">
        <v>8331</v>
      </c>
      <c r="B363" s="211" t="s">
        <v>597</v>
      </c>
      <c r="C363" s="258">
        <v>0</v>
      </c>
      <c r="D363" s="259">
        <v>0</v>
      </c>
      <c r="E363" s="120">
        <v>0</v>
      </c>
      <c r="F363" s="120">
        <v>0</v>
      </c>
      <c r="G363" s="120">
        <v>0</v>
      </c>
      <c r="H363" s="120">
        <v>0</v>
      </c>
      <c r="I363" s="120">
        <v>0</v>
      </c>
      <c r="J363" s="120">
        <v>0</v>
      </c>
      <c r="K363" s="223">
        <f t="shared" si="27"/>
        <v>0</v>
      </c>
      <c r="L363" s="266">
        <f t="shared" si="28"/>
        <v>0</v>
      </c>
      <c r="M363" s="262"/>
      <c r="N363" s="262"/>
      <c r="O363" s="262"/>
      <c r="P363" s="263"/>
      <c r="Q363" s="263"/>
      <c r="R363" s="263"/>
    </row>
    <row r="364" spans="1:18" ht="30" x14ac:dyDescent="0.25">
      <c r="A364" s="210">
        <v>8332</v>
      </c>
      <c r="B364" s="211" t="s">
        <v>598</v>
      </c>
      <c r="C364" s="258">
        <v>34</v>
      </c>
      <c r="D364" s="259">
        <v>0</v>
      </c>
      <c r="E364" s="120">
        <v>0</v>
      </c>
      <c r="F364" s="120">
        <v>0</v>
      </c>
      <c r="G364" s="120">
        <v>0</v>
      </c>
      <c r="H364" s="120">
        <v>0</v>
      </c>
      <c r="I364" s="120">
        <v>0</v>
      </c>
      <c r="J364" s="120">
        <v>0</v>
      </c>
      <c r="K364" s="223">
        <f t="shared" si="27"/>
        <v>34</v>
      </c>
      <c r="L364" s="266">
        <f t="shared" si="28"/>
        <v>0</v>
      </c>
      <c r="M364" s="262"/>
      <c r="N364" s="262"/>
      <c r="O364" s="262"/>
      <c r="P364" s="263"/>
      <c r="Q364" s="263"/>
      <c r="R364" s="263"/>
    </row>
    <row r="365" spans="1:18" ht="30" x14ac:dyDescent="0.25">
      <c r="A365" s="210">
        <v>8333</v>
      </c>
      <c r="B365" s="211" t="s">
        <v>599</v>
      </c>
      <c r="C365" s="258">
        <v>1</v>
      </c>
      <c r="D365" s="259">
        <v>0</v>
      </c>
      <c r="E365" s="120">
        <v>0</v>
      </c>
      <c r="F365" s="120">
        <v>0</v>
      </c>
      <c r="G365" s="120">
        <v>0</v>
      </c>
      <c r="H365" s="120">
        <v>0</v>
      </c>
      <c r="I365" s="120">
        <v>0</v>
      </c>
      <c r="J365" s="120">
        <v>0</v>
      </c>
      <c r="K365" s="223">
        <f t="shared" si="27"/>
        <v>1</v>
      </c>
      <c r="L365" s="266">
        <f t="shared" si="28"/>
        <v>0</v>
      </c>
      <c r="M365" s="262"/>
      <c r="N365" s="262"/>
      <c r="O365" s="262"/>
      <c r="P365" s="263"/>
      <c r="Q365" s="263"/>
      <c r="R365" s="263"/>
    </row>
    <row r="366" spans="1:18" x14ac:dyDescent="0.25">
      <c r="A366" s="210">
        <v>8334</v>
      </c>
      <c r="B366" s="211" t="s">
        <v>600</v>
      </c>
      <c r="C366" s="258">
        <v>135</v>
      </c>
      <c r="D366" s="259">
        <v>0</v>
      </c>
      <c r="E366" s="120">
        <v>0</v>
      </c>
      <c r="F366" s="120">
        <v>0</v>
      </c>
      <c r="G366" s="120">
        <v>0</v>
      </c>
      <c r="H366" s="120">
        <v>0</v>
      </c>
      <c r="I366" s="120">
        <v>0</v>
      </c>
      <c r="J366" s="120">
        <v>0</v>
      </c>
      <c r="K366" s="223">
        <f t="shared" si="27"/>
        <v>135</v>
      </c>
      <c r="L366" s="266">
        <f t="shared" si="28"/>
        <v>0</v>
      </c>
      <c r="M366" s="262"/>
      <c r="N366" s="262"/>
      <c r="O366" s="262"/>
      <c r="P366" s="263"/>
      <c r="Q366" s="263"/>
      <c r="R366" s="263"/>
    </row>
    <row r="367" spans="1:18" ht="15.75" thickBot="1" x14ac:dyDescent="0.3">
      <c r="A367" s="204">
        <v>8340</v>
      </c>
      <c r="B367" s="205" t="s">
        <v>601</v>
      </c>
      <c r="C367" s="256">
        <v>0</v>
      </c>
      <c r="D367" s="257">
        <v>0</v>
      </c>
      <c r="E367" s="209">
        <v>0</v>
      </c>
      <c r="F367" s="209">
        <v>0</v>
      </c>
      <c r="G367" s="120">
        <v>0</v>
      </c>
      <c r="H367" s="120">
        <v>0</v>
      </c>
      <c r="I367" s="209">
        <v>0</v>
      </c>
      <c r="J367" s="209">
        <v>0</v>
      </c>
      <c r="K367" s="221">
        <f t="shared" si="27"/>
        <v>0</v>
      </c>
      <c r="L367" s="268">
        <f t="shared" si="28"/>
        <v>0</v>
      </c>
      <c r="M367" s="262"/>
      <c r="N367" s="262"/>
      <c r="O367" s="262"/>
      <c r="P367" s="263"/>
      <c r="Q367" s="263"/>
      <c r="R367" s="263"/>
    </row>
    <row r="368" spans="1:18" ht="15.75" thickBot="1" x14ac:dyDescent="0.3">
      <c r="A368" s="254">
        <v>9</v>
      </c>
      <c r="B368" s="255" t="s">
        <v>602</v>
      </c>
      <c r="C368" s="251"/>
      <c r="D368" s="299"/>
      <c r="E368" s="218"/>
      <c r="F368" s="218"/>
      <c r="G368" s="218"/>
      <c r="H368" s="218"/>
      <c r="I368" s="218"/>
      <c r="J368" s="218"/>
      <c r="K368" s="226"/>
      <c r="L368" s="264"/>
      <c r="M368" s="262"/>
      <c r="N368" s="1"/>
      <c r="O368" s="1"/>
      <c r="P368" s="263"/>
      <c r="Q368" s="263"/>
      <c r="R368" s="263"/>
    </row>
    <row r="369" spans="1:18" x14ac:dyDescent="0.25">
      <c r="A369" s="204">
        <v>9111</v>
      </c>
      <c r="B369" s="205" t="s">
        <v>603</v>
      </c>
      <c r="C369" s="256">
        <v>0</v>
      </c>
      <c r="D369" s="257">
        <v>0</v>
      </c>
      <c r="E369" s="209">
        <v>0</v>
      </c>
      <c r="F369" s="209">
        <v>0</v>
      </c>
      <c r="G369" s="209">
        <v>0</v>
      </c>
      <c r="H369" s="209">
        <v>0</v>
      </c>
      <c r="I369" s="209">
        <v>0</v>
      </c>
      <c r="J369" s="209">
        <v>0</v>
      </c>
      <c r="K369" s="221">
        <f t="shared" ref="K369:K392" si="29">C369+E369-G369-I369</f>
        <v>0</v>
      </c>
      <c r="L369" s="268">
        <f t="shared" ref="L369:L392" si="30">D369+F369-H369-J369</f>
        <v>0</v>
      </c>
      <c r="M369" s="262"/>
      <c r="N369" s="262"/>
      <c r="O369" s="262"/>
      <c r="P369" s="263"/>
      <c r="Q369" s="263"/>
      <c r="R369" s="263"/>
    </row>
    <row r="370" spans="1:18" ht="30" x14ac:dyDescent="0.25">
      <c r="A370" s="210">
        <v>9112</v>
      </c>
      <c r="B370" s="211" t="s">
        <v>604</v>
      </c>
      <c r="C370" s="258">
        <v>0</v>
      </c>
      <c r="D370" s="259">
        <v>0</v>
      </c>
      <c r="E370" s="120">
        <v>0</v>
      </c>
      <c r="F370" s="120">
        <v>0</v>
      </c>
      <c r="G370" s="120">
        <v>0</v>
      </c>
      <c r="H370" s="120">
        <v>0</v>
      </c>
      <c r="I370" s="120">
        <v>0</v>
      </c>
      <c r="J370" s="120">
        <v>0</v>
      </c>
      <c r="K370" s="223">
        <f t="shared" si="29"/>
        <v>0</v>
      </c>
      <c r="L370" s="266">
        <f t="shared" si="30"/>
        <v>0</v>
      </c>
      <c r="M370" s="262"/>
      <c r="N370" s="262"/>
      <c r="O370" s="262"/>
      <c r="P370" s="263"/>
      <c r="Q370" s="263"/>
      <c r="R370" s="263"/>
    </row>
    <row r="371" spans="1:18" ht="30" x14ac:dyDescent="0.25">
      <c r="A371" s="210">
        <v>9113</v>
      </c>
      <c r="B371" s="211" t="s">
        <v>605</v>
      </c>
      <c r="C371" s="258">
        <v>0</v>
      </c>
      <c r="D371" s="259">
        <v>0</v>
      </c>
      <c r="E371" s="120">
        <v>0</v>
      </c>
      <c r="F371" s="120">
        <v>0</v>
      </c>
      <c r="G371" s="120">
        <v>0</v>
      </c>
      <c r="H371" s="120">
        <v>0</v>
      </c>
      <c r="I371" s="120">
        <v>0</v>
      </c>
      <c r="J371" s="120">
        <v>0</v>
      </c>
      <c r="K371" s="223">
        <f t="shared" si="29"/>
        <v>0</v>
      </c>
      <c r="L371" s="266">
        <f t="shared" si="30"/>
        <v>0</v>
      </c>
      <c r="M371" s="262"/>
      <c r="N371" s="262"/>
      <c r="O371" s="262"/>
      <c r="P371" s="263"/>
      <c r="Q371" s="263"/>
      <c r="R371" s="263"/>
    </row>
    <row r="372" spans="1:18" ht="30" x14ac:dyDescent="0.25">
      <c r="A372" s="210">
        <v>9120</v>
      </c>
      <c r="B372" s="211" t="s">
        <v>606</v>
      </c>
      <c r="C372" s="258">
        <v>0</v>
      </c>
      <c r="D372" s="259">
        <v>0</v>
      </c>
      <c r="E372" s="120">
        <v>0</v>
      </c>
      <c r="F372" s="120">
        <v>0</v>
      </c>
      <c r="G372" s="120">
        <v>0</v>
      </c>
      <c r="H372" s="120">
        <v>0</v>
      </c>
      <c r="I372" s="120">
        <v>0</v>
      </c>
      <c r="J372" s="120">
        <v>0</v>
      </c>
      <c r="K372" s="223">
        <f t="shared" si="29"/>
        <v>0</v>
      </c>
      <c r="L372" s="266">
        <f t="shared" si="30"/>
        <v>0</v>
      </c>
      <c r="M372" s="262"/>
      <c r="N372" s="262"/>
      <c r="O372" s="262"/>
      <c r="P372" s="263"/>
      <c r="Q372" s="263"/>
      <c r="R372" s="263"/>
    </row>
    <row r="373" spans="1:18" x14ac:dyDescent="0.25">
      <c r="A373" s="210">
        <v>9131</v>
      </c>
      <c r="B373" s="211" t="s">
        <v>607</v>
      </c>
      <c r="C373" s="258">
        <v>0</v>
      </c>
      <c r="D373" s="259">
        <v>0</v>
      </c>
      <c r="E373" s="120">
        <v>0</v>
      </c>
      <c r="F373" s="120">
        <v>0</v>
      </c>
      <c r="G373" s="120">
        <v>0</v>
      </c>
      <c r="H373" s="120">
        <v>0</v>
      </c>
      <c r="I373" s="120">
        <v>0</v>
      </c>
      <c r="J373" s="120">
        <v>0</v>
      </c>
      <c r="K373" s="223">
        <f t="shared" si="29"/>
        <v>0</v>
      </c>
      <c r="L373" s="266">
        <f t="shared" si="30"/>
        <v>0</v>
      </c>
      <c r="M373" s="262"/>
      <c r="N373" s="262"/>
      <c r="O373" s="262"/>
      <c r="P373" s="263"/>
      <c r="Q373" s="263"/>
      <c r="R373" s="263"/>
    </row>
    <row r="374" spans="1:18" ht="30" customHeight="1" x14ac:dyDescent="0.25">
      <c r="A374" s="210">
        <v>9132</v>
      </c>
      <c r="B374" s="211" t="s">
        <v>608</v>
      </c>
      <c r="C374" s="258">
        <v>0</v>
      </c>
      <c r="D374" s="259">
        <v>0</v>
      </c>
      <c r="E374" s="120">
        <v>0</v>
      </c>
      <c r="F374" s="120">
        <v>0</v>
      </c>
      <c r="G374" s="120">
        <v>0</v>
      </c>
      <c r="H374" s="120">
        <v>0</v>
      </c>
      <c r="I374" s="120">
        <v>0</v>
      </c>
      <c r="J374" s="120">
        <v>0</v>
      </c>
      <c r="K374" s="223">
        <f t="shared" si="29"/>
        <v>0</v>
      </c>
      <c r="L374" s="266">
        <f t="shared" si="30"/>
        <v>0</v>
      </c>
      <c r="M374" s="262"/>
      <c r="N374" s="262"/>
      <c r="O374" s="262"/>
      <c r="P374" s="263"/>
      <c r="Q374" s="263"/>
      <c r="R374" s="263"/>
    </row>
    <row r="375" spans="1:18" ht="30" x14ac:dyDescent="0.25">
      <c r="A375" s="210">
        <v>9133</v>
      </c>
      <c r="B375" s="211" t="s">
        <v>609</v>
      </c>
      <c r="C375" s="258">
        <v>0</v>
      </c>
      <c r="D375" s="259">
        <v>0</v>
      </c>
      <c r="E375" s="120">
        <v>0</v>
      </c>
      <c r="F375" s="120">
        <v>0</v>
      </c>
      <c r="G375" s="120">
        <v>0</v>
      </c>
      <c r="H375" s="120">
        <v>0</v>
      </c>
      <c r="I375" s="120">
        <v>0</v>
      </c>
      <c r="J375" s="120">
        <v>0</v>
      </c>
      <c r="K375" s="223">
        <f t="shared" si="29"/>
        <v>0</v>
      </c>
      <c r="L375" s="266">
        <f t="shared" si="30"/>
        <v>0</v>
      </c>
      <c r="M375" s="262"/>
      <c r="N375" s="262"/>
      <c r="O375" s="262"/>
      <c r="P375" s="263"/>
      <c r="Q375" s="263"/>
      <c r="R375" s="263"/>
    </row>
    <row r="376" spans="1:18" x14ac:dyDescent="0.25">
      <c r="A376" s="210">
        <v>9141</v>
      </c>
      <c r="B376" s="211" t="s">
        <v>610</v>
      </c>
      <c r="C376" s="258">
        <v>0</v>
      </c>
      <c r="D376" s="259">
        <v>0</v>
      </c>
      <c r="E376" s="120">
        <v>0</v>
      </c>
      <c r="F376" s="120">
        <v>0</v>
      </c>
      <c r="G376" s="120">
        <v>0</v>
      </c>
      <c r="H376" s="120">
        <v>0</v>
      </c>
      <c r="I376" s="120">
        <v>0</v>
      </c>
      <c r="J376" s="120">
        <v>0</v>
      </c>
      <c r="K376" s="223">
        <f t="shared" si="29"/>
        <v>0</v>
      </c>
      <c r="L376" s="266">
        <f t="shared" si="30"/>
        <v>0</v>
      </c>
      <c r="M376" s="262"/>
      <c r="N376" s="262"/>
      <c r="O376" s="262"/>
      <c r="P376" s="263"/>
      <c r="Q376" s="263"/>
      <c r="R376" s="263"/>
    </row>
    <row r="377" spans="1:18" ht="30" x14ac:dyDescent="0.25">
      <c r="A377" s="210">
        <v>9142</v>
      </c>
      <c r="B377" s="211" t="s">
        <v>611</v>
      </c>
      <c r="C377" s="258">
        <v>0</v>
      </c>
      <c r="D377" s="259">
        <v>0</v>
      </c>
      <c r="E377" s="120">
        <v>0</v>
      </c>
      <c r="F377" s="120">
        <v>0</v>
      </c>
      <c r="G377" s="120">
        <v>0</v>
      </c>
      <c r="H377" s="120">
        <v>0</v>
      </c>
      <c r="I377" s="120">
        <v>0</v>
      </c>
      <c r="J377" s="120">
        <v>0</v>
      </c>
      <c r="K377" s="223">
        <f t="shared" si="29"/>
        <v>0</v>
      </c>
      <c r="L377" s="266">
        <f t="shared" si="30"/>
        <v>0</v>
      </c>
      <c r="M377" s="262"/>
      <c r="N377" s="262"/>
      <c r="O377" s="262"/>
      <c r="P377" s="263"/>
      <c r="Q377" s="263"/>
      <c r="R377" s="263"/>
    </row>
    <row r="378" spans="1:18" ht="30" x14ac:dyDescent="0.25">
      <c r="A378" s="210">
        <v>9151</v>
      </c>
      <c r="B378" s="211" t="s">
        <v>612</v>
      </c>
      <c r="C378" s="258">
        <v>0</v>
      </c>
      <c r="D378" s="259">
        <v>0</v>
      </c>
      <c r="E378" s="120">
        <v>0</v>
      </c>
      <c r="F378" s="120">
        <v>0</v>
      </c>
      <c r="G378" s="120">
        <v>0</v>
      </c>
      <c r="H378" s="120">
        <v>0</v>
      </c>
      <c r="I378" s="120">
        <v>0</v>
      </c>
      <c r="J378" s="120">
        <v>0</v>
      </c>
      <c r="K378" s="223">
        <f t="shared" si="29"/>
        <v>0</v>
      </c>
      <c r="L378" s="266">
        <f t="shared" si="30"/>
        <v>0</v>
      </c>
      <c r="M378" s="262"/>
      <c r="N378" s="262"/>
      <c r="O378" s="262"/>
      <c r="P378" s="263"/>
      <c r="Q378" s="263"/>
      <c r="R378" s="263"/>
    </row>
    <row r="379" spans="1:18" ht="30" x14ac:dyDescent="0.25">
      <c r="A379" s="210">
        <v>9152</v>
      </c>
      <c r="B379" s="211" t="s">
        <v>613</v>
      </c>
      <c r="C379" s="258">
        <v>6</v>
      </c>
      <c r="D379" s="259">
        <v>0</v>
      </c>
      <c r="E379" s="120">
        <v>0</v>
      </c>
      <c r="F379" s="120">
        <v>0</v>
      </c>
      <c r="G379" s="120">
        <v>0</v>
      </c>
      <c r="H379" s="120">
        <v>0</v>
      </c>
      <c r="I379" s="120">
        <v>0</v>
      </c>
      <c r="J379" s="120">
        <v>0</v>
      </c>
      <c r="K379" s="223">
        <f t="shared" si="29"/>
        <v>6</v>
      </c>
      <c r="L379" s="266">
        <f t="shared" si="30"/>
        <v>0</v>
      </c>
      <c r="M379" s="262"/>
      <c r="N379" s="262"/>
      <c r="O379" s="262"/>
      <c r="P379" s="263"/>
      <c r="Q379" s="263"/>
      <c r="R379" s="263"/>
    </row>
    <row r="380" spans="1:18" ht="37.5" customHeight="1" x14ac:dyDescent="0.25">
      <c r="A380" s="210">
        <v>9153</v>
      </c>
      <c r="B380" s="211" t="s">
        <v>614</v>
      </c>
      <c r="C380" s="258">
        <v>0</v>
      </c>
      <c r="D380" s="259">
        <v>0</v>
      </c>
      <c r="E380" s="120">
        <v>0</v>
      </c>
      <c r="F380" s="120">
        <v>0</v>
      </c>
      <c r="G380" s="120">
        <v>0</v>
      </c>
      <c r="H380" s="120">
        <v>0</v>
      </c>
      <c r="I380" s="120">
        <v>0</v>
      </c>
      <c r="J380" s="120">
        <v>0</v>
      </c>
      <c r="K380" s="223">
        <f t="shared" si="29"/>
        <v>0</v>
      </c>
      <c r="L380" s="266">
        <f t="shared" si="30"/>
        <v>0</v>
      </c>
      <c r="M380" s="262"/>
      <c r="N380" s="262"/>
      <c r="O380" s="262"/>
      <c r="P380" s="263"/>
      <c r="Q380" s="263"/>
      <c r="R380" s="263"/>
    </row>
    <row r="381" spans="1:18" x14ac:dyDescent="0.25">
      <c r="A381" s="210">
        <v>9162</v>
      </c>
      <c r="B381" s="211" t="s">
        <v>615</v>
      </c>
      <c r="C381" s="258">
        <v>0</v>
      </c>
      <c r="D381" s="259">
        <v>0</v>
      </c>
      <c r="E381" s="120">
        <v>0</v>
      </c>
      <c r="F381" s="120">
        <v>0</v>
      </c>
      <c r="G381" s="120">
        <v>0</v>
      </c>
      <c r="H381" s="120">
        <v>0</v>
      </c>
      <c r="I381" s="120">
        <v>0</v>
      </c>
      <c r="J381" s="120">
        <v>0</v>
      </c>
      <c r="K381" s="223">
        <f t="shared" si="29"/>
        <v>0</v>
      </c>
      <c r="L381" s="266">
        <f t="shared" si="30"/>
        <v>0</v>
      </c>
      <c r="M381" s="262"/>
      <c r="N381" s="262"/>
      <c r="O381" s="262"/>
      <c r="P381" s="263"/>
      <c r="Q381" s="263"/>
      <c r="R381" s="263"/>
    </row>
    <row r="382" spans="1:18" ht="30" x14ac:dyDescent="0.25">
      <c r="A382" s="210">
        <v>9211</v>
      </c>
      <c r="B382" s="211" t="s">
        <v>616</v>
      </c>
      <c r="C382" s="258">
        <v>0</v>
      </c>
      <c r="D382" s="259">
        <v>0</v>
      </c>
      <c r="E382" s="120">
        <v>0</v>
      </c>
      <c r="F382" s="120">
        <v>0</v>
      </c>
      <c r="G382" s="120">
        <v>0</v>
      </c>
      <c r="H382" s="120">
        <v>0</v>
      </c>
      <c r="I382" s="120">
        <v>0</v>
      </c>
      <c r="J382" s="120">
        <v>0</v>
      </c>
      <c r="K382" s="223">
        <f t="shared" si="29"/>
        <v>0</v>
      </c>
      <c r="L382" s="266">
        <f t="shared" si="30"/>
        <v>0</v>
      </c>
      <c r="M382" s="262"/>
      <c r="N382" s="262"/>
      <c r="O382" s="262"/>
      <c r="P382" s="263"/>
      <c r="Q382" s="263"/>
      <c r="R382" s="263"/>
    </row>
    <row r="383" spans="1:18" x14ac:dyDescent="0.25">
      <c r="A383" s="210">
        <v>9212</v>
      </c>
      <c r="B383" s="211" t="s">
        <v>617</v>
      </c>
      <c r="C383" s="258">
        <v>0</v>
      </c>
      <c r="D383" s="259">
        <v>0</v>
      </c>
      <c r="E383" s="120">
        <v>0</v>
      </c>
      <c r="F383" s="120">
        <v>0</v>
      </c>
      <c r="G383" s="120">
        <v>0</v>
      </c>
      <c r="H383" s="120">
        <v>0</v>
      </c>
      <c r="I383" s="120">
        <v>0</v>
      </c>
      <c r="J383" s="120">
        <v>0</v>
      </c>
      <c r="K383" s="223">
        <f t="shared" si="29"/>
        <v>0</v>
      </c>
      <c r="L383" s="266">
        <f t="shared" si="30"/>
        <v>0</v>
      </c>
      <c r="M383" s="262"/>
      <c r="N383" s="262"/>
      <c r="O383" s="262"/>
      <c r="P383" s="263"/>
      <c r="Q383" s="263"/>
      <c r="R383" s="263"/>
    </row>
    <row r="384" spans="1:18" ht="30" x14ac:dyDescent="0.25">
      <c r="A384" s="210">
        <v>9213</v>
      </c>
      <c r="B384" s="211" t="s">
        <v>618</v>
      </c>
      <c r="C384" s="258">
        <v>0</v>
      </c>
      <c r="D384" s="259">
        <v>0</v>
      </c>
      <c r="E384" s="120">
        <v>0</v>
      </c>
      <c r="F384" s="120">
        <v>0</v>
      </c>
      <c r="G384" s="120">
        <v>0</v>
      </c>
      <c r="H384" s="120">
        <v>0</v>
      </c>
      <c r="I384" s="120">
        <v>0</v>
      </c>
      <c r="J384" s="120">
        <v>0</v>
      </c>
      <c r="K384" s="223">
        <f t="shared" si="29"/>
        <v>0</v>
      </c>
      <c r="L384" s="266">
        <f t="shared" si="30"/>
        <v>0</v>
      </c>
      <c r="M384" s="262"/>
      <c r="N384" s="262"/>
      <c r="O384" s="262"/>
      <c r="P384" s="263"/>
      <c r="Q384" s="263"/>
      <c r="R384" s="263"/>
    </row>
    <row r="385" spans="1:18" ht="30" customHeight="1" x14ac:dyDescent="0.25">
      <c r="A385" s="210">
        <v>9311</v>
      </c>
      <c r="B385" s="211" t="s">
        <v>619</v>
      </c>
      <c r="C385" s="258">
        <v>0</v>
      </c>
      <c r="D385" s="259">
        <v>0</v>
      </c>
      <c r="E385" s="120">
        <v>0</v>
      </c>
      <c r="F385" s="120">
        <v>0</v>
      </c>
      <c r="G385" s="120">
        <v>0</v>
      </c>
      <c r="H385" s="120">
        <v>0</v>
      </c>
      <c r="I385" s="120">
        <v>0</v>
      </c>
      <c r="J385" s="120">
        <v>0</v>
      </c>
      <c r="K385" s="223">
        <f t="shared" si="29"/>
        <v>0</v>
      </c>
      <c r="L385" s="266">
        <f>D385+F385-H385-J385</f>
        <v>0</v>
      </c>
      <c r="M385" s="262"/>
      <c r="N385" s="262"/>
      <c r="O385" s="262"/>
      <c r="P385" s="263"/>
      <c r="Q385" s="263"/>
      <c r="R385" s="263"/>
    </row>
    <row r="386" spans="1:18" ht="37.5" customHeight="1" x14ac:dyDescent="0.25">
      <c r="A386" s="210">
        <v>9312</v>
      </c>
      <c r="B386" s="211" t="s">
        <v>620</v>
      </c>
      <c r="C386" s="258">
        <v>0</v>
      </c>
      <c r="D386" s="259">
        <v>0</v>
      </c>
      <c r="E386" s="120">
        <v>0</v>
      </c>
      <c r="F386" s="120">
        <v>0</v>
      </c>
      <c r="G386" s="120">
        <v>0</v>
      </c>
      <c r="H386" s="120">
        <v>0</v>
      </c>
      <c r="I386" s="120">
        <v>0</v>
      </c>
      <c r="J386" s="120">
        <v>0</v>
      </c>
      <c r="K386" s="223">
        <f t="shared" si="29"/>
        <v>0</v>
      </c>
      <c r="L386" s="266">
        <f t="shared" si="30"/>
        <v>0</v>
      </c>
      <c r="M386" s="262"/>
      <c r="N386" s="262"/>
      <c r="O386" s="262"/>
      <c r="P386" s="263"/>
      <c r="Q386" s="263"/>
      <c r="R386" s="263"/>
    </row>
    <row r="387" spans="1:18" x14ac:dyDescent="0.25">
      <c r="A387" s="210">
        <v>9313</v>
      </c>
      <c r="B387" s="211" t="s">
        <v>621</v>
      </c>
      <c r="C387" s="258">
        <v>0</v>
      </c>
      <c r="D387" s="259">
        <v>0</v>
      </c>
      <c r="E387" s="120">
        <v>0</v>
      </c>
      <c r="F387" s="120">
        <v>0</v>
      </c>
      <c r="G387" s="120">
        <v>0</v>
      </c>
      <c r="H387" s="120">
        <v>0</v>
      </c>
      <c r="I387" s="120">
        <v>0</v>
      </c>
      <c r="J387" s="120">
        <v>0</v>
      </c>
      <c r="K387" s="223">
        <f t="shared" si="29"/>
        <v>0</v>
      </c>
      <c r="L387" s="266">
        <f t="shared" si="30"/>
        <v>0</v>
      </c>
      <c r="M387" s="262"/>
      <c r="N387" s="262"/>
      <c r="O387" s="262"/>
      <c r="P387" s="263"/>
      <c r="Q387" s="263"/>
      <c r="R387" s="263"/>
    </row>
    <row r="388" spans="1:18" x14ac:dyDescent="0.25">
      <c r="A388" s="210">
        <v>9321</v>
      </c>
      <c r="B388" s="211" t="s">
        <v>622</v>
      </c>
      <c r="C388" s="258">
        <v>0</v>
      </c>
      <c r="D388" s="259">
        <v>0</v>
      </c>
      <c r="E388" s="120">
        <v>0</v>
      </c>
      <c r="F388" s="120">
        <v>0</v>
      </c>
      <c r="G388" s="120">
        <v>0</v>
      </c>
      <c r="H388" s="120">
        <v>0</v>
      </c>
      <c r="I388" s="120">
        <v>0</v>
      </c>
      <c r="J388" s="120">
        <v>0</v>
      </c>
      <c r="K388" s="223">
        <f t="shared" si="29"/>
        <v>0</v>
      </c>
      <c r="L388" s="266">
        <f t="shared" si="30"/>
        <v>0</v>
      </c>
      <c r="M388" s="262"/>
      <c r="N388" s="262"/>
      <c r="O388" s="262"/>
      <c r="P388" s="263"/>
      <c r="Q388" s="263"/>
      <c r="R388" s="263"/>
    </row>
    <row r="389" spans="1:18" ht="30" x14ac:dyDescent="0.25">
      <c r="A389" s="210">
        <v>9322</v>
      </c>
      <c r="B389" s="211" t="s">
        <v>623</v>
      </c>
      <c r="C389" s="258">
        <v>0</v>
      </c>
      <c r="D389" s="259">
        <v>0</v>
      </c>
      <c r="E389" s="120">
        <v>0</v>
      </c>
      <c r="F389" s="120">
        <v>0</v>
      </c>
      <c r="G389" s="120">
        <v>0</v>
      </c>
      <c r="H389" s="120">
        <v>0</v>
      </c>
      <c r="I389" s="120">
        <v>0</v>
      </c>
      <c r="J389" s="120">
        <v>0</v>
      </c>
      <c r="K389" s="223">
        <f t="shared" si="29"/>
        <v>0</v>
      </c>
      <c r="L389" s="266">
        <f t="shared" si="30"/>
        <v>0</v>
      </c>
      <c r="M389" s="262"/>
      <c r="N389" s="262"/>
      <c r="O389" s="262"/>
      <c r="P389" s="263"/>
      <c r="Q389" s="263"/>
      <c r="R389" s="263"/>
    </row>
    <row r="390" spans="1:18" ht="30" x14ac:dyDescent="0.25">
      <c r="A390" s="210">
        <v>9331</v>
      </c>
      <c r="B390" s="211" t="s">
        <v>624</v>
      </c>
      <c r="C390" s="258">
        <v>0</v>
      </c>
      <c r="D390" s="259">
        <v>0</v>
      </c>
      <c r="E390" s="120">
        <v>0</v>
      </c>
      <c r="F390" s="120">
        <v>0</v>
      </c>
      <c r="G390" s="120">
        <v>0</v>
      </c>
      <c r="H390" s="120">
        <v>0</v>
      </c>
      <c r="I390" s="120">
        <v>0</v>
      </c>
      <c r="J390" s="120">
        <v>0</v>
      </c>
      <c r="K390" s="223">
        <f t="shared" si="29"/>
        <v>0</v>
      </c>
      <c r="L390" s="266">
        <f t="shared" si="30"/>
        <v>0</v>
      </c>
      <c r="M390" s="262"/>
      <c r="N390" s="262"/>
      <c r="O390" s="262"/>
      <c r="P390" s="263"/>
      <c r="Q390" s="263"/>
      <c r="R390" s="263"/>
    </row>
    <row r="391" spans="1:18" ht="30" x14ac:dyDescent="0.25">
      <c r="A391" s="210">
        <v>9332</v>
      </c>
      <c r="B391" s="211" t="s">
        <v>625</v>
      </c>
      <c r="C391" s="258">
        <v>0</v>
      </c>
      <c r="D391" s="259">
        <v>0</v>
      </c>
      <c r="E391" s="120">
        <v>0</v>
      </c>
      <c r="F391" s="120">
        <v>0</v>
      </c>
      <c r="G391" s="120">
        <v>0</v>
      </c>
      <c r="H391" s="120">
        <v>0</v>
      </c>
      <c r="I391" s="120">
        <v>0</v>
      </c>
      <c r="J391" s="120">
        <v>0</v>
      </c>
      <c r="K391" s="223">
        <f t="shared" si="29"/>
        <v>0</v>
      </c>
      <c r="L391" s="266">
        <f t="shared" si="30"/>
        <v>0</v>
      </c>
      <c r="M391" s="262"/>
      <c r="N391" s="262"/>
      <c r="O391" s="262"/>
      <c r="P391" s="263"/>
      <c r="Q391" s="263"/>
      <c r="R391" s="263"/>
    </row>
    <row r="392" spans="1:18" ht="15.75" thickBot="1" x14ac:dyDescent="0.3">
      <c r="A392" s="204">
        <v>9333</v>
      </c>
      <c r="B392" s="205" t="s">
        <v>626</v>
      </c>
      <c r="C392" s="256">
        <v>3</v>
      </c>
      <c r="D392" s="257">
        <v>0</v>
      </c>
      <c r="E392" s="209">
        <v>0</v>
      </c>
      <c r="F392" s="209">
        <v>0</v>
      </c>
      <c r="G392" s="209">
        <v>0</v>
      </c>
      <c r="H392" s="209">
        <v>0</v>
      </c>
      <c r="I392" s="209">
        <v>0</v>
      </c>
      <c r="J392" s="209">
        <v>0</v>
      </c>
      <c r="K392" s="221">
        <f t="shared" si="29"/>
        <v>3</v>
      </c>
      <c r="L392" s="269">
        <f t="shared" si="30"/>
        <v>0</v>
      </c>
      <c r="M392" s="262"/>
      <c r="N392" s="262"/>
      <c r="O392" s="262"/>
      <c r="P392" s="263"/>
      <c r="Q392" s="263"/>
      <c r="R392" s="263"/>
    </row>
    <row r="393" spans="1:18" ht="22.5" customHeight="1" thickBot="1" x14ac:dyDescent="0.3">
      <c r="A393" s="456" t="s">
        <v>3</v>
      </c>
      <c r="B393" s="465"/>
      <c r="C393" s="270">
        <f>SUM(C9:C392)</f>
        <v>485</v>
      </c>
      <c r="D393" s="271">
        <f>SUM(D9:D392)</f>
        <v>17</v>
      </c>
      <c r="E393" s="197">
        <f t="shared" ref="E393:J393" si="31">SUM(E9:E392)</f>
        <v>0</v>
      </c>
      <c r="F393" s="197">
        <f t="shared" si="31"/>
        <v>0</v>
      </c>
      <c r="G393" s="197">
        <f t="shared" si="31"/>
        <v>0</v>
      </c>
      <c r="H393" s="197">
        <f t="shared" si="31"/>
        <v>0</v>
      </c>
      <c r="I393" s="197">
        <f t="shared" si="31"/>
        <v>0</v>
      </c>
      <c r="J393" s="197">
        <f t="shared" si="31"/>
        <v>0</v>
      </c>
      <c r="K393" s="244">
        <f t="shared" ref="K393" si="32">C393+E393-G393-I393</f>
        <v>485</v>
      </c>
      <c r="L393" s="272">
        <f t="shared" ref="L393" si="33">D393+F393-H393-J393</f>
        <v>17</v>
      </c>
      <c r="M393" s="273"/>
      <c r="N393" s="273"/>
    </row>
  </sheetData>
  <mergeCells count="14">
    <mergeCell ref="A1:L1"/>
    <mergeCell ref="A2:L2"/>
    <mergeCell ref="A3:L3"/>
    <mergeCell ref="A4:L4"/>
    <mergeCell ref="C5:D5"/>
    <mergeCell ref="E5:F5"/>
    <mergeCell ref="G5:H5"/>
    <mergeCell ref="I5:J5"/>
    <mergeCell ref="K5:L5"/>
    <mergeCell ref="A7:B7"/>
    <mergeCell ref="N40:O40"/>
    <mergeCell ref="A393:B393"/>
    <mergeCell ref="A5:A6"/>
    <mergeCell ref="B5:B6"/>
  </mergeCells>
  <printOptions horizontalCentered="1"/>
  <pageMargins left="0.50902777777777797" right="0.22916666666666699" top="0.38888888888888901" bottom="0.42916666666666697" header="0.27916666666666701" footer="0.30902777777777801"/>
  <pageSetup paperSize="9" scale="7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70"/>
  <sheetViews>
    <sheetView view="pageBreakPreview" topLeftCell="B257" zoomScaleNormal="100" workbookViewId="0">
      <selection activeCell="L275" sqref="L275"/>
    </sheetView>
  </sheetViews>
  <sheetFormatPr defaultColWidth="9.140625" defaultRowHeight="15" x14ac:dyDescent="0.25"/>
  <cols>
    <col min="1" max="1" width="7.42578125" customWidth="1"/>
    <col min="2" max="2" width="34.7109375" customWidth="1"/>
    <col min="3" max="12" width="7.28515625" customWidth="1"/>
  </cols>
  <sheetData>
    <row r="1" spans="1:12" ht="19.5" x14ac:dyDescent="0.3">
      <c r="A1" s="462" t="s">
        <v>642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</row>
    <row r="2" spans="1:12" ht="19.5" x14ac:dyDescent="0.3">
      <c r="A2" s="462" t="s">
        <v>643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2" ht="18.75" customHeight="1" x14ac:dyDescent="0.3">
      <c r="A3" s="474" t="str">
        <f>'ipk3.5'!A3</f>
        <v>PADA TANGGAL : 1 AGUSTUS 2025 s/d  31 AGUSTUS 2025</v>
      </c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</row>
    <row r="4" spans="1:12" x14ac:dyDescent="0.25">
      <c r="A4" s="464"/>
      <c r="B4" s="464"/>
      <c r="C4" s="464"/>
      <c r="D4" s="464"/>
      <c r="E4" s="464"/>
      <c r="F4" s="464"/>
      <c r="G4" s="464"/>
      <c r="H4" s="464"/>
      <c r="I4" s="464"/>
      <c r="J4" s="464"/>
      <c r="K4" s="464"/>
      <c r="L4" s="464"/>
    </row>
    <row r="5" spans="1:12" ht="37.5" customHeight="1" x14ac:dyDescent="0.25">
      <c r="A5" s="453" t="s">
        <v>31</v>
      </c>
      <c r="B5" s="453" t="s">
        <v>644</v>
      </c>
      <c r="C5" s="456" t="s">
        <v>33</v>
      </c>
      <c r="D5" s="457"/>
      <c r="E5" s="456" t="s">
        <v>34</v>
      </c>
      <c r="F5" s="457"/>
      <c r="G5" s="456" t="s">
        <v>35</v>
      </c>
      <c r="H5" s="457"/>
      <c r="I5" s="456" t="s">
        <v>243</v>
      </c>
      <c r="J5" s="457"/>
      <c r="K5" s="456" t="s">
        <v>37</v>
      </c>
      <c r="L5" s="457"/>
    </row>
    <row r="6" spans="1:12" x14ac:dyDescent="0.25">
      <c r="A6" s="455"/>
      <c r="B6" s="455"/>
      <c r="C6" s="198" t="s">
        <v>9</v>
      </c>
      <c r="D6" s="198" t="s">
        <v>20</v>
      </c>
      <c r="E6" s="198" t="s">
        <v>9</v>
      </c>
      <c r="F6" s="198" t="s">
        <v>20</v>
      </c>
      <c r="G6" s="198" t="s">
        <v>9</v>
      </c>
      <c r="H6" s="198" t="s">
        <v>20</v>
      </c>
      <c r="I6" s="198" t="s">
        <v>9</v>
      </c>
      <c r="J6" s="198" t="s">
        <v>20</v>
      </c>
      <c r="K6" s="198" t="s">
        <v>9</v>
      </c>
      <c r="L6" s="198" t="s">
        <v>20</v>
      </c>
    </row>
    <row r="7" spans="1:12" x14ac:dyDescent="0.25">
      <c r="A7" s="476">
        <v>1</v>
      </c>
      <c r="B7" s="478"/>
      <c r="C7" s="199">
        <v>2</v>
      </c>
      <c r="D7" s="199">
        <v>3</v>
      </c>
      <c r="E7" s="199">
        <v>4</v>
      </c>
      <c r="F7" s="199">
        <v>5</v>
      </c>
      <c r="G7" s="199">
        <v>6</v>
      </c>
      <c r="H7" s="199">
        <v>7</v>
      </c>
      <c r="I7" s="199">
        <v>8</v>
      </c>
      <c r="J7" s="199">
        <v>9</v>
      </c>
      <c r="K7" s="199">
        <v>10</v>
      </c>
      <c r="L7" s="219">
        <v>11</v>
      </c>
    </row>
    <row r="8" spans="1:12" ht="30.75" thickBot="1" x14ac:dyDescent="0.3">
      <c r="A8" s="200" t="s">
        <v>645</v>
      </c>
      <c r="B8" s="201" t="s">
        <v>646</v>
      </c>
      <c r="C8" s="202"/>
      <c r="D8" s="202"/>
      <c r="E8" s="202"/>
      <c r="F8" s="203"/>
      <c r="G8" s="203"/>
      <c r="H8" s="203"/>
      <c r="I8" s="203"/>
      <c r="J8" s="203"/>
      <c r="K8" s="203"/>
      <c r="L8" s="220"/>
    </row>
    <row r="9" spans="1:12" x14ac:dyDescent="0.25">
      <c r="A9" s="204">
        <v>11</v>
      </c>
      <c r="B9" s="205" t="s">
        <v>647</v>
      </c>
      <c r="C9" s="206">
        <v>0</v>
      </c>
      <c r="D9" s="207">
        <v>0</v>
      </c>
      <c r="E9" s="208">
        <v>0</v>
      </c>
      <c r="F9" s="209">
        <v>0</v>
      </c>
      <c r="G9" s="209">
        <v>0</v>
      </c>
      <c r="H9" s="209">
        <v>0</v>
      </c>
      <c r="I9" s="208">
        <v>0</v>
      </c>
      <c r="J9" s="209">
        <v>0</v>
      </c>
      <c r="K9" s="221">
        <f t="shared" ref="K9:K20" si="0">C9+E9-G9-I9</f>
        <v>0</v>
      </c>
      <c r="L9" s="222">
        <f t="shared" ref="L9:L20" si="1">D9+F9-H9-J9</f>
        <v>0</v>
      </c>
    </row>
    <row r="10" spans="1:12" ht="17.25" customHeight="1" x14ac:dyDescent="0.25">
      <c r="A10" s="210">
        <v>12</v>
      </c>
      <c r="B10" s="211" t="s">
        <v>648</v>
      </c>
      <c r="C10" s="212">
        <v>147</v>
      </c>
      <c r="D10" s="213">
        <v>7</v>
      </c>
      <c r="E10" s="120">
        <v>0</v>
      </c>
      <c r="F10" s="120">
        <v>0</v>
      </c>
      <c r="G10" s="120">
        <v>0</v>
      </c>
      <c r="H10" s="120">
        <v>0</v>
      </c>
      <c r="I10" s="120">
        <v>0</v>
      </c>
      <c r="J10" s="120">
        <v>0</v>
      </c>
      <c r="K10" s="223">
        <f t="shared" si="0"/>
        <v>147</v>
      </c>
      <c r="L10" s="224">
        <f t="shared" si="1"/>
        <v>7</v>
      </c>
    </row>
    <row r="11" spans="1:12" ht="30.75" customHeight="1" x14ac:dyDescent="0.25">
      <c r="A11" s="210">
        <v>13</v>
      </c>
      <c r="B11" s="211" t="s">
        <v>649</v>
      </c>
      <c r="C11" s="212">
        <v>0</v>
      </c>
      <c r="D11" s="213">
        <v>0</v>
      </c>
      <c r="E11" s="120">
        <v>0</v>
      </c>
      <c r="F11" s="120">
        <v>0</v>
      </c>
      <c r="G11" s="120">
        <v>0</v>
      </c>
      <c r="H11" s="120">
        <v>0</v>
      </c>
      <c r="I11" s="120">
        <v>0</v>
      </c>
      <c r="J11" s="120">
        <v>0</v>
      </c>
      <c r="K11" s="223">
        <f t="shared" si="0"/>
        <v>0</v>
      </c>
      <c r="L11" s="224">
        <f t="shared" si="1"/>
        <v>0</v>
      </c>
    </row>
    <row r="12" spans="1:12" x14ac:dyDescent="0.25">
      <c r="A12" s="210">
        <v>14</v>
      </c>
      <c r="B12" s="211" t="s">
        <v>163</v>
      </c>
      <c r="C12" s="212">
        <v>0</v>
      </c>
      <c r="D12" s="213">
        <v>0</v>
      </c>
      <c r="E12" s="120">
        <v>0</v>
      </c>
      <c r="F12" s="120">
        <v>0</v>
      </c>
      <c r="G12" s="120">
        <v>0</v>
      </c>
      <c r="H12" s="120">
        <v>0</v>
      </c>
      <c r="I12" s="120">
        <v>0</v>
      </c>
      <c r="J12" s="120">
        <v>0</v>
      </c>
      <c r="K12" s="223">
        <f t="shared" si="0"/>
        <v>0</v>
      </c>
      <c r="L12" s="224">
        <f t="shared" si="1"/>
        <v>0</v>
      </c>
    </row>
    <row r="13" spans="1:12" ht="30" customHeight="1" x14ac:dyDescent="0.25">
      <c r="A13" s="210">
        <v>16</v>
      </c>
      <c r="B13" s="211" t="s">
        <v>650</v>
      </c>
      <c r="C13" s="212">
        <v>0</v>
      </c>
      <c r="D13" s="213">
        <v>0</v>
      </c>
      <c r="E13" s="120">
        <v>0</v>
      </c>
      <c r="F13" s="120">
        <v>0</v>
      </c>
      <c r="G13" s="120">
        <v>0</v>
      </c>
      <c r="H13" s="120">
        <v>0</v>
      </c>
      <c r="I13" s="120">
        <v>0</v>
      </c>
      <c r="J13" s="120">
        <v>0</v>
      </c>
      <c r="K13" s="223">
        <f t="shared" si="0"/>
        <v>0</v>
      </c>
      <c r="L13" s="224">
        <f t="shared" si="1"/>
        <v>0</v>
      </c>
    </row>
    <row r="14" spans="1:12" ht="30" customHeight="1" x14ac:dyDescent="0.25">
      <c r="A14" s="210">
        <v>17</v>
      </c>
      <c r="B14" s="211" t="s">
        <v>651</v>
      </c>
      <c r="C14" s="212">
        <v>0</v>
      </c>
      <c r="D14" s="213">
        <v>0</v>
      </c>
      <c r="E14" s="120">
        <v>0</v>
      </c>
      <c r="F14" s="120">
        <v>0</v>
      </c>
      <c r="G14" s="120">
        <v>0</v>
      </c>
      <c r="H14" s="120">
        <v>0</v>
      </c>
      <c r="I14" s="120">
        <v>0</v>
      </c>
      <c r="J14" s="120">
        <v>0</v>
      </c>
      <c r="K14" s="223">
        <f t="shared" si="0"/>
        <v>0</v>
      </c>
      <c r="L14" s="224">
        <f t="shared" si="1"/>
        <v>0</v>
      </c>
    </row>
    <row r="15" spans="1:12" x14ac:dyDescent="0.25">
      <c r="A15" s="210">
        <v>21</v>
      </c>
      <c r="B15" s="211" t="s">
        <v>652</v>
      </c>
      <c r="C15" s="212">
        <v>0</v>
      </c>
      <c r="D15" s="213">
        <v>0</v>
      </c>
      <c r="E15" s="120">
        <v>0</v>
      </c>
      <c r="F15" s="120">
        <v>0</v>
      </c>
      <c r="G15" s="120">
        <v>0</v>
      </c>
      <c r="H15" s="120">
        <v>0</v>
      </c>
      <c r="I15" s="120">
        <v>0</v>
      </c>
      <c r="J15" s="120">
        <v>0</v>
      </c>
      <c r="K15" s="223">
        <f t="shared" si="0"/>
        <v>0</v>
      </c>
      <c r="L15" s="224">
        <f t="shared" si="1"/>
        <v>0</v>
      </c>
    </row>
    <row r="16" spans="1:12" ht="30" x14ac:dyDescent="0.25">
      <c r="A16" s="210">
        <v>22</v>
      </c>
      <c r="B16" s="211" t="s">
        <v>653</v>
      </c>
      <c r="C16" s="212">
        <v>0</v>
      </c>
      <c r="D16" s="213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223">
        <f t="shared" si="0"/>
        <v>0</v>
      </c>
      <c r="L16" s="224">
        <f t="shared" si="1"/>
        <v>0</v>
      </c>
    </row>
    <row r="17" spans="1:12" ht="30" x14ac:dyDescent="0.25">
      <c r="A17" s="210">
        <v>23</v>
      </c>
      <c r="B17" s="211" t="s">
        <v>654</v>
      </c>
      <c r="C17" s="212">
        <v>0</v>
      </c>
      <c r="D17" s="213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223">
        <f t="shared" si="0"/>
        <v>0</v>
      </c>
      <c r="L17" s="224">
        <f t="shared" si="1"/>
        <v>0</v>
      </c>
    </row>
    <row r="18" spans="1:12" x14ac:dyDescent="0.25">
      <c r="A18" s="210">
        <v>24</v>
      </c>
      <c r="B18" s="211" t="s">
        <v>655</v>
      </c>
      <c r="C18" s="212">
        <v>0</v>
      </c>
      <c r="D18" s="213">
        <v>0</v>
      </c>
      <c r="E18" s="120"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223">
        <f t="shared" si="0"/>
        <v>0</v>
      </c>
      <c r="L18" s="224">
        <f t="shared" si="1"/>
        <v>0</v>
      </c>
    </row>
    <row r="19" spans="1:12" x14ac:dyDescent="0.25">
      <c r="A19" s="210">
        <v>31</v>
      </c>
      <c r="B19" s="211" t="s">
        <v>656</v>
      </c>
      <c r="C19" s="212">
        <v>0</v>
      </c>
      <c r="D19" s="213">
        <v>0</v>
      </c>
      <c r="E19" s="120">
        <v>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223">
        <f t="shared" si="0"/>
        <v>0</v>
      </c>
      <c r="L19" s="224">
        <f t="shared" si="1"/>
        <v>0</v>
      </c>
    </row>
    <row r="20" spans="1:12" ht="15.75" thickBot="1" x14ac:dyDescent="0.3">
      <c r="A20" s="204">
        <v>32</v>
      </c>
      <c r="B20" s="205" t="s">
        <v>657</v>
      </c>
      <c r="C20" s="214">
        <v>0</v>
      </c>
      <c r="D20" s="215">
        <v>0</v>
      </c>
      <c r="E20" s="209">
        <v>0</v>
      </c>
      <c r="F20" s="209">
        <v>0</v>
      </c>
      <c r="G20" s="209">
        <v>0</v>
      </c>
      <c r="H20" s="209">
        <v>0</v>
      </c>
      <c r="I20" s="209">
        <v>0</v>
      </c>
      <c r="J20" s="209">
        <v>0</v>
      </c>
      <c r="K20" s="221">
        <f t="shared" si="0"/>
        <v>0</v>
      </c>
      <c r="L20" s="225">
        <f t="shared" si="1"/>
        <v>0</v>
      </c>
    </row>
    <row r="21" spans="1:12" ht="15.75" thickBot="1" x14ac:dyDescent="0.3">
      <c r="A21" s="216" t="s">
        <v>658</v>
      </c>
      <c r="B21" s="217" t="s">
        <v>659</v>
      </c>
      <c r="C21" s="426"/>
      <c r="D21" s="427"/>
      <c r="E21" s="427"/>
      <c r="F21" s="427"/>
      <c r="G21" s="427"/>
      <c r="H21" s="427"/>
      <c r="I21" s="218"/>
      <c r="J21" s="218"/>
      <c r="K21" s="427"/>
      <c r="L21" s="435"/>
    </row>
    <row r="22" spans="1:12" x14ac:dyDescent="0.25">
      <c r="A22" s="204">
        <v>51</v>
      </c>
      <c r="B22" s="205" t="s">
        <v>660</v>
      </c>
      <c r="C22" s="214">
        <v>305</v>
      </c>
      <c r="D22" s="215">
        <v>0</v>
      </c>
      <c r="E22" s="209">
        <v>0</v>
      </c>
      <c r="F22" s="209">
        <v>0</v>
      </c>
      <c r="G22" s="209">
        <v>0</v>
      </c>
      <c r="H22" s="209">
        <v>0</v>
      </c>
      <c r="I22" s="209">
        <v>0</v>
      </c>
      <c r="J22" s="209">
        <v>0</v>
      </c>
      <c r="K22" s="225">
        <f>C22+E22-G22-I22</f>
        <v>305</v>
      </c>
      <c r="L22" s="225">
        <f t="shared" ref="L22:L32" si="2">D22+F22-H22-J22</f>
        <v>0</v>
      </c>
    </row>
    <row r="23" spans="1:12" x14ac:dyDescent="0.25">
      <c r="A23" s="210">
        <v>52</v>
      </c>
      <c r="B23" s="211" t="s">
        <v>661</v>
      </c>
      <c r="C23" s="212">
        <v>0</v>
      </c>
      <c r="D23" s="213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223">
        <f t="shared" ref="K23:K32" si="3">C23+E23-G23-I23</f>
        <v>0</v>
      </c>
      <c r="L23" s="224">
        <f t="shared" si="2"/>
        <v>0</v>
      </c>
    </row>
    <row r="24" spans="1:12" x14ac:dyDescent="0.25">
      <c r="A24" s="210">
        <v>61</v>
      </c>
      <c r="B24" s="211" t="s">
        <v>662</v>
      </c>
      <c r="C24" s="212">
        <v>0</v>
      </c>
      <c r="D24" s="213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223">
        <f t="shared" si="3"/>
        <v>0</v>
      </c>
      <c r="L24" s="224">
        <f t="shared" si="2"/>
        <v>0</v>
      </c>
    </row>
    <row r="25" spans="1:12" ht="30" x14ac:dyDescent="0.25">
      <c r="A25" s="210">
        <v>62</v>
      </c>
      <c r="B25" s="211" t="s">
        <v>663</v>
      </c>
      <c r="C25" s="212">
        <v>0</v>
      </c>
      <c r="D25" s="213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223">
        <f t="shared" si="3"/>
        <v>0</v>
      </c>
      <c r="L25" s="224">
        <f t="shared" si="2"/>
        <v>0</v>
      </c>
    </row>
    <row r="26" spans="1:12" ht="30" x14ac:dyDescent="0.25">
      <c r="A26" s="210">
        <v>71</v>
      </c>
      <c r="B26" s="211" t="s">
        <v>664</v>
      </c>
      <c r="C26" s="212">
        <v>0</v>
      </c>
      <c r="D26" s="213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223">
        <f t="shared" si="3"/>
        <v>0</v>
      </c>
      <c r="L26" s="224">
        <f t="shared" si="2"/>
        <v>0</v>
      </c>
    </row>
    <row r="27" spans="1:12" ht="45" customHeight="1" x14ac:dyDescent="0.25">
      <c r="A27" s="210">
        <v>72</v>
      </c>
      <c r="B27" s="211" t="s">
        <v>665</v>
      </c>
      <c r="C27" s="212">
        <v>0</v>
      </c>
      <c r="D27" s="213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223">
        <f t="shared" si="3"/>
        <v>0</v>
      </c>
      <c r="L27" s="224">
        <f t="shared" si="2"/>
        <v>0</v>
      </c>
    </row>
    <row r="28" spans="1:12" ht="15" customHeight="1" x14ac:dyDescent="0.25">
      <c r="A28" s="210">
        <v>73</v>
      </c>
      <c r="B28" s="211" t="s">
        <v>666</v>
      </c>
      <c r="C28" s="212">
        <v>0</v>
      </c>
      <c r="D28" s="213">
        <v>0</v>
      </c>
      <c r="E28" s="120"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223">
        <f t="shared" si="3"/>
        <v>0</v>
      </c>
      <c r="L28" s="224">
        <f t="shared" si="2"/>
        <v>0</v>
      </c>
    </row>
    <row r="29" spans="1:12" ht="30" x14ac:dyDescent="0.25">
      <c r="A29" s="210">
        <v>81</v>
      </c>
      <c r="B29" s="211" t="s">
        <v>667</v>
      </c>
      <c r="C29" s="212">
        <v>0</v>
      </c>
      <c r="D29" s="213">
        <v>0</v>
      </c>
      <c r="E29" s="120">
        <v>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223">
        <f t="shared" si="3"/>
        <v>0</v>
      </c>
      <c r="L29" s="224">
        <f t="shared" si="2"/>
        <v>0</v>
      </c>
    </row>
    <row r="30" spans="1:12" ht="30" x14ac:dyDescent="0.25">
      <c r="A30" s="210">
        <v>89</v>
      </c>
      <c r="B30" s="211" t="s">
        <v>668</v>
      </c>
      <c r="C30" s="212">
        <v>0</v>
      </c>
      <c r="D30" s="213">
        <v>0</v>
      </c>
      <c r="E30" s="120"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223">
        <f t="shared" si="3"/>
        <v>0</v>
      </c>
      <c r="L30" s="224">
        <f t="shared" si="2"/>
        <v>0</v>
      </c>
    </row>
    <row r="31" spans="1:12" ht="30" x14ac:dyDescent="0.25">
      <c r="A31" s="210">
        <v>91</v>
      </c>
      <c r="B31" s="211" t="s">
        <v>669</v>
      </c>
      <c r="C31" s="212">
        <v>0</v>
      </c>
      <c r="D31" s="213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223">
        <f t="shared" si="3"/>
        <v>0</v>
      </c>
      <c r="L31" s="224">
        <f t="shared" si="2"/>
        <v>0</v>
      </c>
    </row>
    <row r="32" spans="1:12" ht="30.75" thickBot="1" x14ac:dyDescent="0.3">
      <c r="A32" s="204">
        <v>99</v>
      </c>
      <c r="B32" s="205" t="s">
        <v>670</v>
      </c>
      <c r="C32" s="214">
        <v>4</v>
      </c>
      <c r="D32" s="215">
        <v>1</v>
      </c>
      <c r="E32" s="209">
        <v>0</v>
      </c>
      <c r="F32" s="209">
        <v>0</v>
      </c>
      <c r="G32" s="209">
        <v>0</v>
      </c>
      <c r="H32" s="209">
        <v>0</v>
      </c>
      <c r="I32" s="209">
        <v>0</v>
      </c>
      <c r="J32" s="209">
        <v>0</v>
      </c>
      <c r="K32" s="221">
        <f t="shared" si="3"/>
        <v>4</v>
      </c>
      <c r="L32" s="225">
        <f t="shared" si="2"/>
        <v>1</v>
      </c>
    </row>
    <row r="33" spans="1:12" ht="15.75" thickBot="1" x14ac:dyDescent="0.3">
      <c r="A33" s="216" t="s">
        <v>671</v>
      </c>
      <c r="B33" s="217" t="s">
        <v>672</v>
      </c>
      <c r="C33" s="426"/>
      <c r="D33" s="427"/>
      <c r="E33" s="427"/>
      <c r="F33" s="218"/>
      <c r="G33" s="218"/>
      <c r="H33" s="218"/>
      <c r="I33" s="218"/>
      <c r="J33" s="218"/>
      <c r="K33" s="226"/>
      <c r="L33" s="227"/>
    </row>
    <row r="34" spans="1:12" ht="30" x14ac:dyDescent="0.25">
      <c r="A34" s="204">
        <v>101</v>
      </c>
      <c r="B34" s="205" t="s">
        <v>673</v>
      </c>
      <c r="C34" s="214">
        <v>0</v>
      </c>
      <c r="D34" s="215">
        <v>0</v>
      </c>
      <c r="E34" s="209">
        <v>0</v>
      </c>
      <c r="F34" s="209">
        <v>0</v>
      </c>
      <c r="G34" s="209">
        <v>0</v>
      </c>
      <c r="H34" s="209">
        <v>0</v>
      </c>
      <c r="I34" s="209">
        <v>0</v>
      </c>
      <c r="J34" s="209">
        <v>0</v>
      </c>
      <c r="K34" s="221">
        <f t="shared" ref="K34:K97" si="4">C34+E34-G34-I34</f>
        <v>0</v>
      </c>
      <c r="L34" s="225">
        <f t="shared" ref="L34:L97" si="5">D34+F34-H34-J34</f>
        <v>0</v>
      </c>
    </row>
    <row r="35" spans="1:12" ht="30" x14ac:dyDescent="0.25">
      <c r="A35" s="210">
        <v>102</v>
      </c>
      <c r="B35" s="211" t="s">
        <v>674</v>
      </c>
      <c r="C35" s="212">
        <v>0</v>
      </c>
      <c r="D35" s="213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223">
        <f t="shared" si="4"/>
        <v>0</v>
      </c>
      <c r="L35" s="224">
        <f t="shared" si="5"/>
        <v>0</v>
      </c>
    </row>
    <row r="36" spans="1:12" ht="45" x14ac:dyDescent="0.25">
      <c r="A36" s="210">
        <v>103</v>
      </c>
      <c r="B36" s="211" t="s">
        <v>675</v>
      </c>
      <c r="C36" s="212">
        <v>0</v>
      </c>
      <c r="D36" s="213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223">
        <f t="shared" si="4"/>
        <v>0</v>
      </c>
      <c r="L36" s="224">
        <f t="shared" si="5"/>
        <v>0</v>
      </c>
    </row>
    <row r="37" spans="1:12" ht="30" x14ac:dyDescent="0.25">
      <c r="A37" s="210">
        <v>104</v>
      </c>
      <c r="B37" s="211" t="s">
        <v>676</v>
      </c>
      <c r="C37" s="212">
        <v>0</v>
      </c>
      <c r="D37" s="213">
        <v>0</v>
      </c>
      <c r="E37" s="120"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223">
        <f t="shared" si="4"/>
        <v>0</v>
      </c>
      <c r="L37" s="224">
        <f t="shared" si="5"/>
        <v>0</v>
      </c>
    </row>
    <row r="38" spans="1:12" ht="30" x14ac:dyDescent="0.25">
      <c r="A38" s="210">
        <v>105</v>
      </c>
      <c r="B38" s="211" t="s">
        <v>677</v>
      </c>
      <c r="C38" s="212">
        <v>0</v>
      </c>
      <c r="D38" s="213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223">
        <f t="shared" si="4"/>
        <v>0</v>
      </c>
      <c r="L38" s="224">
        <f t="shared" si="5"/>
        <v>0</v>
      </c>
    </row>
    <row r="39" spans="1:12" ht="30" x14ac:dyDescent="0.25">
      <c r="A39" s="210">
        <v>106</v>
      </c>
      <c r="B39" s="211" t="s">
        <v>678</v>
      </c>
      <c r="C39" s="212">
        <v>0</v>
      </c>
      <c r="D39" s="213">
        <v>0</v>
      </c>
      <c r="E39" s="120">
        <v>0</v>
      </c>
      <c r="F39" s="120">
        <v>0</v>
      </c>
      <c r="G39" s="120">
        <v>0</v>
      </c>
      <c r="H39" s="120">
        <v>0</v>
      </c>
      <c r="I39" s="120">
        <v>0</v>
      </c>
      <c r="J39" s="120">
        <v>0</v>
      </c>
      <c r="K39" s="223">
        <f t="shared" si="4"/>
        <v>0</v>
      </c>
      <c r="L39" s="224">
        <f t="shared" si="5"/>
        <v>0</v>
      </c>
    </row>
    <row r="40" spans="1:12" x14ac:dyDescent="0.25">
      <c r="A40" s="210">
        <v>107</v>
      </c>
      <c r="B40" s="211" t="s">
        <v>679</v>
      </c>
      <c r="C40" s="212">
        <v>0</v>
      </c>
      <c r="D40" s="213">
        <v>0</v>
      </c>
      <c r="E40" s="120">
        <v>0</v>
      </c>
      <c r="F40" s="120">
        <v>0</v>
      </c>
      <c r="G40" s="120">
        <v>0</v>
      </c>
      <c r="H40" s="120">
        <v>0</v>
      </c>
      <c r="I40" s="120">
        <v>0</v>
      </c>
      <c r="J40" s="120">
        <v>0</v>
      </c>
      <c r="K40" s="223">
        <f t="shared" si="4"/>
        <v>0</v>
      </c>
      <c r="L40" s="224">
        <f t="shared" si="5"/>
        <v>0</v>
      </c>
    </row>
    <row r="41" spans="1:12" x14ac:dyDescent="0.25">
      <c r="A41" s="210">
        <v>108</v>
      </c>
      <c r="B41" s="211" t="s">
        <v>680</v>
      </c>
      <c r="C41" s="212">
        <v>0</v>
      </c>
      <c r="D41" s="213">
        <v>0</v>
      </c>
      <c r="E41" s="120">
        <v>0</v>
      </c>
      <c r="F41" s="120">
        <v>0</v>
      </c>
      <c r="G41" s="120">
        <v>0</v>
      </c>
      <c r="H41" s="120">
        <v>0</v>
      </c>
      <c r="I41" s="120">
        <v>0</v>
      </c>
      <c r="J41" s="120">
        <v>0</v>
      </c>
      <c r="K41" s="223">
        <f t="shared" si="4"/>
        <v>0</v>
      </c>
      <c r="L41" s="224">
        <f t="shared" si="5"/>
        <v>0</v>
      </c>
    </row>
    <row r="42" spans="1:12" x14ac:dyDescent="0.25">
      <c r="A42" s="210">
        <v>110</v>
      </c>
      <c r="B42" s="211" t="s">
        <v>681</v>
      </c>
      <c r="C42" s="212">
        <v>0</v>
      </c>
      <c r="D42" s="213">
        <v>0</v>
      </c>
      <c r="E42" s="120">
        <v>0</v>
      </c>
      <c r="F42" s="120">
        <v>0</v>
      </c>
      <c r="G42" s="120">
        <v>0</v>
      </c>
      <c r="H42" s="120">
        <v>0</v>
      </c>
      <c r="I42" s="120">
        <v>0</v>
      </c>
      <c r="J42" s="120">
        <v>0</v>
      </c>
      <c r="K42" s="223">
        <f t="shared" si="4"/>
        <v>0</v>
      </c>
      <c r="L42" s="224">
        <f t="shared" si="5"/>
        <v>0</v>
      </c>
    </row>
    <row r="43" spans="1:12" x14ac:dyDescent="0.25">
      <c r="A43" s="210">
        <v>120</v>
      </c>
      <c r="B43" s="211" t="s">
        <v>682</v>
      </c>
      <c r="C43" s="212">
        <v>0</v>
      </c>
      <c r="D43" s="213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223">
        <f t="shared" si="4"/>
        <v>0</v>
      </c>
      <c r="L43" s="224">
        <f t="shared" si="5"/>
        <v>0</v>
      </c>
    </row>
    <row r="44" spans="1:12" ht="30" x14ac:dyDescent="0.25">
      <c r="A44" s="210">
        <v>131</v>
      </c>
      <c r="B44" s="211" t="s">
        <v>683</v>
      </c>
      <c r="C44" s="212">
        <v>0</v>
      </c>
      <c r="D44" s="213">
        <v>0</v>
      </c>
      <c r="E44" s="120">
        <v>0</v>
      </c>
      <c r="F44" s="120">
        <v>0</v>
      </c>
      <c r="G44" s="120">
        <v>0</v>
      </c>
      <c r="H44" s="120">
        <v>0</v>
      </c>
      <c r="I44" s="120">
        <v>0</v>
      </c>
      <c r="J44" s="120">
        <v>0</v>
      </c>
      <c r="K44" s="223">
        <f t="shared" si="4"/>
        <v>0</v>
      </c>
      <c r="L44" s="224">
        <f t="shared" si="5"/>
        <v>0</v>
      </c>
    </row>
    <row r="45" spans="1:12" x14ac:dyDescent="0.25">
      <c r="A45" s="210">
        <v>139</v>
      </c>
      <c r="B45" s="211" t="s">
        <v>684</v>
      </c>
      <c r="C45" s="212">
        <v>0</v>
      </c>
      <c r="D45" s="213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223">
        <f t="shared" si="4"/>
        <v>0</v>
      </c>
      <c r="L45" s="224">
        <f t="shared" si="5"/>
        <v>0</v>
      </c>
    </row>
    <row r="46" spans="1:12" ht="45" customHeight="1" x14ac:dyDescent="0.25">
      <c r="A46" s="210">
        <v>141</v>
      </c>
      <c r="B46" s="211" t="s">
        <v>685</v>
      </c>
      <c r="C46" s="212">
        <v>0</v>
      </c>
      <c r="D46" s="213">
        <v>0</v>
      </c>
      <c r="E46" s="120"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223">
        <f t="shared" si="4"/>
        <v>0</v>
      </c>
      <c r="L46" s="224">
        <f t="shared" si="5"/>
        <v>0</v>
      </c>
    </row>
    <row r="47" spans="1:12" ht="30" x14ac:dyDescent="0.25">
      <c r="A47" s="210">
        <v>142</v>
      </c>
      <c r="B47" s="211" t="s">
        <v>686</v>
      </c>
      <c r="C47" s="212">
        <v>0</v>
      </c>
      <c r="D47" s="213">
        <v>0</v>
      </c>
      <c r="E47" s="120">
        <v>0</v>
      </c>
      <c r="F47" s="120">
        <v>0</v>
      </c>
      <c r="G47" s="120">
        <v>0</v>
      </c>
      <c r="H47" s="120">
        <v>0</v>
      </c>
      <c r="I47" s="120">
        <v>0</v>
      </c>
      <c r="J47" s="120">
        <v>0</v>
      </c>
      <c r="K47" s="223">
        <f t="shared" si="4"/>
        <v>0</v>
      </c>
      <c r="L47" s="224">
        <f t="shared" si="5"/>
        <v>0</v>
      </c>
    </row>
    <row r="48" spans="1:12" ht="30" customHeight="1" x14ac:dyDescent="0.25">
      <c r="A48" s="210">
        <v>143</v>
      </c>
      <c r="B48" s="211" t="s">
        <v>687</v>
      </c>
      <c r="C48" s="212">
        <v>0</v>
      </c>
      <c r="D48" s="213">
        <v>0</v>
      </c>
      <c r="E48" s="120">
        <v>0</v>
      </c>
      <c r="F48" s="120">
        <v>0</v>
      </c>
      <c r="G48" s="120">
        <v>0</v>
      </c>
      <c r="H48" s="120">
        <v>0</v>
      </c>
      <c r="I48" s="120">
        <v>0</v>
      </c>
      <c r="J48" s="120">
        <v>0</v>
      </c>
      <c r="K48" s="223">
        <f t="shared" si="4"/>
        <v>0</v>
      </c>
      <c r="L48" s="224">
        <f t="shared" si="5"/>
        <v>0</v>
      </c>
    </row>
    <row r="49" spans="1:12" ht="30" customHeight="1" x14ac:dyDescent="0.25">
      <c r="A49" s="210">
        <v>151</v>
      </c>
      <c r="B49" s="211" t="s">
        <v>688</v>
      </c>
      <c r="C49" s="212">
        <v>0</v>
      </c>
      <c r="D49" s="213">
        <v>0</v>
      </c>
      <c r="E49" s="120"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223">
        <f t="shared" si="4"/>
        <v>0</v>
      </c>
      <c r="L49" s="224">
        <f t="shared" si="5"/>
        <v>0</v>
      </c>
    </row>
    <row r="50" spans="1:12" x14ac:dyDescent="0.25">
      <c r="A50" s="210">
        <v>152</v>
      </c>
      <c r="B50" s="211" t="s">
        <v>689</v>
      </c>
      <c r="C50" s="212">
        <v>0</v>
      </c>
      <c r="D50" s="213">
        <v>0</v>
      </c>
      <c r="E50" s="120"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223">
        <f t="shared" si="4"/>
        <v>0</v>
      </c>
      <c r="L50" s="224">
        <f t="shared" si="5"/>
        <v>0</v>
      </c>
    </row>
    <row r="51" spans="1:12" ht="45" x14ac:dyDescent="0.25">
      <c r="A51" s="210">
        <v>161</v>
      </c>
      <c r="B51" s="211" t="s">
        <v>690</v>
      </c>
      <c r="C51" s="212">
        <v>0</v>
      </c>
      <c r="D51" s="213">
        <v>0</v>
      </c>
      <c r="E51" s="120">
        <v>0</v>
      </c>
      <c r="F51" s="120">
        <v>0</v>
      </c>
      <c r="G51" s="120">
        <v>0</v>
      </c>
      <c r="H51" s="120">
        <v>0</v>
      </c>
      <c r="I51" s="120">
        <v>0</v>
      </c>
      <c r="J51" s="120">
        <v>0</v>
      </c>
      <c r="K51" s="223">
        <f t="shared" si="4"/>
        <v>0</v>
      </c>
      <c r="L51" s="224">
        <f t="shared" si="5"/>
        <v>0</v>
      </c>
    </row>
    <row r="52" spans="1:12" ht="60" customHeight="1" x14ac:dyDescent="0.25">
      <c r="A52" s="210">
        <v>162</v>
      </c>
      <c r="B52" s="211" t="s">
        <v>691</v>
      </c>
      <c r="C52" s="212">
        <v>0</v>
      </c>
      <c r="D52" s="213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223">
        <f t="shared" si="4"/>
        <v>0</v>
      </c>
      <c r="L52" s="224">
        <f t="shared" si="5"/>
        <v>0</v>
      </c>
    </row>
    <row r="53" spans="1:12" ht="30" x14ac:dyDescent="0.25">
      <c r="A53" s="210">
        <v>170</v>
      </c>
      <c r="B53" s="211" t="s">
        <v>692</v>
      </c>
      <c r="C53" s="212">
        <v>0</v>
      </c>
      <c r="D53" s="213">
        <v>0</v>
      </c>
      <c r="E53" s="120">
        <v>0</v>
      </c>
      <c r="F53" s="120">
        <v>0</v>
      </c>
      <c r="G53" s="120">
        <v>0</v>
      </c>
      <c r="H53" s="120">
        <v>0</v>
      </c>
      <c r="I53" s="120">
        <v>0</v>
      </c>
      <c r="J53" s="120">
        <v>0</v>
      </c>
      <c r="K53" s="223">
        <f t="shared" si="4"/>
        <v>0</v>
      </c>
      <c r="L53" s="224">
        <f t="shared" si="5"/>
        <v>0</v>
      </c>
    </row>
    <row r="54" spans="1:12" ht="30" x14ac:dyDescent="0.25">
      <c r="A54" s="210">
        <v>181</v>
      </c>
      <c r="B54" s="211" t="s">
        <v>693</v>
      </c>
      <c r="C54" s="212">
        <v>0</v>
      </c>
      <c r="D54" s="213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223">
        <f t="shared" si="4"/>
        <v>0</v>
      </c>
      <c r="L54" s="224">
        <f t="shared" si="5"/>
        <v>0</v>
      </c>
    </row>
    <row r="55" spans="1:12" x14ac:dyDescent="0.25">
      <c r="A55" s="210">
        <v>182</v>
      </c>
      <c r="B55" s="211" t="s">
        <v>694</v>
      </c>
      <c r="C55" s="212">
        <v>0</v>
      </c>
      <c r="D55" s="213">
        <v>0</v>
      </c>
      <c r="E55" s="120"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223">
        <f t="shared" si="4"/>
        <v>0</v>
      </c>
      <c r="L55" s="224">
        <f t="shared" si="5"/>
        <v>0</v>
      </c>
    </row>
    <row r="56" spans="1:12" x14ac:dyDescent="0.25">
      <c r="A56" s="210">
        <v>191</v>
      </c>
      <c r="B56" s="211" t="s">
        <v>695</v>
      </c>
      <c r="C56" s="212">
        <v>0</v>
      </c>
      <c r="D56" s="213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223">
        <f t="shared" si="4"/>
        <v>0</v>
      </c>
      <c r="L56" s="224">
        <f t="shared" si="5"/>
        <v>0</v>
      </c>
    </row>
    <row r="57" spans="1:12" ht="30" x14ac:dyDescent="0.25">
      <c r="A57" s="210">
        <v>192</v>
      </c>
      <c r="B57" s="211" t="s">
        <v>696</v>
      </c>
      <c r="C57" s="212">
        <v>0</v>
      </c>
      <c r="D57" s="213">
        <v>0</v>
      </c>
      <c r="E57" s="120"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223">
        <f t="shared" si="4"/>
        <v>0</v>
      </c>
      <c r="L57" s="224">
        <f t="shared" si="5"/>
        <v>0</v>
      </c>
    </row>
    <row r="58" spans="1:12" x14ac:dyDescent="0.25">
      <c r="A58" s="210">
        <v>201</v>
      </c>
      <c r="B58" s="211" t="s">
        <v>697</v>
      </c>
      <c r="C58" s="212">
        <v>0</v>
      </c>
      <c r="D58" s="213">
        <v>0</v>
      </c>
      <c r="E58" s="120">
        <v>0</v>
      </c>
      <c r="F58" s="120">
        <v>0</v>
      </c>
      <c r="G58" s="120">
        <v>0</v>
      </c>
      <c r="H58" s="120">
        <v>0</v>
      </c>
      <c r="I58" s="120">
        <v>0</v>
      </c>
      <c r="J58" s="120">
        <v>0</v>
      </c>
      <c r="K58" s="223">
        <f t="shared" si="4"/>
        <v>0</v>
      </c>
      <c r="L58" s="224">
        <f t="shared" si="5"/>
        <v>0</v>
      </c>
    </row>
    <row r="59" spans="1:12" ht="15" customHeight="1" x14ac:dyDescent="0.25">
      <c r="A59" s="210">
        <v>202</v>
      </c>
      <c r="B59" s="211" t="s">
        <v>698</v>
      </c>
      <c r="C59" s="212">
        <v>0</v>
      </c>
      <c r="D59" s="213">
        <v>0</v>
      </c>
      <c r="E59" s="120"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223">
        <f t="shared" si="4"/>
        <v>0</v>
      </c>
      <c r="L59" s="224">
        <f t="shared" si="5"/>
        <v>0</v>
      </c>
    </row>
    <row r="60" spans="1:12" x14ac:dyDescent="0.25">
      <c r="A60" s="210">
        <v>203</v>
      </c>
      <c r="B60" s="211" t="s">
        <v>699</v>
      </c>
      <c r="C60" s="212">
        <v>0</v>
      </c>
      <c r="D60" s="213">
        <v>0</v>
      </c>
      <c r="E60" s="120">
        <v>0</v>
      </c>
      <c r="F60" s="120">
        <v>0</v>
      </c>
      <c r="G60" s="120">
        <v>0</v>
      </c>
      <c r="H60" s="120">
        <v>0</v>
      </c>
      <c r="I60" s="120">
        <v>0</v>
      </c>
      <c r="J60" s="120">
        <v>0</v>
      </c>
      <c r="K60" s="223">
        <f t="shared" si="4"/>
        <v>0</v>
      </c>
      <c r="L60" s="224">
        <f t="shared" si="5"/>
        <v>0</v>
      </c>
    </row>
    <row r="61" spans="1:12" ht="30" customHeight="1" x14ac:dyDescent="0.25">
      <c r="A61" s="210">
        <v>210</v>
      </c>
      <c r="B61" s="211" t="s">
        <v>700</v>
      </c>
      <c r="C61" s="212">
        <v>0</v>
      </c>
      <c r="D61" s="213">
        <v>0</v>
      </c>
      <c r="E61" s="120">
        <v>0</v>
      </c>
      <c r="F61" s="120">
        <v>0</v>
      </c>
      <c r="G61" s="120">
        <v>0</v>
      </c>
      <c r="H61" s="120">
        <v>0</v>
      </c>
      <c r="I61" s="120">
        <v>0</v>
      </c>
      <c r="J61" s="120">
        <v>0</v>
      </c>
      <c r="K61" s="223">
        <f t="shared" si="4"/>
        <v>0</v>
      </c>
      <c r="L61" s="224">
        <f t="shared" si="5"/>
        <v>0</v>
      </c>
    </row>
    <row r="62" spans="1:12" ht="30" x14ac:dyDescent="0.25">
      <c r="A62" s="210">
        <v>221</v>
      </c>
      <c r="B62" s="211" t="s">
        <v>701</v>
      </c>
      <c r="C62" s="212">
        <v>0</v>
      </c>
      <c r="D62" s="213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223">
        <f t="shared" si="4"/>
        <v>0</v>
      </c>
      <c r="L62" s="224">
        <f t="shared" si="5"/>
        <v>0</v>
      </c>
    </row>
    <row r="63" spans="1:12" x14ac:dyDescent="0.25">
      <c r="A63" s="210">
        <v>222</v>
      </c>
      <c r="B63" s="211" t="s">
        <v>702</v>
      </c>
      <c r="C63" s="212">
        <v>0</v>
      </c>
      <c r="D63" s="213">
        <v>0</v>
      </c>
      <c r="E63" s="120"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223">
        <f t="shared" si="4"/>
        <v>0</v>
      </c>
      <c r="L63" s="224">
        <f t="shared" si="5"/>
        <v>0</v>
      </c>
    </row>
    <row r="64" spans="1:12" ht="30" x14ac:dyDescent="0.25">
      <c r="A64" s="210">
        <v>231</v>
      </c>
      <c r="B64" s="211" t="s">
        <v>703</v>
      </c>
      <c r="C64" s="212">
        <v>0</v>
      </c>
      <c r="D64" s="213">
        <v>0</v>
      </c>
      <c r="E64" s="120"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223">
        <f t="shared" si="4"/>
        <v>0</v>
      </c>
      <c r="L64" s="224">
        <f t="shared" si="5"/>
        <v>0</v>
      </c>
    </row>
    <row r="65" spans="1:12" ht="30" x14ac:dyDescent="0.25">
      <c r="A65" s="210">
        <v>239</v>
      </c>
      <c r="B65" s="211" t="s">
        <v>704</v>
      </c>
      <c r="C65" s="212">
        <v>0</v>
      </c>
      <c r="D65" s="213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223">
        <f t="shared" si="4"/>
        <v>0</v>
      </c>
      <c r="L65" s="224">
        <f t="shared" si="5"/>
        <v>0</v>
      </c>
    </row>
    <row r="66" spans="1:12" ht="30" x14ac:dyDescent="0.25">
      <c r="A66" s="210">
        <v>241</v>
      </c>
      <c r="B66" s="211" t="s">
        <v>705</v>
      </c>
      <c r="C66" s="212">
        <v>0</v>
      </c>
      <c r="D66" s="213">
        <v>0</v>
      </c>
      <c r="E66" s="120"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223">
        <f t="shared" si="4"/>
        <v>0</v>
      </c>
      <c r="L66" s="224">
        <f t="shared" si="5"/>
        <v>0</v>
      </c>
    </row>
    <row r="67" spans="1:12" ht="30" x14ac:dyDescent="0.25">
      <c r="A67" s="210">
        <v>242</v>
      </c>
      <c r="B67" s="211" t="s">
        <v>706</v>
      </c>
      <c r="C67" s="212">
        <v>0</v>
      </c>
      <c r="D67" s="213">
        <v>0</v>
      </c>
      <c r="E67" s="120"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223">
        <f t="shared" si="4"/>
        <v>0</v>
      </c>
      <c r="L67" s="224">
        <f t="shared" si="5"/>
        <v>0</v>
      </c>
    </row>
    <row r="68" spans="1:12" x14ac:dyDescent="0.25">
      <c r="A68" s="210">
        <v>243</v>
      </c>
      <c r="B68" s="211" t="s">
        <v>707</v>
      </c>
      <c r="C68" s="212">
        <v>0</v>
      </c>
      <c r="D68" s="213">
        <v>0</v>
      </c>
      <c r="E68" s="120"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223">
        <f t="shared" si="4"/>
        <v>0</v>
      </c>
      <c r="L68" s="224">
        <f t="shared" si="5"/>
        <v>0</v>
      </c>
    </row>
    <row r="69" spans="1:12" ht="45" customHeight="1" x14ac:dyDescent="0.25">
      <c r="A69" s="210">
        <v>251</v>
      </c>
      <c r="B69" s="211" t="s">
        <v>708</v>
      </c>
      <c r="C69" s="212">
        <v>0</v>
      </c>
      <c r="D69" s="213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223">
        <f t="shared" si="4"/>
        <v>0</v>
      </c>
      <c r="L69" s="224">
        <f t="shared" si="5"/>
        <v>0</v>
      </c>
    </row>
    <row r="70" spans="1:12" ht="23.25" customHeight="1" x14ac:dyDescent="0.25">
      <c r="A70" s="210">
        <v>252</v>
      </c>
      <c r="B70" s="211" t="s">
        <v>709</v>
      </c>
      <c r="C70" s="212">
        <v>0</v>
      </c>
      <c r="D70" s="213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223">
        <f t="shared" si="4"/>
        <v>0</v>
      </c>
      <c r="L70" s="224">
        <f t="shared" si="5"/>
        <v>0</v>
      </c>
    </row>
    <row r="71" spans="1:12" ht="45" x14ac:dyDescent="0.25">
      <c r="A71" s="210">
        <v>259</v>
      </c>
      <c r="B71" s="211" t="s">
        <v>710</v>
      </c>
      <c r="C71" s="212">
        <v>0</v>
      </c>
      <c r="D71" s="213">
        <v>0</v>
      </c>
      <c r="E71" s="120"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223">
        <f t="shared" si="4"/>
        <v>0</v>
      </c>
      <c r="L71" s="224">
        <f t="shared" si="5"/>
        <v>0</v>
      </c>
    </row>
    <row r="72" spans="1:12" ht="30" x14ac:dyDescent="0.25">
      <c r="A72" s="210">
        <v>261</v>
      </c>
      <c r="B72" s="211" t="s">
        <v>711</v>
      </c>
      <c r="C72" s="212">
        <v>0</v>
      </c>
      <c r="D72" s="213">
        <v>0</v>
      </c>
      <c r="E72" s="120"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223">
        <f t="shared" si="4"/>
        <v>0</v>
      </c>
      <c r="L72" s="224">
        <f t="shared" si="5"/>
        <v>0</v>
      </c>
    </row>
    <row r="73" spans="1:12" ht="30" x14ac:dyDescent="0.25">
      <c r="A73" s="210">
        <v>262</v>
      </c>
      <c r="B73" s="211" t="s">
        <v>712</v>
      </c>
      <c r="C73" s="212">
        <v>0</v>
      </c>
      <c r="D73" s="213">
        <v>0</v>
      </c>
      <c r="E73" s="120">
        <v>0</v>
      </c>
      <c r="F73" s="120">
        <v>0</v>
      </c>
      <c r="G73" s="120">
        <v>0</v>
      </c>
      <c r="H73" s="120">
        <v>0</v>
      </c>
      <c r="I73" s="120">
        <v>0</v>
      </c>
      <c r="J73" s="120">
        <v>0</v>
      </c>
      <c r="K73" s="223">
        <f t="shared" si="4"/>
        <v>0</v>
      </c>
      <c r="L73" s="224">
        <f t="shared" si="5"/>
        <v>0</v>
      </c>
    </row>
    <row r="74" spans="1:12" x14ac:dyDescent="0.25">
      <c r="A74" s="210">
        <v>263</v>
      </c>
      <c r="B74" s="211" t="s">
        <v>713</v>
      </c>
      <c r="C74" s="212">
        <v>0</v>
      </c>
      <c r="D74" s="213">
        <v>0</v>
      </c>
      <c r="E74" s="120">
        <v>0</v>
      </c>
      <c r="F74" s="120">
        <v>0</v>
      </c>
      <c r="G74" s="120">
        <v>0</v>
      </c>
      <c r="H74" s="120">
        <v>0</v>
      </c>
      <c r="I74" s="120">
        <v>0</v>
      </c>
      <c r="J74" s="120">
        <v>0</v>
      </c>
      <c r="K74" s="223">
        <f t="shared" si="4"/>
        <v>0</v>
      </c>
      <c r="L74" s="224">
        <f t="shared" si="5"/>
        <v>0</v>
      </c>
    </row>
    <row r="75" spans="1:12" ht="30" customHeight="1" x14ac:dyDescent="0.25">
      <c r="A75" s="210">
        <v>264</v>
      </c>
      <c r="B75" s="211" t="s">
        <v>714</v>
      </c>
      <c r="C75" s="212">
        <v>0</v>
      </c>
      <c r="D75" s="213">
        <v>0</v>
      </c>
      <c r="E75" s="120">
        <v>0</v>
      </c>
      <c r="F75" s="120">
        <v>0</v>
      </c>
      <c r="G75" s="120">
        <v>0</v>
      </c>
      <c r="H75" s="120">
        <v>0</v>
      </c>
      <c r="I75" s="120">
        <v>0</v>
      </c>
      <c r="J75" s="120">
        <v>0</v>
      </c>
      <c r="K75" s="223">
        <f t="shared" si="4"/>
        <v>0</v>
      </c>
      <c r="L75" s="224">
        <f t="shared" si="5"/>
        <v>0</v>
      </c>
    </row>
    <row r="76" spans="1:12" ht="45" customHeight="1" x14ac:dyDescent="0.25">
      <c r="A76" s="210">
        <v>265</v>
      </c>
      <c r="B76" s="211" t="s">
        <v>715</v>
      </c>
      <c r="C76" s="212">
        <v>0</v>
      </c>
      <c r="D76" s="213">
        <v>0</v>
      </c>
      <c r="E76" s="120">
        <v>0</v>
      </c>
      <c r="F76" s="120">
        <v>0</v>
      </c>
      <c r="G76" s="120">
        <v>0</v>
      </c>
      <c r="H76" s="120">
        <v>0</v>
      </c>
      <c r="I76" s="120">
        <v>0</v>
      </c>
      <c r="J76" s="120">
        <v>0</v>
      </c>
      <c r="K76" s="223">
        <f t="shared" si="4"/>
        <v>0</v>
      </c>
      <c r="L76" s="224">
        <f t="shared" si="5"/>
        <v>0</v>
      </c>
    </row>
    <row r="77" spans="1:12" ht="30" customHeight="1" x14ac:dyDescent="0.25">
      <c r="A77" s="210">
        <v>266</v>
      </c>
      <c r="B77" s="211" t="s">
        <v>716</v>
      </c>
      <c r="C77" s="212">
        <v>0</v>
      </c>
      <c r="D77" s="213">
        <v>0</v>
      </c>
      <c r="E77" s="120">
        <v>0</v>
      </c>
      <c r="F77" s="120">
        <v>0</v>
      </c>
      <c r="G77" s="120">
        <v>0</v>
      </c>
      <c r="H77" s="120">
        <v>0</v>
      </c>
      <c r="I77" s="120">
        <v>0</v>
      </c>
      <c r="J77" s="120">
        <v>0</v>
      </c>
      <c r="K77" s="223">
        <f t="shared" si="4"/>
        <v>0</v>
      </c>
      <c r="L77" s="224">
        <f t="shared" si="5"/>
        <v>0</v>
      </c>
    </row>
    <row r="78" spans="1:12" ht="45" x14ac:dyDescent="0.25">
      <c r="A78" s="210">
        <v>267</v>
      </c>
      <c r="B78" s="211" t="s">
        <v>717</v>
      </c>
      <c r="C78" s="212">
        <v>0</v>
      </c>
      <c r="D78" s="213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223">
        <f t="shared" si="4"/>
        <v>0</v>
      </c>
      <c r="L78" s="224">
        <f t="shared" si="5"/>
        <v>0</v>
      </c>
    </row>
    <row r="79" spans="1:12" ht="30" x14ac:dyDescent="0.25">
      <c r="A79" s="210">
        <v>268</v>
      </c>
      <c r="B79" s="211" t="s">
        <v>718</v>
      </c>
      <c r="C79" s="212">
        <v>0</v>
      </c>
      <c r="D79" s="213">
        <v>0</v>
      </c>
      <c r="E79" s="120">
        <v>0</v>
      </c>
      <c r="F79" s="120">
        <v>0</v>
      </c>
      <c r="G79" s="120">
        <v>0</v>
      </c>
      <c r="H79" s="120">
        <v>0</v>
      </c>
      <c r="I79" s="120">
        <v>0</v>
      </c>
      <c r="J79" s="120">
        <v>0</v>
      </c>
      <c r="K79" s="223">
        <f t="shared" si="4"/>
        <v>0</v>
      </c>
      <c r="L79" s="224">
        <f t="shared" si="5"/>
        <v>0</v>
      </c>
    </row>
    <row r="80" spans="1:12" ht="60" x14ac:dyDescent="0.25">
      <c r="A80" s="210">
        <v>271</v>
      </c>
      <c r="B80" s="211" t="s">
        <v>719</v>
      </c>
      <c r="C80" s="212">
        <v>0</v>
      </c>
      <c r="D80" s="213">
        <v>0</v>
      </c>
      <c r="E80" s="120">
        <v>0</v>
      </c>
      <c r="F80" s="120">
        <v>0</v>
      </c>
      <c r="G80" s="120">
        <v>0</v>
      </c>
      <c r="H80" s="120">
        <v>0</v>
      </c>
      <c r="I80" s="120">
        <v>0</v>
      </c>
      <c r="J80" s="120">
        <v>0</v>
      </c>
      <c r="K80" s="223">
        <f t="shared" si="4"/>
        <v>0</v>
      </c>
      <c r="L80" s="224">
        <f t="shared" si="5"/>
        <v>0</v>
      </c>
    </row>
    <row r="81" spans="1:12" ht="30" x14ac:dyDescent="0.25">
      <c r="A81" s="210">
        <v>272</v>
      </c>
      <c r="B81" s="211" t="s">
        <v>720</v>
      </c>
      <c r="C81" s="212">
        <v>0</v>
      </c>
      <c r="D81" s="213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223">
        <f t="shared" si="4"/>
        <v>0</v>
      </c>
      <c r="L81" s="224">
        <f t="shared" si="5"/>
        <v>0</v>
      </c>
    </row>
    <row r="82" spans="1:12" ht="30" x14ac:dyDescent="0.25">
      <c r="A82" s="210">
        <v>273</v>
      </c>
      <c r="B82" s="211" t="s">
        <v>721</v>
      </c>
      <c r="C82" s="212">
        <v>0</v>
      </c>
      <c r="D82" s="213">
        <v>0</v>
      </c>
      <c r="E82" s="120">
        <v>0</v>
      </c>
      <c r="F82" s="120">
        <v>0</v>
      </c>
      <c r="G82" s="120">
        <v>0</v>
      </c>
      <c r="H82" s="120">
        <v>0</v>
      </c>
      <c r="I82" s="120">
        <v>0</v>
      </c>
      <c r="J82" s="120">
        <v>0</v>
      </c>
      <c r="K82" s="223">
        <f t="shared" si="4"/>
        <v>0</v>
      </c>
      <c r="L82" s="224">
        <f t="shared" si="5"/>
        <v>0</v>
      </c>
    </row>
    <row r="83" spans="1:12" ht="45" x14ac:dyDescent="0.25">
      <c r="A83" s="210">
        <v>274</v>
      </c>
      <c r="B83" s="211" t="s">
        <v>722</v>
      </c>
      <c r="C83" s="212">
        <v>0</v>
      </c>
      <c r="D83" s="213">
        <v>0</v>
      </c>
      <c r="E83" s="120">
        <v>0</v>
      </c>
      <c r="F83" s="120">
        <v>0</v>
      </c>
      <c r="G83" s="120">
        <v>0</v>
      </c>
      <c r="H83" s="120">
        <v>0</v>
      </c>
      <c r="I83" s="120">
        <v>0</v>
      </c>
      <c r="J83" s="120">
        <v>0</v>
      </c>
      <c r="K83" s="223">
        <f t="shared" si="4"/>
        <v>0</v>
      </c>
      <c r="L83" s="224">
        <f t="shared" si="5"/>
        <v>0</v>
      </c>
    </row>
    <row r="84" spans="1:12" ht="30" x14ac:dyDescent="0.25">
      <c r="A84" s="210">
        <v>275</v>
      </c>
      <c r="B84" s="211" t="s">
        <v>723</v>
      </c>
      <c r="C84" s="212">
        <v>0</v>
      </c>
      <c r="D84" s="213">
        <v>0</v>
      </c>
      <c r="E84" s="120">
        <v>0</v>
      </c>
      <c r="F84" s="120">
        <v>0</v>
      </c>
      <c r="G84" s="120">
        <v>0</v>
      </c>
      <c r="H84" s="120">
        <v>0</v>
      </c>
      <c r="I84" s="120">
        <v>0</v>
      </c>
      <c r="J84" s="120">
        <v>0</v>
      </c>
      <c r="K84" s="223">
        <f t="shared" si="4"/>
        <v>0</v>
      </c>
      <c r="L84" s="224">
        <f t="shared" si="5"/>
        <v>0</v>
      </c>
    </row>
    <row r="85" spans="1:12" ht="30" x14ac:dyDescent="0.25">
      <c r="A85" s="210">
        <v>279</v>
      </c>
      <c r="B85" s="211" t="s">
        <v>724</v>
      </c>
      <c r="C85" s="212">
        <v>0</v>
      </c>
      <c r="D85" s="213">
        <v>0</v>
      </c>
      <c r="E85" s="120">
        <v>0</v>
      </c>
      <c r="F85" s="120">
        <v>0</v>
      </c>
      <c r="G85" s="120">
        <v>0</v>
      </c>
      <c r="H85" s="120">
        <v>0</v>
      </c>
      <c r="I85" s="120">
        <v>0</v>
      </c>
      <c r="J85" s="120">
        <v>0</v>
      </c>
      <c r="K85" s="223">
        <f t="shared" si="4"/>
        <v>0</v>
      </c>
      <c r="L85" s="224">
        <f t="shared" si="5"/>
        <v>0</v>
      </c>
    </row>
    <row r="86" spans="1:12" ht="30" x14ac:dyDescent="0.25">
      <c r="A86" s="210">
        <v>281</v>
      </c>
      <c r="B86" s="211" t="s">
        <v>725</v>
      </c>
      <c r="C86" s="212">
        <v>0</v>
      </c>
      <c r="D86" s="213">
        <v>0</v>
      </c>
      <c r="E86" s="120">
        <v>0</v>
      </c>
      <c r="F86" s="120">
        <v>0</v>
      </c>
      <c r="G86" s="120">
        <v>0</v>
      </c>
      <c r="H86" s="120">
        <v>0</v>
      </c>
      <c r="I86" s="120">
        <v>0</v>
      </c>
      <c r="J86" s="120">
        <v>0</v>
      </c>
      <c r="K86" s="223">
        <f t="shared" si="4"/>
        <v>0</v>
      </c>
      <c r="L86" s="224">
        <f t="shared" si="5"/>
        <v>0</v>
      </c>
    </row>
    <row r="87" spans="1:12" ht="30" x14ac:dyDescent="0.25">
      <c r="A87" s="210">
        <v>282</v>
      </c>
      <c r="B87" s="211" t="s">
        <v>726</v>
      </c>
      <c r="C87" s="212">
        <v>0</v>
      </c>
      <c r="D87" s="213">
        <v>0</v>
      </c>
      <c r="E87" s="120">
        <v>0</v>
      </c>
      <c r="F87" s="120">
        <v>0</v>
      </c>
      <c r="G87" s="120">
        <v>0</v>
      </c>
      <c r="H87" s="120">
        <v>0</v>
      </c>
      <c r="I87" s="120">
        <v>0</v>
      </c>
      <c r="J87" s="120">
        <v>0</v>
      </c>
      <c r="K87" s="223">
        <f t="shared" si="4"/>
        <v>0</v>
      </c>
      <c r="L87" s="224">
        <f t="shared" si="5"/>
        <v>0</v>
      </c>
    </row>
    <row r="88" spans="1:12" ht="30" customHeight="1" x14ac:dyDescent="0.25">
      <c r="A88" s="210">
        <v>291</v>
      </c>
      <c r="B88" s="211" t="s">
        <v>727</v>
      </c>
      <c r="C88" s="212">
        <v>0</v>
      </c>
      <c r="D88" s="213">
        <v>0</v>
      </c>
      <c r="E88" s="120">
        <v>0</v>
      </c>
      <c r="F88" s="120">
        <v>0</v>
      </c>
      <c r="G88" s="120">
        <v>0</v>
      </c>
      <c r="H88" s="120">
        <v>0</v>
      </c>
      <c r="I88" s="120">
        <v>0</v>
      </c>
      <c r="J88" s="120">
        <v>0</v>
      </c>
      <c r="K88" s="223">
        <f t="shared" si="4"/>
        <v>0</v>
      </c>
      <c r="L88" s="224">
        <f t="shared" si="5"/>
        <v>0</v>
      </c>
    </row>
    <row r="89" spans="1:12" ht="60" customHeight="1" x14ac:dyDescent="0.25">
      <c r="A89" s="210">
        <v>292</v>
      </c>
      <c r="B89" s="211" t="s">
        <v>728</v>
      </c>
      <c r="C89" s="212">
        <v>0</v>
      </c>
      <c r="D89" s="213">
        <v>0</v>
      </c>
      <c r="E89" s="120">
        <v>0</v>
      </c>
      <c r="F89" s="120">
        <v>0</v>
      </c>
      <c r="G89" s="120">
        <v>0</v>
      </c>
      <c r="H89" s="120">
        <v>0</v>
      </c>
      <c r="I89" s="120">
        <v>0</v>
      </c>
      <c r="J89" s="120">
        <v>0</v>
      </c>
      <c r="K89" s="223">
        <f t="shared" si="4"/>
        <v>0</v>
      </c>
      <c r="L89" s="224">
        <f t="shared" si="5"/>
        <v>0</v>
      </c>
    </row>
    <row r="90" spans="1:12" ht="47.25" customHeight="1" x14ac:dyDescent="0.25">
      <c r="A90" s="210">
        <v>293</v>
      </c>
      <c r="B90" s="211" t="s">
        <v>729</v>
      </c>
      <c r="C90" s="212">
        <v>0</v>
      </c>
      <c r="D90" s="213">
        <v>0</v>
      </c>
      <c r="E90" s="120">
        <v>0</v>
      </c>
      <c r="F90" s="120">
        <v>0</v>
      </c>
      <c r="G90" s="120">
        <v>0</v>
      </c>
      <c r="H90" s="120">
        <v>0</v>
      </c>
      <c r="I90" s="120">
        <v>0</v>
      </c>
      <c r="J90" s="120">
        <v>0</v>
      </c>
      <c r="K90" s="223">
        <f t="shared" si="4"/>
        <v>0</v>
      </c>
      <c r="L90" s="224">
        <f t="shared" si="5"/>
        <v>0</v>
      </c>
    </row>
    <row r="91" spans="1:12" ht="30" x14ac:dyDescent="0.25">
      <c r="A91" s="210">
        <v>301</v>
      </c>
      <c r="B91" s="211" t="s">
        <v>730</v>
      </c>
      <c r="C91" s="212">
        <v>0</v>
      </c>
      <c r="D91" s="213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223">
        <f t="shared" si="4"/>
        <v>0</v>
      </c>
      <c r="L91" s="224">
        <f t="shared" si="5"/>
        <v>0</v>
      </c>
    </row>
    <row r="92" spans="1:12" ht="30" x14ac:dyDescent="0.25">
      <c r="A92" s="210">
        <v>302</v>
      </c>
      <c r="B92" s="211" t="s">
        <v>731</v>
      </c>
      <c r="C92" s="212">
        <v>0</v>
      </c>
      <c r="D92" s="213">
        <v>0</v>
      </c>
      <c r="E92" s="120">
        <v>0</v>
      </c>
      <c r="F92" s="120">
        <v>0</v>
      </c>
      <c r="G92" s="120">
        <v>0</v>
      </c>
      <c r="H92" s="120">
        <v>0</v>
      </c>
      <c r="I92" s="120">
        <v>0</v>
      </c>
      <c r="J92" s="120">
        <v>0</v>
      </c>
      <c r="K92" s="223">
        <f t="shared" si="4"/>
        <v>0</v>
      </c>
      <c r="L92" s="224">
        <f t="shared" si="5"/>
        <v>0</v>
      </c>
    </row>
    <row r="93" spans="1:12" ht="30" x14ac:dyDescent="0.25">
      <c r="A93" s="210">
        <v>303</v>
      </c>
      <c r="B93" s="211" t="s">
        <v>732</v>
      </c>
      <c r="C93" s="212">
        <v>0</v>
      </c>
      <c r="D93" s="213">
        <v>0</v>
      </c>
      <c r="E93" s="120">
        <v>0</v>
      </c>
      <c r="F93" s="120">
        <v>0</v>
      </c>
      <c r="G93" s="120">
        <v>0</v>
      </c>
      <c r="H93" s="120">
        <v>0</v>
      </c>
      <c r="I93" s="120">
        <v>0</v>
      </c>
      <c r="J93" s="120">
        <v>0</v>
      </c>
      <c r="K93" s="223">
        <f t="shared" si="4"/>
        <v>0</v>
      </c>
      <c r="L93" s="224">
        <f t="shared" si="5"/>
        <v>0</v>
      </c>
    </row>
    <row r="94" spans="1:12" x14ac:dyDescent="0.25">
      <c r="A94" s="210">
        <v>304</v>
      </c>
      <c r="B94" s="211" t="s">
        <v>733</v>
      </c>
      <c r="C94" s="212">
        <v>0</v>
      </c>
      <c r="D94" s="213">
        <v>0</v>
      </c>
      <c r="E94" s="120">
        <v>0</v>
      </c>
      <c r="F94" s="120">
        <v>0</v>
      </c>
      <c r="G94" s="120">
        <v>0</v>
      </c>
      <c r="H94" s="120">
        <v>0</v>
      </c>
      <c r="I94" s="120">
        <v>0</v>
      </c>
      <c r="J94" s="120">
        <v>0</v>
      </c>
      <c r="K94" s="223">
        <f t="shared" si="4"/>
        <v>0</v>
      </c>
      <c r="L94" s="224">
        <f t="shared" si="5"/>
        <v>0</v>
      </c>
    </row>
    <row r="95" spans="1:12" ht="30" x14ac:dyDescent="0.25">
      <c r="A95" s="210">
        <v>309</v>
      </c>
      <c r="B95" s="211" t="s">
        <v>734</v>
      </c>
      <c r="C95" s="212">
        <v>0</v>
      </c>
      <c r="D95" s="213">
        <v>1</v>
      </c>
      <c r="E95" s="120">
        <v>0</v>
      </c>
      <c r="F95" s="120">
        <v>0</v>
      </c>
      <c r="G95" s="120">
        <v>0</v>
      </c>
      <c r="H95" s="120">
        <v>0</v>
      </c>
      <c r="I95" s="120">
        <v>0</v>
      </c>
      <c r="J95" s="120">
        <v>0</v>
      </c>
      <c r="K95" s="223">
        <f t="shared" si="4"/>
        <v>0</v>
      </c>
      <c r="L95" s="224">
        <f t="shared" si="5"/>
        <v>1</v>
      </c>
    </row>
    <row r="96" spans="1:12" x14ac:dyDescent="0.25">
      <c r="A96" s="210">
        <v>310</v>
      </c>
      <c r="B96" s="211" t="s">
        <v>735</v>
      </c>
      <c r="C96" s="212">
        <v>0</v>
      </c>
      <c r="D96" s="213">
        <v>0</v>
      </c>
      <c r="E96" s="120">
        <v>0</v>
      </c>
      <c r="F96" s="120">
        <v>0</v>
      </c>
      <c r="G96" s="120">
        <v>0</v>
      </c>
      <c r="H96" s="120">
        <v>0</v>
      </c>
      <c r="I96" s="120">
        <v>0</v>
      </c>
      <c r="J96" s="120">
        <v>0</v>
      </c>
      <c r="K96" s="223">
        <f t="shared" si="4"/>
        <v>0</v>
      </c>
      <c r="L96" s="224">
        <f t="shared" si="5"/>
        <v>0</v>
      </c>
    </row>
    <row r="97" spans="1:12" ht="30" x14ac:dyDescent="0.25">
      <c r="A97" s="210">
        <v>321</v>
      </c>
      <c r="B97" s="211" t="s">
        <v>736</v>
      </c>
      <c r="C97" s="212">
        <v>0</v>
      </c>
      <c r="D97" s="213">
        <v>0</v>
      </c>
      <c r="E97" s="120">
        <v>0</v>
      </c>
      <c r="F97" s="120">
        <v>0</v>
      </c>
      <c r="G97" s="120">
        <v>0</v>
      </c>
      <c r="H97" s="120">
        <v>0</v>
      </c>
      <c r="I97" s="120">
        <v>0</v>
      </c>
      <c r="J97" s="120">
        <v>0</v>
      </c>
      <c r="K97" s="223">
        <f t="shared" si="4"/>
        <v>0</v>
      </c>
      <c r="L97" s="224">
        <f t="shared" si="5"/>
        <v>0</v>
      </c>
    </row>
    <row r="98" spans="1:12" x14ac:dyDescent="0.25">
      <c r="A98" s="210">
        <v>322</v>
      </c>
      <c r="B98" s="211" t="s">
        <v>737</v>
      </c>
      <c r="C98" s="212">
        <v>0</v>
      </c>
      <c r="D98" s="213">
        <v>0</v>
      </c>
      <c r="E98" s="120">
        <v>0</v>
      </c>
      <c r="F98" s="120">
        <v>0</v>
      </c>
      <c r="G98" s="120">
        <v>0</v>
      </c>
      <c r="H98" s="120">
        <v>0</v>
      </c>
      <c r="I98" s="120">
        <v>0</v>
      </c>
      <c r="J98" s="120">
        <v>0</v>
      </c>
      <c r="K98" s="223">
        <f t="shared" ref="K98:K104" si="6">C98+E98-G98-I98</f>
        <v>0</v>
      </c>
      <c r="L98" s="224">
        <f t="shared" ref="L98:L104" si="7">D98+F98-H98-J98</f>
        <v>0</v>
      </c>
    </row>
    <row r="99" spans="1:12" x14ac:dyDescent="0.25">
      <c r="A99" s="210">
        <v>323</v>
      </c>
      <c r="B99" s="211" t="s">
        <v>738</v>
      </c>
      <c r="C99" s="212">
        <v>0</v>
      </c>
      <c r="D99" s="213">
        <v>0</v>
      </c>
      <c r="E99" s="120">
        <v>0</v>
      </c>
      <c r="F99" s="120">
        <v>0</v>
      </c>
      <c r="G99" s="120">
        <v>0</v>
      </c>
      <c r="H99" s="120">
        <v>0</v>
      </c>
      <c r="I99" s="120">
        <v>0</v>
      </c>
      <c r="J99" s="120">
        <v>0</v>
      </c>
      <c r="K99" s="223">
        <f t="shared" si="6"/>
        <v>0</v>
      </c>
      <c r="L99" s="224">
        <f t="shared" si="7"/>
        <v>0</v>
      </c>
    </row>
    <row r="100" spans="1:12" ht="30" x14ac:dyDescent="0.25">
      <c r="A100" s="210">
        <v>324</v>
      </c>
      <c r="B100" s="211" t="s">
        <v>739</v>
      </c>
      <c r="C100" s="212">
        <v>0</v>
      </c>
      <c r="D100" s="213">
        <v>0</v>
      </c>
      <c r="E100" s="120">
        <v>0</v>
      </c>
      <c r="F100" s="120">
        <v>0</v>
      </c>
      <c r="G100" s="120">
        <v>0</v>
      </c>
      <c r="H100" s="120">
        <v>0</v>
      </c>
      <c r="I100" s="120">
        <v>0</v>
      </c>
      <c r="J100" s="120">
        <v>0</v>
      </c>
      <c r="K100" s="223">
        <f t="shared" si="6"/>
        <v>0</v>
      </c>
      <c r="L100" s="224">
        <f t="shared" si="7"/>
        <v>0</v>
      </c>
    </row>
    <row r="101" spans="1:12" ht="45" x14ac:dyDescent="0.25">
      <c r="A101" s="210">
        <v>325</v>
      </c>
      <c r="B101" s="211" t="s">
        <v>740</v>
      </c>
      <c r="C101" s="212">
        <v>0</v>
      </c>
      <c r="D101" s="213">
        <v>0</v>
      </c>
      <c r="E101" s="120">
        <v>0</v>
      </c>
      <c r="F101" s="120">
        <v>0</v>
      </c>
      <c r="G101" s="120">
        <v>0</v>
      </c>
      <c r="H101" s="120">
        <v>0</v>
      </c>
      <c r="I101" s="120">
        <v>0</v>
      </c>
      <c r="J101" s="120">
        <v>0</v>
      </c>
      <c r="K101" s="223">
        <f t="shared" si="6"/>
        <v>0</v>
      </c>
      <c r="L101" s="224">
        <f t="shared" si="7"/>
        <v>0</v>
      </c>
    </row>
    <row r="102" spans="1:12" ht="15" customHeight="1" x14ac:dyDescent="0.25">
      <c r="A102" s="210">
        <v>329</v>
      </c>
      <c r="B102" s="211" t="s">
        <v>741</v>
      </c>
      <c r="C102" s="212">
        <v>0</v>
      </c>
      <c r="D102" s="213">
        <v>0</v>
      </c>
      <c r="E102" s="120">
        <v>0</v>
      </c>
      <c r="F102" s="120">
        <v>0</v>
      </c>
      <c r="G102" s="120">
        <v>0</v>
      </c>
      <c r="H102" s="120">
        <v>0</v>
      </c>
      <c r="I102" s="120">
        <v>0</v>
      </c>
      <c r="J102" s="120">
        <v>0</v>
      </c>
      <c r="K102" s="223">
        <f t="shared" si="6"/>
        <v>0</v>
      </c>
      <c r="L102" s="224">
        <f t="shared" si="7"/>
        <v>0</v>
      </c>
    </row>
    <row r="103" spans="1:12" ht="30" customHeight="1" x14ac:dyDescent="0.25">
      <c r="A103" s="210">
        <v>331</v>
      </c>
      <c r="B103" s="211" t="s">
        <v>742</v>
      </c>
      <c r="C103" s="212">
        <v>0</v>
      </c>
      <c r="D103" s="213">
        <v>0</v>
      </c>
      <c r="E103" s="120">
        <v>0</v>
      </c>
      <c r="F103" s="120">
        <v>0</v>
      </c>
      <c r="G103" s="120">
        <v>0</v>
      </c>
      <c r="H103" s="120">
        <v>0</v>
      </c>
      <c r="I103" s="120">
        <v>0</v>
      </c>
      <c r="J103" s="120">
        <v>0</v>
      </c>
      <c r="K103" s="223">
        <f t="shared" si="6"/>
        <v>0</v>
      </c>
      <c r="L103" s="224">
        <f t="shared" si="7"/>
        <v>0</v>
      </c>
    </row>
    <row r="104" spans="1:12" ht="30.75" thickBot="1" x14ac:dyDescent="0.3">
      <c r="A104" s="204">
        <v>332</v>
      </c>
      <c r="B104" s="205" t="s">
        <v>743</v>
      </c>
      <c r="C104" s="214">
        <v>0</v>
      </c>
      <c r="D104" s="215">
        <v>0</v>
      </c>
      <c r="E104" s="209">
        <v>0</v>
      </c>
      <c r="F104" s="209">
        <v>0</v>
      </c>
      <c r="G104" s="209">
        <v>0</v>
      </c>
      <c r="H104" s="209">
        <v>0</v>
      </c>
      <c r="I104" s="209">
        <v>0</v>
      </c>
      <c r="J104" s="209">
        <v>0</v>
      </c>
      <c r="K104" s="221">
        <f t="shared" si="6"/>
        <v>0</v>
      </c>
      <c r="L104" s="225">
        <f t="shared" si="7"/>
        <v>0</v>
      </c>
    </row>
    <row r="105" spans="1:12" ht="30.75" thickBot="1" x14ac:dyDescent="0.3">
      <c r="A105" s="216" t="s">
        <v>744</v>
      </c>
      <c r="B105" s="217" t="s">
        <v>745</v>
      </c>
      <c r="C105" s="426"/>
      <c r="D105" s="427"/>
      <c r="E105" s="427"/>
      <c r="F105" s="218"/>
      <c r="G105" s="218"/>
      <c r="H105" s="218"/>
      <c r="I105" s="218"/>
      <c r="J105" s="218"/>
      <c r="K105" s="226"/>
      <c r="L105" s="227"/>
    </row>
    <row r="106" spans="1:12" x14ac:dyDescent="0.25">
      <c r="A106" s="204">
        <v>351</v>
      </c>
      <c r="B106" s="205" t="s">
        <v>746</v>
      </c>
      <c r="C106" s="214">
        <v>0</v>
      </c>
      <c r="D106" s="215">
        <v>0</v>
      </c>
      <c r="E106" s="209">
        <v>0</v>
      </c>
      <c r="F106" s="209">
        <v>0</v>
      </c>
      <c r="G106" s="209">
        <v>0</v>
      </c>
      <c r="H106" s="209">
        <v>0</v>
      </c>
      <c r="I106" s="209">
        <v>0</v>
      </c>
      <c r="J106" s="209">
        <v>0</v>
      </c>
      <c r="K106" s="221">
        <f t="shared" ref="K106:K108" si="8">C106+E106-G106-I106</f>
        <v>0</v>
      </c>
      <c r="L106" s="225">
        <f t="shared" ref="L106:L108" si="9">D106+F106-H106-J106</f>
        <v>0</v>
      </c>
    </row>
    <row r="107" spans="1:12" x14ac:dyDescent="0.25">
      <c r="A107" s="210">
        <v>352</v>
      </c>
      <c r="B107" s="211" t="s">
        <v>747</v>
      </c>
      <c r="C107" s="212">
        <v>0</v>
      </c>
      <c r="D107" s="213">
        <v>0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223">
        <f t="shared" si="8"/>
        <v>0</v>
      </c>
      <c r="L107" s="224">
        <f t="shared" si="9"/>
        <v>0</v>
      </c>
    </row>
    <row r="108" spans="1:12" ht="30" customHeight="1" thickBot="1" x14ac:dyDescent="0.3">
      <c r="A108" s="204">
        <v>353</v>
      </c>
      <c r="B108" s="205" t="s">
        <v>748</v>
      </c>
      <c r="C108" s="214">
        <v>0</v>
      </c>
      <c r="D108" s="215">
        <v>0</v>
      </c>
      <c r="E108" s="209">
        <v>0</v>
      </c>
      <c r="F108" s="209">
        <v>0</v>
      </c>
      <c r="G108" s="209">
        <v>0</v>
      </c>
      <c r="H108" s="209">
        <v>0</v>
      </c>
      <c r="I108" s="209">
        <v>0</v>
      </c>
      <c r="J108" s="209">
        <v>0</v>
      </c>
      <c r="K108" s="221">
        <f t="shared" si="8"/>
        <v>0</v>
      </c>
      <c r="L108" s="225">
        <f t="shared" si="9"/>
        <v>0</v>
      </c>
    </row>
    <row r="109" spans="1:12" ht="60.75" thickBot="1" x14ac:dyDescent="0.3">
      <c r="A109" s="216" t="s">
        <v>749</v>
      </c>
      <c r="B109" s="217" t="s">
        <v>750</v>
      </c>
      <c r="C109" s="426"/>
      <c r="D109" s="427"/>
      <c r="E109" s="427"/>
      <c r="F109" s="218"/>
      <c r="G109" s="218"/>
      <c r="H109" s="218"/>
      <c r="I109" s="218"/>
      <c r="J109" s="218"/>
      <c r="K109" s="226"/>
      <c r="L109" s="227"/>
    </row>
    <row r="110" spans="1:12" x14ac:dyDescent="0.25">
      <c r="A110" s="204">
        <v>360</v>
      </c>
      <c r="B110" s="205" t="s">
        <v>751</v>
      </c>
      <c r="C110" s="214">
        <v>0</v>
      </c>
      <c r="D110" s="215">
        <v>0</v>
      </c>
      <c r="E110" s="209">
        <v>0</v>
      </c>
      <c r="F110" s="209">
        <v>0</v>
      </c>
      <c r="G110" s="209">
        <v>0</v>
      </c>
      <c r="H110" s="209">
        <v>0</v>
      </c>
      <c r="I110" s="209">
        <v>0</v>
      </c>
      <c r="J110" s="209">
        <v>0</v>
      </c>
      <c r="K110" s="221">
        <f t="shared" ref="K110:K115" si="10">C110+E110-G110-I110</f>
        <v>0</v>
      </c>
      <c r="L110" s="225">
        <f t="shared" ref="L110:L115" si="11">D110+F110-H110-J110</f>
        <v>0</v>
      </c>
    </row>
    <row r="111" spans="1:12" x14ac:dyDescent="0.25">
      <c r="A111" s="210">
        <v>370</v>
      </c>
      <c r="B111" s="211" t="s">
        <v>752</v>
      </c>
      <c r="C111" s="212">
        <v>0</v>
      </c>
      <c r="D111" s="213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223">
        <f t="shared" si="10"/>
        <v>0</v>
      </c>
      <c r="L111" s="224">
        <f t="shared" si="11"/>
        <v>0</v>
      </c>
    </row>
    <row r="112" spans="1:12" x14ac:dyDescent="0.25">
      <c r="A112" s="210">
        <v>381</v>
      </c>
      <c r="B112" s="211" t="s">
        <v>753</v>
      </c>
      <c r="C112" s="212">
        <v>0</v>
      </c>
      <c r="D112" s="213">
        <v>0</v>
      </c>
      <c r="E112" s="120">
        <v>0</v>
      </c>
      <c r="F112" s="120">
        <v>0</v>
      </c>
      <c r="G112" s="120">
        <v>0</v>
      </c>
      <c r="H112" s="120">
        <v>0</v>
      </c>
      <c r="I112" s="120">
        <v>0</v>
      </c>
      <c r="J112" s="120">
        <v>0</v>
      </c>
      <c r="K112" s="223">
        <f t="shared" si="10"/>
        <v>0</v>
      </c>
      <c r="L112" s="224">
        <f t="shared" si="11"/>
        <v>0</v>
      </c>
    </row>
    <row r="113" spans="1:12" ht="30" x14ac:dyDescent="0.25">
      <c r="A113" s="210">
        <v>382</v>
      </c>
      <c r="B113" s="211" t="s">
        <v>754</v>
      </c>
      <c r="C113" s="212">
        <v>0</v>
      </c>
      <c r="D113" s="213">
        <v>0</v>
      </c>
      <c r="E113" s="120">
        <v>0</v>
      </c>
      <c r="F113" s="120">
        <v>0</v>
      </c>
      <c r="G113" s="120">
        <v>0</v>
      </c>
      <c r="H113" s="120">
        <v>0</v>
      </c>
      <c r="I113" s="120">
        <v>0</v>
      </c>
      <c r="J113" s="120">
        <v>0</v>
      </c>
      <c r="K113" s="223">
        <f t="shared" si="10"/>
        <v>0</v>
      </c>
      <c r="L113" s="224">
        <f t="shared" si="11"/>
        <v>0</v>
      </c>
    </row>
    <row r="114" spans="1:12" x14ac:dyDescent="0.25">
      <c r="A114" s="210">
        <v>383</v>
      </c>
      <c r="B114" s="211" t="s">
        <v>755</v>
      </c>
      <c r="C114" s="212">
        <v>0</v>
      </c>
      <c r="D114" s="213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0</v>
      </c>
      <c r="J114" s="120">
        <v>0</v>
      </c>
      <c r="K114" s="223">
        <f t="shared" si="10"/>
        <v>0</v>
      </c>
      <c r="L114" s="224">
        <f t="shared" si="11"/>
        <v>0</v>
      </c>
    </row>
    <row r="115" spans="1:12" ht="30" customHeight="1" thickBot="1" x14ac:dyDescent="0.3">
      <c r="A115" s="204">
        <v>390</v>
      </c>
      <c r="B115" s="205" t="s">
        <v>756</v>
      </c>
      <c r="C115" s="214">
        <v>0</v>
      </c>
      <c r="D115" s="215">
        <v>0</v>
      </c>
      <c r="E115" s="209">
        <v>0</v>
      </c>
      <c r="F115" s="209">
        <v>0</v>
      </c>
      <c r="G115" s="209">
        <v>0</v>
      </c>
      <c r="H115" s="209">
        <v>0</v>
      </c>
      <c r="I115" s="209">
        <v>0</v>
      </c>
      <c r="J115" s="209">
        <v>0</v>
      </c>
      <c r="K115" s="221">
        <f t="shared" si="10"/>
        <v>0</v>
      </c>
      <c r="L115" s="225">
        <f t="shared" si="11"/>
        <v>0</v>
      </c>
    </row>
    <row r="116" spans="1:12" ht="15.75" thickBot="1" x14ac:dyDescent="0.3">
      <c r="A116" s="216" t="s">
        <v>757</v>
      </c>
      <c r="B116" s="217" t="s">
        <v>758</v>
      </c>
      <c r="C116" s="426"/>
      <c r="D116" s="427"/>
      <c r="E116" s="427"/>
      <c r="F116" s="218"/>
      <c r="G116" s="218"/>
      <c r="H116" s="218"/>
      <c r="I116" s="218"/>
      <c r="J116" s="218"/>
      <c r="K116" s="226"/>
      <c r="L116" s="227"/>
    </row>
    <row r="117" spans="1:12" x14ac:dyDescent="0.25">
      <c r="A117" s="204">
        <v>410</v>
      </c>
      <c r="B117" s="205" t="s">
        <v>759</v>
      </c>
      <c r="C117" s="214">
        <v>0</v>
      </c>
      <c r="D117" s="215">
        <v>0</v>
      </c>
      <c r="E117" s="209">
        <v>0</v>
      </c>
      <c r="F117" s="209">
        <v>0</v>
      </c>
      <c r="G117" s="209">
        <v>0</v>
      </c>
      <c r="H117" s="209">
        <v>0</v>
      </c>
      <c r="I117" s="209">
        <v>0</v>
      </c>
      <c r="J117" s="209">
        <v>0</v>
      </c>
      <c r="K117" s="221">
        <f t="shared" ref="K117:K124" si="12">C117+E117-G117-I117</f>
        <v>0</v>
      </c>
      <c r="L117" s="225">
        <f t="shared" ref="L117:L124" si="13">D117+F117-H117-J117</f>
        <v>0</v>
      </c>
    </row>
    <row r="118" spans="1:12" ht="30" x14ac:dyDescent="0.25">
      <c r="A118" s="210">
        <v>421</v>
      </c>
      <c r="B118" s="211" t="s">
        <v>760</v>
      </c>
      <c r="C118" s="212">
        <v>0</v>
      </c>
      <c r="D118" s="213">
        <v>0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223">
        <f t="shared" si="12"/>
        <v>0</v>
      </c>
      <c r="L118" s="224">
        <f t="shared" si="13"/>
        <v>0</v>
      </c>
    </row>
    <row r="119" spans="1:12" ht="45" x14ac:dyDescent="0.25">
      <c r="A119" s="210">
        <v>422</v>
      </c>
      <c r="B119" s="211" t="s">
        <v>761</v>
      </c>
      <c r="C119" s="212">
        <v>0</v>
      </c>
      <c r="D119" s="213">
        <v>0</v>
      </c>
      <c r="E119" s="120">
        <v>0</v>
      </c>
      <c r="F119" s="120">
        <v>0</v>
      </c>
      <c r="G119" s="120">
        <v>0</v>
      </c>
      <c r="H119" s="120">
        <v>0</v>
      </c>
      <c r="I119" s="120">
        <v>0</v>
      </c>
      <c r="J119" s="120">
        <v>0</v>
      </c>
      <c r="K119" s="223">
        <f t="shared" si="12"/>
        <v>0</v>
      </c>
      <c r="L119" s="224">
        <f t="shared" si="13"/>
        <v>0</v>
      </c>
    </row>
    <row r="120" spans="1:12" ht="30" x14ac:dyDescent="0.25">
      <c r="A120" s="210">
        <v>429</v>
      </c>
      <c r="B120" s="211" t="s">
        <v>762</v>
      </c>
      <c r="C120" s="212">
        <v>0</v>
      </c>
      <c r="D120" s="213">
        <v>0</v>
      </c>
      <c r="E120" s="120">
        <v>0</v>
      </c>
      <c r="F120" s="120">
        <v>0</v>
      </c>
      <c r="G120" s="120">
        <v>0</v>
      </c>
      <c r="H120" s="120">
        <v>0</v>
      </c>
      <c r="I120" s="120">
        <v>0</v>
      </c>
      <c r="J120" s="120">
        <v>0</v>
      </c>
      <c r="K120" s="223">
        <f t="shared" si="12"/>
        <v>0</v>
      </c>
      <c r="L120" s="224">
        <f t="shared" si="13"/>
        <v>0</v>
      </c>
    </row>
    <row r="121" spans="1:12" ht="30" x14ac:dyDescent="0.25">
      <c r="A121" s="210">
        <v>431</v>
      </c>
      <c r="B121" s="211" t="s">
        <v>763</v>
      </c>
      <c r="C121" s="212">
        <v>0</v>
      </c>
      <c r="D121" s="213">
        <v>0</v>
      </c>
      <c r="E121" s="120">
        <v>0</v>
      </c>
      <c r="F121" s="120">
        <v>0</v>
      </c>
      <c r="G121" s="120">
        <v>0</v>
      </c>
      <c r="H121" s="120">
        <v>0</v>
      </c>
      <c r="I121" s="120">
        <v>0</v>
      </c>
      <c r="J121" s="120">
        <v>0</v>
      </c>
      <c r="K121" s="223">
        <f t="shared" si="12"/>
        <v>0</v>
      </c>
      <c r="L121" s="224">
        <f t="shared" si="13"/>
        <v>0</v>
      </c>
    </row>
    <row r="122" spans="1:12" ht="45" x14ac:dyDescent="0.25">
      <c r="A122" s="210">
        <v>432</v>
      </c>
      <c r="B122" s="211" t="s">
        <v>764</v>
      </c>
      <c r="C122" s="212">
        <v>0</v>
      </c>
      <c r="D122" s="213">
        <v>0</v>
      </c>
      <c r="E122" s="120">
        <v>0</v>
      </c>
      <c r="F122" s="120">
        <v>0</v>
      </c>
      <c r="G122" s="120">
        <v>0</v>
      </c>
      <c r="H122" s="120">
        <v>0</v>
      </c>
      <c r="I122" s="120">
        <v>0</v>
      </c>
      <c r="J122" s="120">
        <v>0</v>
      </c>
      <c r="K122" s="223">
        <f t="shared" si="12"/>
        <v>0</v>
      </c>
      <c r="L122" s="224">
        <f t="shared" si="13"/>
        <v>0</v>
      </c>
    </row>
    <row r="123" spans="1:12" ht="30" x14ac:dyDescent="0.25">
      <c r="A123" s="210">
        <v>433</v>
      </c>
      <c r="B123" s="211" t="s">
        <v>765</v>
      </c>
      <c r="C123" s="212">
        <v>0</v>
      </c>
      <c r="D123" s="213">
        <v>0</v>
      </c>
      <c r="E123" s="120">
        <v>0</v>
      </c>
      <c r="F123" s="120">
        <v>0</v>
      </c>
      <c r="G123" s="120">
        <v>0</v>
      </c>
      <c r="H123" s="120">
        <v>0</v>
      </c>
      <c r="I123" s="120">
        <v>0</v>
      </c>
      <c r="J123" s="120">
        <v>0</v>
      </c>
      <c r="K123" s="223">
        <f t="shared" si="12"/>
        <v>0</v>
      </c>
      <c r="L123" s="224">
        <f t="shared" si="13"/>
        <v>0</v>
      </c>
    </row>
    <row r="124" spans="1:12" ht="15.75" thickBot="1" x14ac:dyDescent="0.3">
      <c r="A124" s="204">
        <v>439</v>
      </c>
      <c r="B124" s="205" t="s">
        <v>766</v>
      </c>
      <c r="C124" s="214">
        <v>0</v>
      </c>
      <c r="D124" s="215">
        <v>0</v>
      </c>
      <c r="E124" s="209">
        <v>0</v>
      </c>
      <c r="F124" s="209">
        <v>0</v>
      </c>
      <c r="G124" s="209">
        <v>0</v>
      </c>
      <c r="H124" s="209">
        <v>0</v>
      </c>
      <c r="I124" s="209">
        <v>0</v>
      </c>
      <c r="J124" s="209">
        <v>0</v>
      </c>
      <c r="K124" s="221">
        <f t="shared" si="12"/>
        <v>0</v>
      </c>
      <c r="L124" s="225">
        <f t="shared" si="13"/>
        <v>0</v>
      </c>
    </row>
    <row r="125" spans="1:12" ht="45.75" thickBot="1" x14ac:dyDescent="0.3">
      <c r="A125" s="216" t="s">
        <v>767</v>
      </c>
      <c r="B125" s="217" t="s">
        <v>768</v>
      </c>
      <c r="C125" s="426"/>
      <c r="D125" s="427"/>
      <c r="E125" s="427"/>
      <c r="F125" s="218"/>
      <c r="G125" s="218"/>
      <c r="H125" s="218"/>
      <c r="I125" s="218"/>
      <c r="J125" s="218"/>
      <c r="K125" s="226"/>
      <c r="L125" s="227"/>
    </row>
    <row r="126" spans="1:12" x14ac:dyDescent="0.25">
      <c r="A126" s="204">
        <v>451</v>
      </c>
      <c r="B126" s="205" t="s">
        <v>769</v>
      </c>
      <c r="C126" s="214">
        <v>0</v>
      </c>
      <c r="D126" s="215">
        <v>0</v>
      </c>
      <c r="E126" s="209">
        <v>0</v>
      </c>
      <c r="F126" s="209">
        <v>0</v>
      </c>
      <c r="G126" s="209">
        <v>0</v>
      </c>
      <c r="H126" s="209">
        <v>0</v>
      </c>
      <c r="I126" s="209">
        <v>0</v>
      </c>
      <c r="J126" s="209">
        <v>0</v>
      </c>
      <c r="K126" s="221">
        <f t="shared" ref="K126:K145" si="14">C126+E126-G126-I126</f>
        <v>0</v>
      </c>
      <c r="L126" s="225">
        <f t="shared" ref="L126:L145" si="15">D126+F126-H126-J126</f>
        <v>0</v>
      </c>
    </row>
    <row r="127" spans="1:12" ht="15" customHeight="1" x14ac:dyDescent="0.25">
      <c r="A127" s="210">
        <v>452</v>
      </c>
      <c r="B127" s="211" t="s">
        <v>770</v>
      </c>
      <c r="C127" s="212">
        <v>0</v>
      </c>
      <c r="D127" s="213">
        <v>0</v>
      </c>
      <c r="E127" s="120">
        <v>0</v>
      </c>
      <c r="F127" s="120">
        <v>0</v>
      </c>
      <c r="G127" s="120">
        <v>0</v>
      </c>
      <c r="H127" s="120">
        <v>0</v>
      </c>
      <c r="I127" s="120">
        <v>0</v>
      </c>
      <c r="J127" s="120">
        <v>0</v>
      </c>
      <c r="K127" s="223">
        <f t="shared" si="14"/>
        <v>0</v>
      </c>
      <c r="L127" s="224">
        <f t="shared" si="15"/>
        <v>0</v>
      </c>
    </row>
    <row r="128" spans="1:12" ht="30" x14ac:dyDescent="0.25">
      <c r="A128" s="210">
        <v>453</v>
      </c>
      <c r="B128" s="211" t="s">
        <v>771</v>
      </c>
      <c r="C128" s="212">
        <v>0</v>
      </c>
      <c r="D128" s="213">
        <v>0</v>
      </c>
      <c r="E128" s="120">
        <v>0</v>
      </c>
      <c r="F128" s="120">
        <v>0</v>
      </c>
      <c r="G128" s="120">
        <v>0</v>
      </c>
      <c r="H128" s="120">
        <v>0</v>
      </c>
      <c r="I128" s="120">
        <v>0</v>
      </c>
      <c r="J128" s="120">
        <v>0</v>
      </c>
      <c r="K128" s="223">
        <f t="shared" si="14"/>
        <v>0</v>
      </c>
      <c r="L128" s="224">
        <f t="shared" si="15"/>
        <v>0</v>
      </c>
    </row>
    <row r="129" spans="1:12" ht="59.25" customHeight="1" x14ac:dyDescent="0.25">
      <c r="A129" s="210">
        <v>454</v>
      </c>
      <c r="B129" s="211" t="s">
        <v>772</v>
      </c>
      <c r="C129" s="212">
        <v>0</v>
      </c>
      <c r="D129" s="213">
        <v>0</v>
      </c>
      <c r="E129" s="120">
        <v>0</v>
      </c>
      <c r="F129" s="120">
        <v>0</v>
      </c>
      <c r="G129" s="120">
        <v>0</v>
      </c>
      <c r="H129" s="120">
        <v>0</v>
      </c>
      <c r="I129" s="120">
        <v>0</v>
      </c>
      <c r="J129" s="120">
        <v>0</v>
      </c>
      <c r="K129" s="223">
        <f t="shared" si="14"/>
        <v>0</v>
      </c>
      <c r="L129" s="224">
        <f t="shared" si="15"/>
        <v>0</v>
      </c>
    </row>
    <row r="130" spans="1:12" ht="30" customHeight="1" x14ac:dyDescent="0.25">
      <c r="A130" s="210">
        <v>461</v>
      </c>
      <c r="B130" s="211" t="s">
        <v>773</v>
      </c>
      <c r="C130" s="212">
        <v>0</v>
      </c>
      <c r="D130" s="213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223">
        <f t="shared" si="14"/>
        <v>0</v>
      </c>
      <c r="L130" s="224">
        <f t="shared" si="15"/>
        <v>0</v>
      </c>
    </row>
    <row r="131" spans="1:12" ht="30" x14ac:dyDescent="0.25">
      <c r="A131" s="210">
        <v>462</v>
      </c>
      <c r="B131" s="211" t="s">
        <v>774</v>
      </c>
      <c r="C131" s="212">
        <v>0</v>
      </c>
      <c r="D131" s="213">
        <v>0</v>
      </c>
      <c r="E131" s="120">
        <v>0</v>
      </c>
      <c r="F131" s="120">
        <v>0</v>
      </c>
      <c r="G131" s="120">
        <v>0</v>
      </c>
      <c r="H131" s="120">
        <v>0</v>
      </c>
      <c r="I131" s="120">
        <v>0</v>
      </c>
      <c r="J131" s="120">
        <v>0</v>
      </c>
      <c r="K131" s="223">
        <f t="shared" si="14"/>
        <v>0</v>
      </c>
      <c r="L131" s="224">
        <f t="shared" si="15"/>
        <v>0</v>
      </c>
    </row>
    <row r="132" spans="1:12" ht="31.5" customHeight="1" x14ac:dyDescent="0.25">
      <c r="A132" s="210">
        <v>463</v>
      </c>
      <c r="B132" s="211" t="s">
        <v>775</v>
      </c>
      <c r="C132" s="212">
        <v>0</v>
      </c>
      <c r="D132" s="213">
        <v>0</v>
      </c>
      <c r="E132" s="120">
        <v>0</v>
      </c>
      <c r="F132" s="120">
        <v>0</v>
      </c>
      <c r="G132" s="120">
        <v>0</v>
      </c>
      <c r="H132" s="120">
        <v>0</v>
      </c>
      <c r="I132" s="120">
        <v>0</v>
      </c>
      <c r="J132" s="120">
        <v>0</v>
      </c>
      <c r="K132" s="223">
        <f t="shared" si="14"/>
        <v>0</v>
      </c>
      <c r="L132" s="224">
        <f t="shared" si="15"/>
        <v>0</v>
      </c>
    </row>
    <row r="133" spans="1:12" ht="30" x14ac:dyDescent="0.25">
      <c r="A133" s="210">
        <v>464</v>
      </c>
      <c r="B133" s="211" t="s">
        <v>776</v>
      </c>
      <c r="C133" s="212">
        <v>0</v>
      </c>
      <c r="D133" s="213">
        <v>0</v>
      </c>
      <c r="E133" s="120">
        <v>0</v>
      </c>
      <c r="F133" s="120">
        <v>0</v>
      </c>
      <c r="G133" s="120">
        <v>0</v>
      </c>
      <c r="H133" s="120">
        <v>0</v>
      </c>
      <c r="I133" s="120">
        <v>0</v>
      </c>
      <c r="J133" s="120">
        <v>0</v>
      </c>
      <c r="K133" s="223">
        <f t="shared" si="14"/>
        <v>0</v>
      </c>
      <c r="L133" s="224">
        <f t="shared" si="15"/>
        <v>0</v>
      </c>
    </row>
    <row r="134" spans="1:12" ht="30" customHeight="1" x14ac:dyDescent="0.25">
      <c r="A134" s="210">
        <v>465</v>
      </c>
      <c r="B134" s="211" t="s">
        <v>777</v>
      </c>
      <c r="C134" s="212">
        <v>0</v>
      </c>
      <c r="D134" s="213">
        <v>0</v>
      </c>
      <c r="E134" s="120">
        <v>0</v>
      </c>
      <c r="F134" s="120">
        <v>0</v>
      </c>
      <c r="G134" s="120">
        <v>0</v>
      </c>
      <c r="H134" s="120">
        <v>0</v>
      </c>
      <c r="I134" s="120">
        <v>0</v>
      </c>
      <c r="J134" s="120">
        <v>0</v>
      </c>
      <c r="K134" s="223">
        <f t="shared" si="14"/>
        <v>0</v>
      </c>
      <c r="L134" s="224">
        <f t="shared" si="15"/>
        <v>0</v>
      </c>
    </row>
    <row r="135" spans="1:12" ht="30" x14ac:dyDescent="0.25">
      <c r="A135" s="210">
        <v>466</v>
      </c>
      <c r="B135" s="211" t="s">
        <v>778</v>
      </c>
      <c r="C135" s="212">
        <v>0</v>
      </c>
      <c r="D135" s="213">
        <v>0</v>
      </c>
      <c r="E135" s="120">
        <v>0</v>
      </c>
      <c r="F135" s="120">
        <v>0</v>
      </c>
      <c r="G135" s="120">
        <v>0</v>
      </c>
      <c r="H135" s="120">
        <v>0</v>
      </c>
      <c r="I135" s="120">
        <v>0</v>
      </c>
      <c r="J135" s="120">
        <v>0</v>
      </c>
      <c r="K135" s="223">
        <f t="shared" si="14"/>
        <v>0</v>
      </c>
      <c r="L135" s="224">
        <f t="shared" si="15"/>
        <v>0</v>
      </c>
    </row>
    <row r="136" spans="1:12" ht="30" x14ac:dyDescent="0.25">
      <c r="A136" s="210">
        <v>469</v>
      </c>
      <c r="B136" s="211" t="s">
        <v>779</v>
      </c>
      <c r="C136" s="212">
        <v>0</v>
      </c>
      <c r="D136" s="213">
        <v>0</v>
      </c>
      <c r="E136" s="120">
        <v>0</v>
      </c>
      <c r="F136" s="120">
        <v>0</v>
      </c>
      <c r="G136" s="120">
        <v>0</v>
      </c>
      <c r="H136" s="120">
        <v>0</v>
      </c>
      <c r="I136" s="120">
        <v>0</v>
      </c>
      <c r="J136" s="120">
        <v>0</v>
      </c>
      <c r="K136" s="223">
        <f t="shared" si="14"/>
        <v>0</v>
      </c>
      <c r="L136" s="224">
        <f t="shared" si="15"/>
        <v>0</v>
      </c>
    </row>
    <row r="137" spans="1:12" ht="30" customHeight="1" x14ac:dyDescent="0.25">
      <c r="A137" s="210">
        <v>471</v>
      </c>
      <c r="B137" s="211" t="s">
        <v>780</v>
      </c>
      <c r="C137" s="212">
        <v>0</v>
      </c>
      <c r="D137" s="213">
        <v>0</v>
      </c>
      <c r="E137" s="120">
        <v>0</v>
      </c>
      <c r="F137" s="120">
        <v>0</v>
      </c>
      <c r="G137" s="120">
        <v>0</v>
      </c>
      <c r="H137" s="120">
        <v>0</v>
      </c>
      <c r="I137" s="120">
        <v>0</v>
      </c>
      <c r="J137" s="120">
        <v>0</v>
      </c>
      <c r="K137" s="223">
        <f t="shared" si="14"/>
        <v>0</v>
      </c>
      <c r="L137" s="224">
        <f t="shared" si="15"/>
        <v>0</v>
      </c>
    </row>
    <row r="138" spans="1:12" ht="45" x14ac:dyDescent="0.25">
      <c r="A138" s="210">
        <v>472</v>
      </c>
      <c r="B138" s="211" t="s">
        <v>781</v>
      </c>
      <c r="C138" s="212">
        <v>0</v>
      </c>
      <c r="D138" s="213">
        <v>0</v>
      </c>
      <c r="E138" s="120">
        <v>0</v>
      </c>
      <c r="F138" s="120">
        <v>0</v>
      </c>
      <c r="G138" s="120">
        <v>0</v>
      </c>
      <c r="H138" s="120">
        <v>0</v>
      </c>
      <c r="I138" s="120">
        <v>0</v>
      </c>
      <c r="J138" s="120">
        <v>0</v>
      </c>
      <c r="K138" s="223">
        <f t="shared" si="14"/>
        <v>0</v>
      </c>
      <c r="L138" s="224">
        <f t="shared" si="15"/>
        <v>0</v>
      </c>
    </row>
    <row r="139" spans="1:12" ht="45" x14ac:dyDescent="0.25">
      <c r="A139" s="210">
        <v>473</v>
      </c>
      <c r="B139" s="211" t="s">
        <v>782</v>
      </c>
      <c r="C139" s="212">
        <v>0</v>
      </c>
      <c r="D139" s="213">
        <v>0</v>
      </c>
      <c r="E139" s="120">
        <v>0</v>
      </c>
      <c r="F139" s="120">
        <v>0</v>
      </c>
      <c r="G139" s="120">
        <v>0</v>
      </c>
      <c r="H139" s="120">
        <v>0</v>
      </c>
      <c r="I139" s="120">
        <v>0</v>
      </c>
      <c r="J139" s="120">
        <v>0</v>
      </c>
      <c r="K139" s="223">
        <f t="shared" si="14"/>
        <v>0</v>
      </c>
      <c r="L139" s="224">
        <f t="shared" si="15"/>
        <v>0</v>
      </c>
    </row>
    <row r="140" spans="1:12" ht="45" x14ac:dyDescent="0.25">
      <c r="A140" s="210">
        <v>474</v>
      </c>
      <c r="B140" s="211" t="s">
        <v>783</v>
      </c>
      <c r="C140" s="212">
        <v>0</v>
      </c>
      <c r="D140" s="213">
        <v>0</v>
      </c>
      <c r="E140" s="120">
        <v>0</v>
      </c>
      <c r="F140" s="120">
        <v>0</v>
      </c>
      <c r="G140" s="120">
        <v>0</v>
      </c>
      <c r="H140" s="120">
        <v>0</v>
      </c>
      <c r="I140" s="120">
        <v>0</v>
      </c>
      <c r="J140" s="120">
        <v>0</v>
      </c>
      <c r="K140" s="223">
        <f t="shared" si="14"/>
        <v>0</v>
      </c>
      <c r="L140" s="224">
        <f t="shared" si="15"/>
        <v>0</v>
      </c>
    </row>
    <row r="141" spans="1:12" ht="45" x14ac:dyDescent="0.25">
      <c r="A141" s="210">
        <v>475</v>
      </c>
      <c r="B141" s="211" t="s">
        <v>784</v>
      </c>
      <c r="C141" s="212">
        <v>0</v>
      </c>
      <c r="D141" s="213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223">
        <f t="shared" si="14"/>
        <v>0</v>
      </c>
      <c r="L141" s="224">
        <f t="shared" si="15"/>
        <v>0</v>
      </c>
    </row>
    <row r="142" spans="1:12" ht="45" x14ac:dyDescent="0.25">
      <c r="A142" s="210">
        <v>476</v>
      </c>
      <c r="B142" s="211" t="s">
        <v>785</v>
      </c>
      <c r="C142" s="212">
        <v>0</v>
      </c>
      <c r="D142" s="213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223">
        <f t="shared" si="14"/>
        <v>0</v>
      </c>
      <c r="L142" s="224">
        <f t="shared" si="15"/>
        <v>0</v>
      </c>
    </row>
    <row r="143" spans="1:12" ht="30" x14ac:dyDescent="0.25">
      <c r="A143" s="210">
        <v>477</v>
      </c>
      <c r="B143" s="211" t="s">
        <v>786</v>
      </c>
      <c r="C143" s="212">
        <v>0</v>
      </c>
      <c r="D143" s="213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223">
        <f t="shared" si="14"/>
        <v>0</v>
      </c>
      <c r="L143" s="224">
        <f t="shared" si="15"/>
        <v>0</v>
      </c>
    </row>
    <row r="144" spans="1:12" ht="30" x14ac:dyDescent="0.25">
      <c r="A144" s="210">
        <v>478</v>
      </c>
      <c r="B144" s="211" t="s">
        <v>787</v>
      </c>
      <c r="C144" s="212">
        <v>0</v>
      </c>
      <c r="D144" s="213">
        <v>0</v>
      </c>
      <c r="E144" s="120">
        <v>0</v>
      </c>
      <c r="F144" s="120">
        <v>0</v>
      </c>
      <c r="G144" s="120">
        <v>0</v>
      </c>
      <c r="H144" s="120">
        <v>0</v>
      </c>
      <c r="I144" s="120">
        <v>0</v>
      </c>
      <c r="J144" s="120">
        <v>0</v>
      </c>
      <c r="K144" s="223">
        <f t="shared" si="14"/>
        <v>0</v>
      </c>
      <c r="L144" s="224">
        <f t="shared" si="15"/>
        <v>0</v>
      </c>
    </row>
    <row r="145" spans="1:12" ht="30" customHeight="1" thickBot="1" x14ac:dyDescent="0.3">
      <c r="A145" s="204">
        <v>479</v>
      </c>
      <c r="B145" s="205" t="s">
        <v>788</v>
      </c>
      <c r="C145" s="214">
        <v>0</v>
      </c>
      <c r="D145" s="215">
        <v>0</v>
      </c>
      <c r="E145" s="209">
        <v>0</v>
      </c>
      <c r="F145" s="209">
        <v>0</v>
      </c>
      <c r="G145" s="209">
        <v>0</v>
      </c>
      <c r="H145" s="209">
        <v>0</v>
      </c>
      <c r="I145" s="209">
        <v>0</v>
      </c>
      <c r="J145" s="209">
        <v>0</v>
      </c>
      <c r="K145" s="221">
        <f t="shared" si="14"/>
        <v>0</v>
      </c>
      <c r="L145" s="225">
        <f t="shared" si="15"/>
        <v>0</v>
      </c>
    </row>
    <row r="146" spans="1:12" ht="15.75" thickBot="1" x14ac:dyDescent="0.3">
      <c r="A146" s="216" t="s">
        <v>789</v>
      </c>
      <c r="B146" s="217" t="s">
        <v>790</v>
      </c>
      <c r="C146" s="426"/>
      <c r="D146" s="427"/>
      <c r="E146" s="427"/>
      <c r="F146" s="218"/>
      <c r="G146" s="218"/>
      <c r="H146" s="218"/>
      <c r="I146" s="218"/>
      <c r="J146" s="218"/>
      <c r="K146" s="226"/>
      <c r="L146" s="227"/>
    </row>
    <row r="147" spans="1:12" x14ac:dyDescent="0.25">
      <c r="A147" s="204">
        <v>491</v>
      </c>
      <c r="B147" s="205" t="s">
        <v>791</v>
      </c>
      <c r="C147" s="214">
        <v>0</v>
      </c>
      <c r="D147" s="215">
        <v>0</v>
      </c>
      <c r="E147" s="209">
        <v>0</v>
      </c>
      <c r="F147" s="209">
        <v>0</v>
      </c>
      <c r="G147" s="209">
        <v>0</v>
      </c>
      <c r="H147" s="209">
        <v>0</v>
      </c>
      <c r="I147" s="209">
        <v>0</v>
      </c>
      <c r="J147" s="209">
        <v>0</v>
      </c>
      <c r="K147" s="221">
        <f t="shared" ref="K147:K158" si="16">C147+E147-G147-I147</f>
        <v>0</v>
      </c>
      <c r="L147" s="225">
        <f t="shared" ref="L147:L158" si="17">D147+F147-H147-J147</f>
        <v>0</v>
      </c>
    </row>
    <row r="148" spans="1:12" x14ac:dyDescent="0.25">
      <c r="A148" s="210">
        <v>492</v>
      </c>
      <c r="B148" s="211" t="s">
        <v>792</v>
      </c>
      <c r="C148" s="212">
        <v>0</v>
      </c>
      <c r="D148" s="213">
        <v>0</v>
      </c>
      <c r="E148" s="120">
        <v>0</v>
      </c>
      <c r="F148" s="120">
        <v>0</v>
      </c>
      <c r="G148" s="120">
        <v>0</v>
      </c>
      <c r="H148" s="120">
        <v>0</v>
      </c>
      <c r="I148" s="120">
        <v>0</v>
      </c>
      <c r="J148" s="120">
        <v>0</v>
      </c>
      <c r="K148" s="223">
        <f t="shared" si="16"/>
        <v>0</v>
      </c>
      <c r="L148" s="224">
        <f t="shared" si="17"/>
        <v>0</v>
      </c>
    </row>
    <row r="149" spans="1:12" x14ac:dyDescent="0.25">
      <c r="A149" s="210">
        <v>493</v>
      </c>
      <c r="B149" s="211" t="s">
        <v>793</v>
      </c>
      <c r="C149" s="212">
        <v>0</v>
      </c>
      <c r="D149" s="213">
        <v>0</v>
      </c>
      <c r="E149" s="120">
        <v>0</v>
      </c>
      <c r="F149" s="120">
        <v>0</v>
      </c>
      <c r="G149" s="120">
        <v>0</v>
      </c>
      <c r="H149" s="120">
        <v>0</v>
      </c>
      <c r="I149" s="120">
        <v>0</v>
      </c>
      <c r="J149" s="120">
        <v>0</v>
      </c>
      <c r="K149" s="223">
        <f t="shared" si="16"/>
        <v>0</v>
      </c>
      <c r="L149" s="224">
        <f t="shared" si="17"/>
        <v>0</v>
      </c>
    </row>
    <row r="150" spans="1:12" x14ac:dyDescent="0.25">
      <c r="A150" s="210">
        <v>494</v>
      </c>
      <c r="B150" s="211" t="s">
        <v>794</v>
      </c>
      <c r="C150" s="212">
        <v>0</v>
      </c>
      <c r="D150" s="213">
        <v>0</v>
      </c>
      <c r="E150" s="120">
        <v>0</v>
      </c>
      <c r="F150" s="120">
        <v>0</v>
      </c>
      <c r="G150" s="120">
        <v>0</v>
      </c>
      <c r="H150" s="120">
        <v>0</v>
      </c>
      <c r="I150" s="120">
        <v>0</v>
      </c>
      <c r="J150" s="120">
        <v>0</v>
      </c>
      <c r="K150" s="223">
        <f t="shared" si="16"/>
        <v>0</v>
      </c>
      <c r="L150" s="224">
        <f t="shared" si="17"/>
        <v>0</v>
      </c>
    </row>
    <row r="151" spans="1:12" x14ac:dyDescent="0.25">
      <c r="A151" s="210">
        <v>501</v>
      </c>
      <c r="B151" s="211" t="s">
        <v>795</v>
      </c>
      <c r="C151" s="212">
        <v>0</v>
      </c>
      <c r="D151" s="213">
        <v>0</v>
      </c>
      <c r="E151" s="120">
        <v>0</v>
      </c>
      <c r="F151" s="120">
        <v>0</v>
      </c>
      <c r="G151" s="120">
        <v>0</v>
      </c>
      <c r="H151" s="120">
        <v>0</v>
      </c>
      <c r="I151" s="120">
        <v>0</v>
      </c>
      <c r="J151" s="120">
        <v>0</v>
      </c>
      <c r="K151" s="223">
        <f t="shared" si="16"/>
        <v>0</v>
      </c>
      <c r="L151" s="224">
        <f t="shared" si="17"/>
        <v>0</v>
      </c>
    </row>
    <row r="152" spans="1:12" ht="30" customHeight="1" x14ac:dyDescent="0.25">
      <c r="A152" s="210">
        <v>502</v>
      </c>
      <c r="B152" s="211" t="s">
        <v>796</v>
      </c>
      <c r="C152" s="212">
        <v>0</v>
      </c>
      <c r="D152" s="213">
        <v>0</v>
      </c>
      <c r="E152" s="120">
        <v>0</v>
      </c>
      <c r="F152" s="120">
        <v>0</v>
      </c>
      <c r="G152" s="120">
        <v>0</v>
      </c>
      <c r="H152" s="120">
        <v>0</v>
      </c>
      <c r="I152" s="120">
        <v>0</v>
      </c>
      <c r="J152" s="120">
        <v>0</v>
      </c>
      <c r="K152" s="223">
        <f t="shared" si="16"/>
        <v>0</v>
      </c>
      <c r="L152" s="224">
        <f t="shared" si="17"/>
        <v>0</v>
      </c>
    </row>
    <row r="153" spans="1:12" ht="30" x14ac:dyDescent="0.25">
      <c r="A153" s="210">
        <v>511</v>
      </c>
      <c r="B153" s="211" t="s">
        <v>797</v>
      </c>
      <c r="C153" s="212">
        <v>0</v>
      </c>
      <c r="D153" s="213">
        <v>0</v>
      </c>
      <c r="E153" s="120">
        <v>0</v>
      </c>
      <c r="F153" s="120">
        <v>0</v>
      </c>
      <c r="G153" s="120">
        <v>0</v>
      </c>
      <c r="H153" s="120">
        <v>0</v>
      </c>
      <c r="I153" s="120">
        <v>0</v>
      </c>
      <c r="J153" s="120">
        <v>0</v>
      </c>
      <c r="K153" s="223">
        <f t="shared" si="16"/>
        <v>0</v>
      </c>
      <c r="L153" s="224">
        <f t="shared" si="17"/>
        <v>0</v>
      </c>
    </row>
    <row r="154" spans="1:12" ht="15" customHeight="1" x14ac:dyDescent="0.25">
      <c r="A154" s="210">
        <v>512</v>
      </c>
      <c r="B154" s="211" t="s">
        <v>798</v>
      </c>
      <c r="C154" s="212">
        <v>0</v>
      </c>
      <c r="D154" s="213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223">
        <f t="shared" si="16"/>
        <v>0</v>
      </c>
      <c r="L154" s="224">
        <f t="shared" si="17"/>
        <v>0</v>
      </c>
    </row>
    <row r="155" spans="1:12" x14ac:dyDescent="0.25">
      <c r="A155" s="210">
        <v>521</v>
      </c>
      <c r="B155" s="211" t="s">
        <v>799</v>
      </c>
      <c r="C155" s="212">
        <v>0</v>
      </c>
      <c r="D155" s="213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223">
        <f t="shared" si="16"/>
        <v>0</v>
      </c>
      <c r="L155" s="224">
        <f t="shared" si="17"/>
        <v>0</v>
      </c>
    </row>
    <row r="156" spans="1:12" x14ac:dyDescent="0.25">
      <c r="A156" s="210">
        <v>522</v>
      </c>
      <c r="B156" s="211" t="s">
        <v>800</v>
      </c>
      <c r="C156" s="212">
        <v>1</v>
      </c>
      <c r="D156" s="213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223">
        <f t="shared" si="16"/>
        <v>1</v>
      </c>
      <c r="L156" s="224">
        <f t="shared" si="17"/>
        <v>0</v>
      </c>
    </row>
    <row r="157" spans="1:12" x14ac:dyDescent="0.25">
      <c r="A157" s="210">
        <v>531</v>
      </c>
      <c r="B157" s="211" t="s">
        <v>801</v>
      </c>
      <c r="C157" s="212">
        <v>0</v>
      </c>
      <c r="D157" s="213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223">
        <f t="shared" si="16"/>
        <v>0</v>
      </c>
      <c r="L157" s="224">
        <f t="shared" si="17"/>
        <v>0</v>
      </c>
    </row>
    <row r="158" spans="1:12" ht="15.75" thickBot="1" x14ac:dyDescent="0.3">
      <c r="A158" s="204">
        <v>532</v>
      </c>
      <c r="B158" s="205" t="s">
        <v>802</v>
      </c>
      <c r="C158" s="214">
        <v>0</v>
      </c>
      <c r="D158" s="215">
        <v>0</v>
      </c>
      <c r="E158" s="209">
        <v>0</v>
      </c>
      <c r="F158" s="209">
        <v>0</v>
      </c>
      <c r="G158" s="209">
        <v>0</v>
      </c>
      <c r="H158" s="209">
        <v>0</v>
      </c>
      <c r="I158" s="209">
        <v>0</v>
      </c>
      <c r="J158" s="209">
        <v>0</v>
      </c>
      <c r="K158" s="221">
        <f t="shared" si="16"/>
        <v>0</v>
      </c>
      <c r="L158" s="225">
        <f t="shared" si="17"/>
        <v>0</v>
      </c>
    </row>
    <row r="159" spans="1:12" ht="30.75" thickBot="1" x14ac:dyDescent="0.3">
      <c r="A159" s="216" t="s">
        <v>803</v>
      </c>
      <c r="B159" s="217" t="s">
        <v>804</v>
      </c>
      <c r="C159" s="426"/>
      <c r="D159" s="427"/>
      <c r="E159" s="427"/>
      <c r="F159" s="218"/>
      <c r="G159" s="218"/>
      <c r="H159" s="218"/>
      <c r="I159" s="218"/>
      <c r="J159" s="218"/>
      <c r="K159" s="226"/>
      <c r="L159" s="227"/>
    </row>
    <row r="160" spans="1:12" ht="30" x14ac:dyDescent="0.25">
      <c r="A160" s="204">
        <v>551</v>
      </c>
      <c r="B160" s="205" t="s">
        <v>805</v>
      </c>
      <c r="C160" s="214">
        <v>0</v>
      </c>
      <c r="D160" s="215">
        <v>0</v>
      </c>
      <c r="E160" s="209">
        <v>0</v>
      </c>
      <c r="F160" s="209">
        <v>0</v>
      </c>
      <c r="G160" s="209">
        <v>0</v>
      </c>
      <c r="H160" s="209">
        <v>0</v>
      </c>
      <c r="I160" s="209">
        <v>0</v>
      </c>
      <c r="J160" s="209">
        <v>0</v>
      </c>
      <c r="K160" s="221">
        <f t="shared" ref="K160:K164" si="18">C160+E160-G160-I160</f>
        <v>0</v>
      </c>
      <c r="L160" s="225">
        <f t="shared" ref="L160:L164" si="19">D160+F160-H160-J160</f>
        <v>0</v>
      </c>
    </row>
    <row r="161" spans="1:12" ht="15" customHeight="1" x14ac:dyDescent="0.25">
      <c r="A161" s="210">
        <v>559</v>
      </c>
      <c r="B161" s="211" t="s">
        <v>806</v>
      </c>
      <c r="C161" s="212">
        <v>0</v>
      </c>
      <c r="D161" s="213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223">
        <f t="shared" si="18"/>
        <v>0</v>
      </c>
      <c r="L161" s="224">
        <f t="shared" si="19"/>
        <v>0</v>
      </c>
    </row>
    <row r="162" spans="1:12" ht="30" x14ac:dyDescent="0.25">
      <c r="A162" s="210">
        <v>561</v>
      </c>
      <c r="B162" s="211" t="s">
        <v>807</v>
      </c>
      <c r="C162" s="212">
        <v>0</v>
      </c>
      <c r="D162" s="213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223">
        <f t="shared" si="18"/>
        <v>0</v>
      </c>
      <c r="L162" s="224">
        <f t="shared" si="19"/>
        <v>0</v>
      </c>
    </row>
    <row r="163" spans="1:12" ht="44.25" customHeight="1" x14ac:dyDescent="0.25">
      <c r="A163" s="210">
        <v>562</v>
      </c>
      <c r="B163" s="211" t="s">
        <v>808</v>
      </c>
      <c r="C163" s="212">
        <v>0</v>
      </c>
      <c r="D163" s="213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223">
        <f t="shared" si="18"/>
        <v>0</v>
      </c>
      <c r="L163" s="224">
        <f t="shared" si="19"/>
        <v>0</v>
      </c>
    </row>
    <row r="164" spans="1:12" ht="15.75" thickBot="1" x14ac:dyDescent="0.3">
      <c r="A164" s="204">
        <v>563</v>
      </c>
      <c r="B164" s="205" t="s">
        <v>809</v>
      </c>
      <c r="C164" s="214">
        <v>0</v>
      </c>
      <c r="D164" s="215">
        <v>0</v>
      </c>
      <c r="E164" s="209">
        <v>0</v>
      </c>
      <c r="F164" s="209">
        <v>0</v>
      </c>
      <c r="G164" s="209">
        <v>0</v>
      </c>
      <c r="H164" s="209">
        <v>0</v>
      </c>
      <c r="I164" s="209">
        <v>0</v>
      </c>
      <c r="J164" s="209">
        <v>0</v>
      </c>
      <c r="K164" s="221">
        <f t="shared" si="18"/>
        <v>0</v>
      </c>
      <c r="L164" s="225">
        <f t="shared" si="19"/>
        <v>0</v>
      </c>
    </row>
    <row r="165" spans="1:12" ht="15.75" thickBot="1" x14ac:dyDescent="0.3">
      <c r="A165" s="216" t="s">
        <v>810</v>
      </c>
      <c r="B165" s="217" t="s">
        <v>811</v>
      </c>
      <c r="C165" s="426"/>
      <c r="D165" s="427"/>
      <c r="E165" s="427"/>
      <c r="F165" s="218"/>
      <c r="G165" s="218"/>
      <c r="H165" s="218"/>
      <c r="I165" s="218"/>
      <c r="J165" s="218"/>
      <c r="K165" s="226"/>
      <c r="L165" s="227"/>
    </row>
    <row r="166" spans="1:12" ht="30" x14ac:dyDescent="0.25">
      <c r="A166" s="204">
        <v>581</v>
      </c>
      <c r="B166" s="205" t="s">
        <v>812</v>
      </c>
      <c r="C166" s="214">
        <v>0</v>
      </c>
      <c r="D166" s="215">
        <v>0</v>
      </c>
      <c r="E166" s="209">
        <v>0</v>
      </c>
      <c r="F166" s="209">
        <v>0</v>
      </c>
      <c r="G166" s="209">
        <v>0</v>
      </c>
      <c r="H166" s="209">
        <v>0</v>
      </c>
      <c r="I166" s="209">
        <v>0</v>
      </c>
      <c r="J166" s="209">
        <v>0</v>
      </c>
      <c r="K166" s="221">
        <f t="shared" ref="K166:K178" si="20">C166+E166-G166-I166</f>
        <v>0</v>
      </c>
      <c r="L166" s="225">
        <f t="shared" ref="L166:L178" si="21">D166+F166-H166-J166</f>
        <v>0</v>
      </c>
    </row>
    <row r="167" spans="1:12" ht="30" x14ac:dyDescent="0.25">
      <c r="A167" s="210">
        <v>582</v>
      </c>
      <c r="B167" s="211" t="s">
        <v>813</v>
      </c>
      <c r="C167" s="212">
        <v>0</v>
      </c>
      <c r="D167" s="213">
        <v>0</v>
      </c>
      <c r="E167" s="120">
        <v>0</v>
      </c>
      <c r="F167" s="120">
        <v>0</v>
      </c>
      <c r="G167" s="120">
        <v>0</v>
      </c>
      <c r="H167" s="120">
        <v>0</v>
      </c>
      <c r="I167" s="120">
        <v>0</v>
      </c>
      <c r="J167" s="120">
        <v>0</v>
      </c>
      <c r="K167" s="223">
        <f t="shared" si="20"/>
        <v>0</v>
      </c>
      <c r="L167" s="224">
        <f t="shared" si="21"/>
        <v>0</v>
      </c>
    </row>
    <row r="168" spans="1:12" ht="30" x14ac:dyDescent="0.25">
      <c r="A168" s="210">
        <v>591</v>
      </c>
      <c r="B168" s="211" t="s">
        <v>814</v>
      </c>
      <c r="C168" s="212">
        <v>0</v>
      </c>
      <c r="D168" s="213">
        <v>0</v>
      </c>
      <c r="E168" s="120">
        <v>0</v>
      </c>
      <c r="F168" s="120">
        <v>0</v>
      </c>
      <c r="G168" s="120">
        <v>0</v>
      </c>
      <c r="H168" s="120">
        <v>0</v>
      </c>
      <c r="I168" s="120">
        <v>0</v>
      </c>
      <c r="J168" s="120">
        <v>0</v>
      </c>
      <c r="K168" s="223">
        <f t="shared" si="20"/>
        <v>0</v>
      </c>
      <c r="L168" s="224">
        <f t="shared" si="21"/>
        <v>0</v>
      </c>
    </row>
    <row r="169" spans="1:12" ht="30" x14ac:dyDescent="0.25">
      <c r="A169" s="210">
        <v>592</v>
      </c>
      <c r="B169" s="211" t="s">
        <v>815</v>
      </c>
      <c r="C169" s="212">
        <v>0</v>
      </c>
      <c r="D169" s="213">
        <v>0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223">
        <f t="shared" si="20"/>
        <v>0</v>
      </c>
      <c r="L169" s="224">
        <f t="shared" si="21"/>
        <v>0</v>
      </c>
    </row>
    <row r="170" spans="1:12" x14ac:dyDescent="0.25">
      <c r="A170" s="210">
        <v>601</v>
      </c>
      <c r="B170" s="211" t="s">
        <v>816</v>
      </c>
      <c r="C170" s="212">
        <v>0</v>
      </c>
      <c r="D170" s="213">
        <v>0</v>
      </c>
      <c r="E170" s="120">
        <v>0</v>
      </c>
      <c r="F170" s="120">
        <v>0</v>
      </c>
      <c r="G170" s="120">
        <v>0</v>
      </c>
      <c r="H170" s="120">
        <v>0</v>
      </c>
      <c r="I170" s="120">
        <v>0</v>
      </c>
      <c r="J170" s="120">
        <v>0</v>
      </c>
      <c r="K170" s="223">
        <f t="shared" si="20"/>
        <v>0</v>
      </c>
      <c r="L170" s="224">
        <f t="shared" si="21"/>
        <v>0</v>
      </c>
    </row>
    <row r="171" spans="1:12" ht="30" x14ac:dyDescent="0.25">
      <c r="A171" s="210">
        <v>602</v>
      </c>
      <c r="B171" s="211" t="s">
        <v>817</v>
      </c>
      <c r="C171" s="212">
        <v>0</v>
      </c>
      <c r="D171" s="213">
        <v>0</v>
      </c>
      <c r="E171" s="120">
        <v>0</v>
      </c>
      <c r="F171" s="120">
        <v>0</v>
      </c>
      <c r="G171" s="120">
        <v>0</v>
      </c>
      <c r="H171" s="120">
        <v>0</v>
      </c>
      <c r="I171" s="120">
        <v>0</v>
      </c>
      <c r="J171" s="120">
        <v>0</v>
      </c>
      <c r="K171" s="223">
        <f t="shared" si="20"/>
        <v>0</v>
      </c>
      <c r="L171" s="224">
        <f t="shared" si="21"/>
        <v>0</v>
      </c>
    </row>
    <row r="172" spans="1:12" ht="15" customHeight="1" x14ac:dyDescent="0.25">
      <c r="A172" s="210">
        <v>611</v>
      </c>
      <c r="B172" s="211" t="s">
        <v>818</v>
      </c>
      <c r="C172" s="212">
        <v>0</v>
      </c>
      <c r="D172" s="213">
        <v>0</v>
      </c>
      <c r="E172" s="120">
        <v>0</v>
      </c>
      <c r="F172" s="120">
        <v>0</v>
      </c>
      <c r="G172" s="120">
        <v>0</v>
      </c>
      <c r="H172" s="120">
        <v>0</v>
      </c>
      <c r="I172" s="120">
        <v>0</v>
      </c>
      <c r="J172" s="120">
        <v>0</v>
      </c>
      <c r="K172" s="223">
        <f t="shared" si="20"/>
        <v>0</v>
      </c>
      <c r="L172" s="224">
        <f t="shared" si="21"/>
        <v>0</v>
      </c>
    </row>
    <row r="173" spans="1:12" x14ac:dyDescent="0.25">
      <c r="A173" s="210">
        <v>612</v>
      </c>
      <c r="B173" s="211" t="s">
        <v>819</v>
      </c>
      <c r="C173" s="212">
        <v>0</v>
      </c>
      <c r="D173" s="213">
        <v>0</v>
      </c>
      <c r="E173" s="120">
        <v>0</v>
      </c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223">
        <f t="shared" si="20"/>
        <v>0</v>
      </c>
      <c r="L173" s="224">
        <f t="shared" si="21"/>
        <v>0</v>
      </c>
    </row>
    <row r="174" spans="1:12" x14ac:dyDescent="0.25">
      <c r="A174" s="210">
        <v>613</v>
      </c>
      <c r="B174" s="211" t="s">
        <v>820</v>
      </c>
      <c r="C174" s="212">
        <v>0</v>
      </c>
      <c r="D174" s="213">
        <v>0</v>
      </c>
      <c r="E174" s="120">
        <v>0</v>
      </c>
      <c r="F174" s="120">
        <v>0</v>
      </c>
      <c r="G174" s="120">
        <v>0</v>
      </c>
      <c r="H174" s="120">
        <v>0</v>
      </c>
      <c r="I174" s="120">
        <v>0</v>
      </c>
      <c r="J174" s="120">
        <v>0</v>
      </c>
      <c r="K174" s="223">
        <f t="shared" si="20"/>
        <v>0</v>
      </c>
      <c r="L174" s="224">
        <f t="shared" si="21"/>
        <v>0</v>
      </c>
    </row>
    <row r="175" spans="1:12" x14ac:dyDescent="0.25">
      <c r="A175" s="210">
        <v>619</v>
      </c>
      <c r="B175" s="211" t="s">
        <v>821</v>
      </c>
      <c r="C175" s="212">
        <v>0</v>
      </c>
      <c r="D175" s="213">
        <v>0</v>
      </c>
      <c r="E175" s="120">
        <v>0</v>
      </c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223">
        <f t="shared" si="20"/>
        <v>0</v>
      </c>
      <c r="L175" s="224">
        <f t="shared" si="21"/>
        <v>0</v>
      </c>
    </row>
    <row r="176" spans="1:12" ht="45" x14ac:dyDescent="0.25">
      <c r="A176" s="210">
        <v>620</v>
      </c>
      <c r="B176" s="211" t="s">
        <v>822</v>
      </c>
      <c r="C176" s="212">
        <v>0</v>
      </c>
      <c r="D176" s="213">
        <v>0</v>
      </c>
      <c r="E176" s="120">
        <v>0</v>
      </c>
      <c r="F176" s="120">
        <v>0</v>
      </c>
      <c r="G176" s="120">
        <v>0</v>
      </c>
      <c r="H176" s="120">
        <v>0</v>
      </c>
      <c r="I176" s="120">
        <v>0</v>
      </c>
      <c r="J176" s="120">
        <v>0</v>
      </c>
      <c r="K176" s="223">
        <f t="shared" si="20"/>
        <v>0</v>
      </c>
      <c r="L176" s="224">
        <f t="shared" si="21"/>
        <v>0</v>
      </c>
    </row>
    <row r="177" spans="1:12" ht="60" x14ac:dyDescent="0.25">
      <c r="A177" s="210">
        <v>631</v>
      </c>
      <c r="B177" s="211" t="s">
        <v>823</v>
      </c>
      <c r="C177" s="212">
        <v>0</v>
      </c>
      <c r="D177" s="213">
        <v>0</v>
      </c>
      <c r="E177" s="120">
        <v>0</v>
      </c>
      <c r="F177" s="120">
        <v>0</v>
      </c>
      <c r="G177" s="120">
        <v>0</v>
      </c>
      <c r="H177" s="120">
        <v>0</v>
      </c>
      <c r="I177" s="120">
        <v>0</v>
      </c>
      <c r="J177" s="120">
        <v>0</v>
      </c>
      <c r="K177" s="223">
        <f t="shared" si="20"/>
        <v>0</v>
      </c>
      <c r="L177" s="224">
        <f t="shared" si="21"/>
        <v>0</v>
      </c>
    </row>
    <row r="178" spans="1:12" ht="15.75" thickBot="1" x14ac:dyDescent="0.3">
      <c r="A178" s="204">
        <v>639</v>
      </c>
      <c r="B178" s="205" t="s">
        <v>824</v>
      </c>
      <c r="C178" s="214">
        <v>0</v>
      </c>
      <c r="D178" s="215">
        <v>0</v>
      </c>
      <c r="E178" s="209">
        <v>0</v>
      </c>
      <c r="F178" s="209">
        <v>0</v>
      </c>
      <c r="G178" s="209">
        <v>0</v>
      </c>
      <c r="H178" s="209">
        <v>0</v>
      </c>
      <c r="I178" s="209">
        <v>0</v>
      </c>
      <c r="J178" s="209">
        <v>0</v>
      </c>
      <c r="K178" s="221">
        <f t="shared" si="20"/>
        <v>0</v>
      </c>
      <c r="L178" s="225">
        <f t="shared" si="21"/>
        <v>0</v>
      </c>
    </row>
    <row r="179" spans="1:12" ht="15.75" thickBot="1" x14ac:dyDescent="0.3">
      <c r="A179" s="216" t="s">
        <v>825</v>
      </c>
      <c r="B179" s="217" t="s">
        <v>826</v>
      </c>
      <c r="C179" s="426"/>
      <c r="D179" s="427"/>
      <c r="E179" s="427"/>
      <c r="F179" s="218"/>
      <c r="G179" s="218"/>
      <c r="H179" s="218"/>
      <c r="I179" s="218"/>
      <c r="J179" s="218"/>
      <c r="K179" s="226"/>
      <c r="L179" s="227"/>
    </row>
    <row r="180" spans="1:12" x14ac:dyDescent="0.25">
      <c r="A180" s="204">
        <v>641</v>
      </c>
      <c r="B180" s="205" t="s">
        <v>827</v>
      </c>
      <c r="C180" s="214">
        <v>0</v>
      </c>
      <c r="D180" s="215">
        <v>0</v>
      </c>
      <c r="E180" s="209">
        <v>0</v>
      </c>
      <c r="F180" s="209">
        <v>0</v>
      </c>
      <c r="G180" s="209">
        <v>0</v>
      </c>
      <c r="H180" s="209">
        <v>0</v>
      </c>
      <c r="I180" s="209">
        <v>0</v>
      </c>
      <c r="J180" s="209">
        <v>0</v>
      </c>
      <c r="K180" s="221">
        <f t="shared" ref="K180:K189" si="22">C180+E180-G180-I180</f>
        <v>0</v>
      </c>
      <c r="L180" s="225">
        <f t="shared" ref="L180:L189" si="23">D180+F180-H180-J180</f>
        <v>0</v>
      </c>
    </row>
    <row r="181" spans="1:12" ht="15" customHeight="1" x14ac:dyDescent="0.25">
      <c r="A181" s="210">
        <v>642</v>
      </c>
      <c r="B181" s="211" t="s">
        <v>828</v>
      </c>
      <c r="C181" s="212">
        <v>0</v>
      </c>
      <c r="D181" s="213">
        <v>0</v>
      </c>
      <c r="E181" s="120">
        <v>0</v>
      </c>
      <c r="F181" s="120">
        <v>0</v>
      </c>
      <c r="G181" s="120">
        <v>0</v>
      </c>
      <c r="H181" s="120">
        <v>0</v>
      </c>
      <c r="I181" s="120">
        <v>0</v>
      </c>
      <c r="J181" s="120">
        <v>0</v>
      </c>
      <c r="K181" s="223">
        <f t="shared" si="22"/>
        <v>0</v>
      </c>
      <c r="L181" s="224">
        <f t="shared" si="23"/>
        <v>0</v>
      </c>
    </row>
    <row r="182" spans="1:12" ht="30" x14ac:dyDescent="0.25">
      <c r="A182" s="210">
        <v>643</v>
      </c>
      <c r="B182" s="211" t="s">
        <v>829</v>
      </c>
      <c r="C182" s="212">
        <v>0</v>
      </c>
      <c r="D182" s="213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223">
        <f t="shared" si="22"/>
        <v>0</v>
      </c>
      <c r="L182" s="224">
        <f t="shared" si="23"/>
        <v>0</v>
      </c>
    </row>
    <row r="183" spans="1:12" ht="30" customHeight="1" x14ac:dyDescent="0.25">
      <c r="A183" s="210">
        <v>649</v>
      </c>
      <c r="B183" s="211" t="s">
        <v>830</v>
      </c>
      <c r="C183" s="212">
        <v>3</v>
      </c>
      <c r="D183" s="213">
        <v>1</v>
      </c>
      <c r="E183" s="120">
        <v>0</v>
      </c>
      <c r="F183" s="120">
        <v>0</v>
      </c>
      <c r="G183" s="120">
        <v>0</v>
      </c>
      <c r="H183" s="120">
        <v>0</v>
      </c>
      <c r="I183" s="120">
        <v>0</v>
      </c>
      <c r="J183" s="120">
        <v>0</v>
      </c>
      <c r="K183" s="223">
        <f t="shared" si="22"/>
        <v>3</v>
      </c>
      <c r="L183" s="224">
        <f t="shared" si="23"/>
        <v>1</v>
      </c>
    </row>
    <row r="184" spans="1:12" x14ac:dyDescent="0.25">
      <c r="A184" s="210">
        <v>651</v>
      </c>
      <c r="B184" s="211" t="s">
        <v>831</v>
      </c>
      <c r="C184" s="212">
        <v>0</v>
      </c>
      <c r="D184" s="213">
        <v>0</v>
      </c>
      <c r="E184" s="120">
        <v>0</v>
      </c>
      <c r="F184" s="120">
        <v>0</v>
      </c>
      <c r="G184" s="120">
        <v>0</v>
      </c>
      <c r="H184" s="120">
        <v>0</v>
      </c>
      <c r="I184" s="120">
        <v>0</v>
      </c>
      <c r="J184" s="120">
        <v>0</v>
      </c>
      <c r="K184" s="223">
        <f t="shared" si="22"/>
        <v>0</v>
      </c>
      <c r="L184" s="224">
        <f t="shared" si="23"/>
        <v>0</v>
      </c>
    </row>
    <row r="185" spans="1:12" x14ac:dyDescent="0.25">
      <c r="A185" s="210">
        <v>652</v>
      </c>
      <c r="B185" s="211" t="s">
        <v>832</v>
      </c>
      <c r="C185" s="212">
        <v>0</v>
      </c>
      <c r="D185" s="213">
        <v>0</v>
      </c>
      <c r="E185" s="120">
        <v>0</v>
      </c>
      <c r="F185" s="120">
        <v>0</v>
      </c>
      <c r="G185" s="120">
        <v>0</v>
      </c>
      <c r="H185" s="120">
        <v>0</v>
      </c>
      <c r="I185" s="120">
        <v>0</v>
      </c>
      <c r="J185" s="120">
        <v>0</v>
      </c>
      <c r="K185" s="223">
        <f t="shared" si="22"/>
        <v>0</v>
      </c>
      <c r="L185" s="224">
        <f t="shared" si="23"/>
        <v>0</v>
      </c>
    </row>
    <row r="186" spans="1:12" x14ac:dyDescent="0.25">
      <c r="A186" s="210">
        <v>653</v>
      </c>
      <c r="B186" s="211" t="s">
        <v>833</v>
      </c>
      <c r="C186" s="212">
        <v>0</v>
      </c>
      <c r="D186" s="213">
        <v>0</v>
      </c>
      <c r="E186" s="120">
        <v>0</v>
      </c>
      <c r="F186" s="120">
        <v>0</v>
      </c>
      <c r="G186" s="120">
        <v>0</v>
      </c>
      <c r="H186" s="120">
        <v>0</v>
      </c>
      <c r="I186" s="120">
        <v>0</v>
      </c>
      <c r="J186" s="120">
        <v>0</v>
      </c>
      <c r="K186" s="223">
        <f t="shared" si="22"/>
        <v>0</v>
      </c>
      <c r="L186" s="224">
        <f t="shared" si="23"/>
        <v>0</v>
      </c>
    </row>
    <row r="187" spans="1:12" ht="45" customHeight="1" x14ac:dyDescent="0.25">
      <c r="A187" s="210">
        <v>661</v>
      </c>
      <c r="B187" s="211" t="s">
        <v>834</v>
      </c>
      <c r="C187" s="212">
        <v>0</v>
      </c>
      <c r="D187" s="213">
        <v>0</v>
      </c>
      <c r="E187" s="120">
        <v>0</v>
      </c>
      <c r="F187" s="120">
        <v>0</v>
      </c>
      <c r="G187" s="120">
        <v>0</v>
      </c>
      <c r="H187" s="120">
        <v>0</v>
      </c>
      <c r="I187" s="120">
        <v>0</v>
      </c>
      <c r="J187" s="120">
        <v>0</v>
      </c>
      <c r="K187" s="223">
        <f t="shared" si="22"/>
        <v>0</v>
      </c>
      <c r="L187" s="224">
        <f t="shared" si="23"/>
        <v>0</v>
      </c>
    </row>
    <row r="188" spans="1:12" ht="30" customHeight="1" x14ac:dyDescent="0.25">
      <c r="A188" s="210">
        <v>662</v>
      </c>
      <c r="B188" s="211" t="s">
        <v>835</v>
      </c>
      <c r="C188" s="212">
        <v>0</v>
      </c>
      <c r="D188" s="213">
        <v>0</v>
      </c>
      <c r="E188" s="120">
        <v>0</v>
      </c>
      <c r="F188" s="120">
        <v>0</v>
      </c>
      <c r="G188" s="120">
        <v>0</v>
      </c>
      <c r="H188" s="120">
        <v>0</v>
      </c>
      <c r="I188" s="120">
        <v>0</v>
      </c>
      <c r="J188" s="120">
        <v>0</v>
      </c>
      <c r="K188" s="223">
        <f t="shared" si="22"/>
        <v>0</v>
      </c>
      <c r="L188" s="224">
        <f t="shared" si="23"/>
        <v>0</v>
      </c>
    </row>
    <row r="189" spans="1:12" ht="15.75" thickBot="1" x14ac:dyDescent="0.3">
      <c r="A189" s="204">
        <v>663</v>
      </c>
      <c r="B189" s="205" t="s">
        <v>836</v>
      </c>
      <c r="C189" s="214">
        <v>14</v>
      </c>
      <c r="D189" s="215">
        <v>1</v>
      </c>
      <c r="E189" s="120">
        <v>0</v>
      </c>
      <c r="F189" s="120">
        <v>0</v>
      </c>
      <c r="G189" s="120">
        <v>0</v>
      </c>
      <c r="H189" s="120">
        <v>0</v>
      </c>
      <c r="I189" s="120">
        <v>0</v>
      </c>
      <c r="J189" s="120">
        <v>0</v>
      </c>
      <c r="K189" s="221">
        <f t="shared" si="22"/>
        <v>14</v>
      </c>
      <c r="L189" s="225">
        <f t="shared" si="23"/>
        <v>1</v>
      </c>
    </row>
    <row r="190" spans="1:12" ht="15.75" thickBot="1" x14ac:dyDescent="0.3">
      <c r="A190" s="216" t="s">
        <v>9</v>
      </c>
      <c r="B190" s="217" t="s">
        <v>837</v>
      </c>
      <c r="C190" s="426"/>
      <c r="D190" s="427"/>
      <c r="E190" s="427"/>
      <c r="F190" s="427"/>
      <c r="G190" s="427"/>
      <c r="H190" s="218"/>
      <c r="I190" s="218"/>
      <c r="J190" s="218"/>
      <c r="K190" s="226"/>
      <c r="L190" s="227"/>
    </row>
    <row r="191" spans="1:12" ht="45" x14ac:dyDescent="0.25">
      <c r="A191" s="204">
        <v>681</v>
      </c>
      <c r="B191" s="205" t="s">
        <v>838</v>
      </c>
      <c r="C191" s="214">
        <v>0</v>
      </c>
      <c r="D191" s="215">
        <v>0</v>
      </c>
      <c r="E191" s="209">
        <v>0</v>
      </c>
      <c r="F191" s="209">
        <v>0</v>
      </c>
      <c r="G191" s="209">
        <v>0</v>
      </c>
      <c r="H191" s="209">
        <v>0</v>
      </c>
      <c r="I191" s="209">
        <v>0</v>
      </c>
      <c r="J191" s="209">
        <v>0</v>
      </c>
      <c r="K191" s="221">
        <f t="shared" ref="K191:K207" si="24">C191+E191-G191-I191</f>
        <v>0</v>
      </c>
      <c r="L191" s="225">
        <f t="shared" ref="L191:L207" si="25">D191+F191-H191-J191</f>
        <v>0</v>
      </c>
    </row>
    <row r="192" spans="1:12" ht="30.75" thickBot="1" x14ac:dyDescent="0.3">
      <c r="A192" s="228">
        <v>682</v>
      </c>
      <c r="B192" s="229" t="s">
        <v>839</v>
      </c>
      <c r="C192" s="230">
        <v>0</v>
      </c>
      <c r="D192" s="231">
        <v>0</v>
      </c>
      <c r="E192" s="232">
        <v>0</v>
      </c>
      <c r="F192" s="232">
        <v>0</v>
      </c>
      <c r="G192" s="232">
        <v>0</v>
      </c>
      <c r="H192" s="232">
        <v>0</v>
      </c>
      <c r="I192" s="232">
        <v>0</v>
      </c>
      <c r="J192" s="232">
        <v>0</v>
      </c>
      <c r="K192" s="234">
        <f t="shared" si="24"/>
        <v>0</v>
      </c>
      <c r="L192" s="235">
        <f t="shared" si="25"/>
        <v>0</v>
      </c>
    </row>
    <row r="193" spans="1:12" ht="30.75" thickBot="1" x14ac:dyDescent="0.3">
      <c r="A193" s="216" t="s">
        <v>840</v>
      </c>
      <c r="B193" s="217" t="s">
        <v>841</v>
      </c>
      <c r="C193" s="426"/>
      <c r="D193" s="427"/>
      <c r="E193" s="427"/>
      <c r="F193" s="427"/>
      <c r="G193" s="218"/>
      <c r="H193" s="218"/>
      <c r="I193" s="218"/>
      <c r="J193" s="218"/>
      <c r="K193" s="226"/>
      <c r="L193" s="227"/>
    </row>
    <row r="194" spans="1:12" x14ac:dyDescent="0.25">
      <c r="A194" s="204">
        <v>691</v>
      </c>
      <c r="B194" s="205" t="s">
        <v>842</v>
      </c>
      <c r="C194" s="214">
        <v>0</v>
      </c>
      <c r="D194" s="215">
        <v>0</v>
      </c>
      <c r="E194" s="209">
        <v>0</v>
      </c>
      <c r="F194" s="209">
        <v>0</v>
      </c>
      <c r="G194" s="209">
        <v>0</v>
      </c>
      <c r="H194" s="209">
        <v>0</v>
      </c>
      <c r="I194" s="209">
        <v>0</v>
      </c>
      <c r="J194" s="209">
        <v>0</v>
      </c>
      <c r="K194" s="221">
        <f t="shared" si="24"/>
        <v>0</v>
      </c>
      <c r="L194" s="225">
        <f t="shared" si="25"/>
        <v>0</v>
      </c>
    </row>
    <row r="195" spans="1:12" ht="30" x14ac:dyDescent="0.25">
      <c r="A195" s="210">
        <v>692</v>
      </c>
      <c r="B195" s="211" t="s">
        <v>843</v>
      </c>
      <c r="C195" s="212">
        <v>0</v>
      </c>
      <c r="D195" s="213">
        <v>0</v>
      </c>
      <c r="E195" s="120">
        <v>0</v>
      </c>
      <c r="F195" s="120">
        <v>0</v>
      </c>
      <c r="G195" s="120">
        <v>0</v>
      </c>
      <c r="H195" s="120">
        <v>0</v>
      </c>
      <c r="I195" s="120">
        <v>0</v>
      </c>
      <c r="J195" s="120">
        <v>0</v>
      </c>
      <c r="K195" s="223">
        <f t="shared" si="24"/>
        <v>0</v>
      </c>
      <c r="L195" s="224">
        <f t="shared" si="25"/>
        <v>0</v>
      </c>
    </row>
    <row r="196" spans="1:12" x14ac:dyDescent="0.25">
      <c r="A196" s="210">
        <v>701</v>
      </c>
      <c r="B196" s="211" t="s">
        <v>844</v>
      </c>
      <c r="C196" s="212">
        <v>0</v>
      </c>
      <c r="D196" s="213">
        <v>0</v>
      </c>
      <c r="E196" s="120">
        <v>0</v>
      </c>
      <c r="F196" s="120">
        <v>0</v>
      </c>
      <c r="G196" s="120">
        <v>0</v>
      </c>
      <c r="H196" s="120">
        <v>0</v>
      </c>
      <c r="I196" s="120">
        <v>0</v>
      </c>
      <c r="J196" s="120">
        <v>0</v>
      </c>
      <c r="K196" s="223">
        <f t="shared" si="24"/>
        <v>0</v>
      </c>
      <c r="L196" s="224">
        <f t="shared" si="25"/>
        <v>0</v>
      </c>
    </row>
    <row r="197" spans="1:12" x14ac:dyDescent="0.25">
      <c r="A197" s="210">
        <v>702</v>
      </c>
      <c r="B197" s="211" t="s">
        <v>845</v>
      </c>
      <c r="C197" s="212">
        <v>0</v>
      </c>
      <c r="D197" s="213">
        <v>0</v>
      </c>
      <c r="E197" s="120">
        <v>0</v>
      </c>
      <c r="F197" s="120">
        <v>0</v>
      </c>
      <c r="G197" s="120">
        <v>0</v>
      </c>
      <c r="H197" s="120">
        <v>0</v>
      </c>
      <c r="I197" s="120">
        <v>0</v>
      </c>
      <c r="J197" s="120">
        <v>0</v>
      </c>
      <c r="K197" s="223">
        <f t="shared" si="24"/>
        <v>0</v>
      </c>
      <c r="L197" s="224">
        <f t="shared" si="25"/>
        <v>0</v>
      </c>
    </row>
    <row r="198" spans="1:12" ht="30" x14ac:dyDescent="0.25">
      <c r="A198" s="210">
        <v>711</v>
      </c>
      <c r="B198" s="211" t="s">
        <v>846</v>
      </c>
      <c r="C198" s="212">
        <v>0</v>
      </c>
      <c r="D198" s="213">
        <v>0</v>
      </c>
      <c r="E198" s="120">
        <v>0</v>
      </c>
      <c r="F198" s="120">
        <v>0</v>
      </c>
      <c r="G198" s="120">
        <v>0</v>
      </c>
      <c r="H198" s="120">
        <v>0</v>
      </c>
      <c r="I198" s="120">
        <v>0</v>
      </c>
      <c r="J198" s="120">
        <v>0</v>
      </c>
      <c r="K198" s="223">
        <f t="shared" si="24"/>
        <v>0</v>
      </c>
      <c r="L198" s="224">
        <f t="shared" si="25"/>
        <v>0</v>
      </c>
    </row>
    <row r="199" spans="1:12" x14ac:dyDescent="0.25">
      <c r="A199" s="210">
        <v>712</v>
      </c>
      <c r="B199" s="211" t="s">
        <v>847</v>
      </c>
      <c r="C199" s="212">
        <v>0</v>
      </c>
      <c r="D199" s="213">
        <v>0</v>
      </c>
      <c r="E199" s="120">
        <v>0</v>
      </c>
      <c r="F199" s="120">
        <v>0</v>
      </c>
      <c r="G199" s="120">
        <v>0</v>
      </c>
      <c r="H199" s="120">
        <v>0</v>
      </c>
      <c r="I199" s="120">
        <v>0</v>
      </c>
      <c r="J199" s="120">
        <v>0</v>
      </c>
      <c r="K199" s="223">
        <f t="shared" si="24"/>
        <v>0</v>
      </c>
      <c r="L199" s="224">
        <f t="shared" si="25"/>
        <v>0</v>
      </c>
    </row>
    <row r="200" spans="1:12" ht="45" customHeight="1" x14ac:dyDescent="0.25">
      <c r="A200" s="210">
        <v>721</v>
      </c>
      <c r="B200" s="211" t="s">
        <v>848</v>
      </c>
      <c r="C200" s="212">
        <v>0</v>
      </c>
      <c r="D200" s="213">
        <v>0</v>
      </c>
      <c r="E200" s="120">
        <v>0</v>
      </c>
      <c r="F200" s="120">
        <v>0</v>
      </c>
      <c r="G200" s="120">
        <v>0</v>
      </c>
      <c r="H200" s="120">
        <v>0</v>
      </c>
      <c r="I200" s="120">
        <v>0</v>
      </c>
      <c r="J200" s="120">
        <v>0</v>
      </c>
      <c r="K200" s="223">
        <f t="shared" si="24"/>
        <v>0</v>
      </c>
      <c r="L200" s="224">
        <f t="shared" si="25"/>
        <v>0</v>
      </c>
    </row>
    <row r="201" spans="1:12" ht="46.5" customHeight="1" x14ac:dyDescent="0.25">
      <c r="A201" s="210">
        <v>722</v>
      </c>
      <c r="B201" s="211" t="s">
        <v>849</v>
      </c>
      <c r="C201" s="212">
        <v>0</v>
      </c>
      <c r="D201" s="213">
        <v>0</v>
      </c>
      <c r="E201" s="120">
        <v>0</v>
      </c>
      <c r="F201" s="120">
        <v>0</v>
      </c>
      <c r="G201" s="120">
        <v>0</v>
      </c>
      <c r="H201" s="120">
        <v>0</v>
      </c>
      <c r="I201" s="120">
        <v>0</v>
      </c>
      <c r="J201" s="120">
        <v>0</v>
      </c>
      <c r="K201" s="223">
        <f t="shared" si="24"/>
        <v>0</v>
      </c>
      <c r="L201" s="224">
        <f t="shared" si="25"/>
        <v>0</v>
      </c>
    </row>
    <row r="202" spans="1:12" x14ac:dyDescent="0.25">
      <c r="A202" s="210">
        <v>731</v>
      </c>
      <c r="B202" s="211" t="s">
        <v>850</v>
      </c>
      <c r="C202" s="212">
        <v>0</v>
      </c>
      <c r="D202" s="213">
        <v>0</v>
      </c>
      <c r="E202" s="120">
        <v>0</v>
      </c>
      <c r="F202" s="120">
        <v>0</v>
      </c>
      <c r="G202" s="120">
        <v>0</v>
      </c>
      <c r="H202" s="120">
        <v>0</v>
      </c>
      <c r="I202" s="120">
        <v>0</v>
      </c>
      <c r="J202" s="120">
        <v>0</v>
      </c>
      <c r="K202" s="223">
        <f t="shared" si="24"/>
        <v>0</v>
      </c>
      <c r="L202" s="224">
        <f t="shared" si="25"/>
        <v>0</v>
      </c>
    </row>
    <row r="203" spans="1:12" ht="30" x14ac:dyDescent="0.25">
      <c r="A203" s="210">
        <v>732</v>
      </c>
      <c r="B203" s="211" t="s">
        <v>851</v>
      </c>
      <c r="C203" s="212">
        <v>0</v>
      </c>
      <c r="D203" s="213">
        <v>0</v>
      </c>
      <c r="E203" s="120">
        <v>0</v>
      </c>
      <c r="F203" s="120">
        <v>0</v>
      </c>
      <c r="G203" s="120">
        <v>0</v>
      </c>
      <c r="H203" s="120">
        <v>0</v>
      </c>
      <c r="I203" s="120">
        <v>0</v>
      </c>
      <c r="J203" s="120">
        <v>0</v>
      </c>
      <c r="K203" s="223">
        <f t="shared" si="24"/>
        <v>0</v>
      </c>
      <c r="L203" s="224">
        <f t="shared" si="25"/>
        <v>0</v>
      </c>
    </row>
    <row r="204" spans="1:12" x14ac:dyDescent="0.25">
      <c r="A204" s="210">
        <v>741</v>
      </c>
      <c r="B204" s="211" t="s">
        <v>852</v>
      </c>
      <c r="C204" s="212">
        <v>0</v>
      </c>
      <c r="D204" s="213">
        <v>0</v>
      </c>
      <c r="E204" s="120">
        <v>0</v>
      </c>
      <c r="F204" s="120">
        <v>0</v>
      </c>
      <c r="G204" s="120">
        <v>0</v>
      </c>
      <c r="H204" s="120">
        <v>0</v>
      </c>
      <c r="I204" s="120">
        <v>0</v>
      </c>
      <c r="J204" s="120">
        <v>0</v>
      </c>
      <c r="K204" s="223">
        <f t="shared" si="24"/>
        <v>0</v>
      </c>
      <c r="L204" s="224">
        <f t="shared" si="25"/>
        <v>0</v>
      </c>
    </row>
    <row r="205" spans="1:12" x14ac:dyDescent="0.25">
      <c r="A205" s="210">
        <v>742</v>
      </c>
      <c r="B205" s="211" t="s">
        <v>853</v>
      </c>
      <c r="C205" s="212">
        <v>0</v>
      </c>
      <c r="D205" s="213">
        <v>0</v>
      </c>
      <c r="E205" s="120">
        <v>0</v>
      </c>
      <c r="F205" s="120">
        <v>0</v>
      </c>
      <c r="G205" s="120">
        <v>0</v>
      </c>
      <c r="H205" s="120">
        <v>0</v>
      </c>
      <c r="I205" s="120">
        <v>0</v>
      </c>
      <c r="J205" s="120">
        <v>0</v>
      </c>
      <c r="K205" s="223">
        <f t="shared" si="24"/>
        <v>0</v>
      </c>
      <c r="L205" s="224">
        <f t="shared" si="25"/>
        <v>0</v>
      </c>
    </row>
    <row r="206" spans="1:12" ht="30" x14ac:dyDescent="0.25">
      <c r="A206" s="210">
        <v>749</v>
      </c>
      <c r="B206" s="211" t="s">
        <v>854</v>
      </c>
      <c r="C206" s="212">
        <v>-1</v>
      </c>
      <c r="D206" s="213">
        <v>0</v>
      </c>
      <c r="E206" s="120">
        <v>0</v>
      </c>
      <c r="F206" s="120">
        <v>0</v>
      </c>
      <c r="G206" s="120">
        <v>0</v>
      </c>
      <c r="H206" s="120">
        <v>0</v>
      </c>
      <c r="I206" s="120">
        <v>0</v>
      </c>
      <c r="J206" s="120">
        <v>0</v>
      </c>
      <c r="K206" s="223">
        <f t="shared" si="24"/>
        <v>-1</v>
      </c>
      <c r="L206" s="224">
        <f t="shared" si="25"/>
        <v>0</v>
      </c>
    </row>
    <row r="207" spans="1:12" ht="15.75" thickBot="1" x14ac:dyDescent="0.3">
      <c r="A207" s="204">
        <v>750</v>
      </c>
      <c r="B207" s="205" t="s">
        <v>855</v>
      </c>
      <c r="C207" s="214">
        <v>0</v>
      </c>
      <c r="D207" s="215">
        <v>0</v>
      </c>
      <c r="E207" s="209">
        <v>0</v>
      </c>
      <c r="F207" s="209">
        <v>0</v>
      </c>
      <c r="G207" s="209">
        <v>0</v>
      </c>
      <c r="H207" s="209">
        <v>0</v>
      </c>
      <c r="I207" s="209">
        <v>0</v>
      </c>
      <c r="J207" s="209">
        <v>0</v>
      </c>
      <c r="K207" s="221">
        <f t="shared" si="24"/>
        <v>0</v>
      </c>
      <c r="L207" s="225">
        <f t="shared" si="25"/>
        <v>0</v>
      </c>
    </row>
    <row r="208" spans="1:12" ht="60.75" thickBot="1" x14ac:dyDescent="0.3">
      <c r="A208" s="216" t="s">
        <v>856</v>
      </c>
      <c r="B208" s="217" t="s">
        <v>857</v>
      </c>
      <c r="C208" s="426"/>
      <c r="D208" s="427"/>
      <c r="E208" s="427"/>
      <c r="F208" s="218"/>
      <c r="G208" s="218"/>
      <c r="H208" s="218"/>
      <c r="I208" s="218"/>
      <c r="J208" s="218"/>
      <c r="K208" s="226"/>
      <c r="L208" s="227"/>
    </row>
    <row r="209" spans="1:12" ht="45" x14ac:dyDescent="0.25">
      <c r="A209" s="204">
        <v>771</v>
      </c>
      <c r="B209" s="205" t="s">
        <v>858</v>
      </c>
      <c r="C209" s="214">
        <v>0</v>
      </c>
      <c r="D209" s="215">
        <v>0</v>
      </c>
      <c r="E209" s="209">
        <v>0</v>
      </c>
      <c r="F209" s="209">
        <v>0</v>
      </c>
      <c r="G209" s="209">
        <v>0</v>
      </c>
      <c r="H209" s="209">
        <v>0</v>
      </c>
      <c r="I209" s="209">
        <v>0</v>
      </c>
      <c r="J209" s="209">
        <v>0</v>
      </c>
      <c r="K209" s="221">
        <f t="shared" ref="K209:K227" si="26">C209+E209-G209-I209</f>
        <v>0</v>
      </c>
      <c r="L209" s="225">
        <f t="shared" ref="L209:L227" si="27">D209+F209-H209-J209</f>
        <v>0</v>
      </c>
    </row>
    <row r="210" spans="1:12" ht="45" x14ac:dyDescent="0.25">
      <c r="A210" s="210">
        <v>772</v>
      </c>
      <c r="B210" s="211" t="s">
        <v>859</v>
      </c>
      <c r="C210" s="212">
        <v>0</v>
      </c>
      <c r="D210" s="213">
        <v>0</v>
      </c>
      <c r="E210" s="120">
        <v>0</v>
      </c>
      <c r="F210" s="120">
        <v>0</v>
      </c>
      <c r="G210" s="120">
        <v>0</v>
      </c>
      <c r="H210" s="120">
        <v>0</v>
      </c>
      <c r="I210" s="120">
        <v>0</v>
      </c>
      <c r="J210" s="120">
        <v>0</v>
      </c>
      <c r="K210" s="223">
        <f t="shared" si="26"/>
        <v>0</v>
      </c>
      <c r="L210" s="224">
        <f t="shared" si="27"/>
        <v>0</v>
      </c>
    </row>
    <row r="211" spans="1:12" ht="60" x14ac:dyDescent="0.25">
      <c r="A211" s="210">
        <v>773</v>
      </c>
      <c r="B211" s="211" t="s">
        <v>860</v>
      </c>
      <c r="C211" s="212">
        <v>0</v>
      </c>
      <c r="D211" s="213">
        <v>0</v>
      </c>
      <c r="E211" s="120">
        <v>0</v>
      </c>
      <c r="F211" s="120">
        <v>0</v>
      </c>
      <c r="G211" s="120">
        <v>0</v>
      </c>
      <c r="H211" s="120">
        <v>0</v>
      </c>
      <c r="I211" s="120">
        <v>0</v>
      </c>
      <c r="J211" s="120">
        <v>0</v>
      </c>
      <c r="K211" s="223">
        <f t="shared" si="26"/>
        <v>0</v>
      </c>
      <c r="L211" s="224">
        <f t="shared" si="27"/>
        <v>0</v>
      </c>
    </row>
    <row r="212" spans="1:12" ht="45" x14ac:dyDescent="0.25">
      <c r="A212" s="210">
        <v>774</v>
      </c>
      <c r="B212" s="211" t="s">
        <v>861</v>
      </c>
      <c r="C212" s="212">
        <v>0</v>
      </c>
      <c r="D212" s="213">
        <v>0</v>
      </c>
      <c r="E212" s="120">
        <v>0</v>
      </c>
      <c r="F212" s="120">
        <v>0</v>
      </c>
      <c r="G212" s="120">
        <v>0</v>
      </c>
      <c r="H212" s="120">
        <v>0</v>
      </c>
      <c r="I212" s="120">
        <v>0</v>
      </c>
      <c r="J212" s="120">
        <v>0</v>
      </c>
      <c r="K212" s="223">
        <f t="shared" si="26"/>
        <v>0</v>
      </c>
      <c r="L212" s="224">
        <f t="shared" si="27"/>
        <v>0</v>
      </c>
    </row>
    <row r="213" spans="1:12" ht="15" customHeight="1" x14ac:dyDescent="0.25">
      <c r="A213" s="210">
        <v>781</v>
      </c>
      <c r="B213" s="211" t="s">
        <v>862</v>
      </c>
      <c r="C213" s="212">
        <v>8</v>
      </c>
      <c r="D213" s="213">
        <v>1</v>
      </c>
      <c r="E213" s="120">
        <v>0</v>
      </c>
      <c r="F213" s="120">
        <v>0</v>
      </c>
      <c r="G213" s="120">
        <v>0</v>
      </c>
      <c r="H213" s="120">
        <v>0</v>
      </c>
      <c r="I213" s="120">
        <v>0</v>
      </c>
      <c r="J213" s="120">
        <v>0</v>
      </c>
      <c r="K213" s="223">
        <f t="shared" si="26"/>
        <v>8</v>
      </c>
      <c r="L213" s="224">
        <f t="shared" si="27"/>
        <v>1</v>
      </c>
    </row>
    <row r="214" spans="1:12" ht="30" x14ac:dyDescent="0.25">
      <c r="A214" s="210">
        <v>782</v>
      </c>
      <c r="B214" s="211" t="s">
        <v>863</v>
      </c>
      <c r="C214" s="212">
        <v>0</v>
      </c>
      <c r="D214" s="213">
        <v>0</v>
      </c>
      <c r="E214" s="120">
        <v>0</v>
      </c>
      <c r="F214" s="120">
        <v>0</v>
      </c>
      <c r="G214" s="120">
        <v>0</v>
      </c>
      <c r="H214" s="120">
        <v>0</v>
      </c>
      <c r="I214" s="120">
        <v>0</v>
      </c>
      <c r="J214" s="120">
        <v>0</v>
      </c>
      <c r="K214" s="223">
        <f t="shared" si="26"/>
        <v>0</v>
      </c>
      <c r="L214" s="224">
        <f t="shared" si="27"/>
        <v>0</v>
      </c>
    </row>
    <row r="215" spans="1:12" ht="45" customHeight="1" x14ac:dyDescent="0.25">
      <c r="A215" s="210">
        <v>783</v>
      </c>
      <c r="B215" s="211" t="s">
        <v>864</v>
      </c>
      <c r="C215" s="212">
        <v>0</v>
      </c>
      <c r="D215" s="213">
        <v>0</v>
      </c>
      <c r="E215" s="120">
        <v>0</v>
      </c>
      <c r="F215" s="120">
        <v>0</v>
      </c>
      <c r="G215" s="120">
        <v>0</v>
      </c>
      <c r="H215" s="120">
        <v>0</v>
      </c>
      <c r="I215" s="120">
        <v>0</v>
      </c>
      <c r="J215" s="120">
        <v>0</v>
      </c>
      <c r="K215" s="223">
        <f t="shared" si="26"/>
        <v>0</v>
      </c>
      <c r="L215" s="224">
        <f t="shared" si="27"/>
        <v>0</v>
      </c>
    </row>
    <row r="216" spans="1:12" ht="30" x14ac:dyDescent="0.25">
      <c r="A216" s="210">
        <v>791</v>
      </c>
      <c r="B216" s="211" t="s">
        <v>865</v>
      </c>
      <c r="C216" s="212">
        <v>0</v>
      </c>
      <c r="D216" s="213">
        <v>0</v>
      </c>
      <c r="E216" s="120">
        <v>0</v>
      </c>
      <c r="F216" s="120">
        <v>0</v>
      </c>
      <c r="G216" s="120">
        <v>0</v>
      </c>
      <c r="H216" s="120">
        <v>0</v>
      </c>
      <c r="I216" s="120">
        <v>0</v>
      </c>
      <c r="J216" s="120">
        <v>0</v>
      </c>
      <c r="K216" s="223">
        <f t="shared" si="26"/>
        <v>0</v>
      </c>
      <c r="L216" s="224">
        <f t="shared" si="27"/>
        <v>0</v>
      </c>
    </row>
    <row r="217" spans="1:12" x14ac:dyDescent="0.25">
      <c r="A217" s="210">
        <v>799</v>
      </c>
      <c r="B217" s="211" t="s">
        <v>866</v>
      </c>
      <c r="C217" s="212">
        <v>0</v>
      </c>
      <c r="D217" s="213">
        <v>0</v>
      </c>
      <c r="E217" s="120">
        <v>0</v>
      </c>
      <c r="F217" s="120">
        <v>0</v>
      </c>
      <c r="G217" s="120">
        <v>0</v>
      </c>
      <c r="H217" s="120">
        <v>0</v>
      </c>
      <c r="I217" s="120">
        <v>0</v>
      </c>
      <c r="J217" s="120">
        <v>0</v>
      </c>
      <c r="K217" s="223">
        <f t="shared" si="26"/>
        <v>0</v>
      </c>
      <c r="L217" s="224">
        <f t="shared" si="27"/>
        <v>0</v>
      </c>
    </row>
    <row r="218" spans="1:12" x14ac:dyDescent="0.25">
      <c r="A218" s="210">
        <v>801</v>
      </c>
      <c r="B218" s="211" t="s">
        <v>867</v>
      </c>
      <c r="C218" s="212">
        <v>0</v>
      </c>
      <c r="D218" s="213">
        <v>0</v>
      </c>
      <c r="E218" s="120">
        <v>0</v>
      </c>
      <c r="F218" s="120">
        <v>0</v>
      </c>
      <c r="G218" s="120">
        <v>0</v>
      </c>
      <c r="H218" s="120">
        <v>0</v>
      </c>
      <c r="I218" s="120">
        <v>0</v>
      </c>
      <c r="J218" s="120">
        <v>0</v>
      </c>
      <c r="K218" s="223">
        <f t="shared" si="26"/>
        <v>0</v>
      </c>
      <c r="L218" s="224">
        <f t="shared" si="27"/>
        <v>0</v>
      </c>
    </row>
    <row r="219" spans="1:12" x14ac:dyDescent="0.25">
      <c r="A219" s="210">
        <v>802</v>
      </c>
      <c r="B219" s="211" t="s">
        <v>868</v>
      </c>
      <c r="C219" s="212">
        <v>0</v>
      </c>
      <c r="D219" s="213">
        <v>0</v>
      </c>
      <c r="E219" s="120">
        <v>0</v>
      </c>
      <c r="F219" s="120">
        <v>0</v>
      </c>
      <c r="G219" s="120">
        <v>0</v>
      </c>
      <c r="H219" s="120">
        <v>0</v>
      </c>
      <c r="I219" s="120">
        <v>0</v>
      </c>
      <c r="J219" s="120">
        <v>0</v>
      </c>
      <c r="K219" s="223">
        <f t="shared" si="26"/>
        <v>0</v>
      </c>
      <c r="L219" s="224">
        <f t="shared" si="27"/>
        <v>0</v>
      </c>
    </row>
    <row r="220" spans="1:12" x14ac:dyDescent="0.25">
      <c r="A220" s="210">
        <v>803</v>
      </c>
      <c r="B220" s="211" t="s">
        <v>869</v>
      </c>
      <c r="C220" s="212">
        <v>0</v>
      </c>
      <c r="D220" s="213">
        <v>0</v>
      </c>
      <c r="E220" s="120">
        <v>0</v>
      </c>
      <c r="F220" s="120">
        <v>0</v>
      </c>
      <c r="G220" s="120">
        <v>0</v>
      </c>
      <c r="H220" s="120">
        <v>0</v>
      </c>
      <c r="I220" s="120">
        <v>0</v>
      </c>
      <c r="J220" s="120">
        <v>0</v>
      </c>
      <c r="K220" s="223">
        <f t="shared" si="26"/>
        <v>0</v>
      </c>
      <c r="L220" s="224">
        <f t="shared" si="27"/>
        <v>0</v>
      </c>
    </row>
    <row r="221" spans="1:12" ht="30" x14ac:dyDescent="0.25">
      <c r="A221" s="210">
        <v>811</v>
      </c>
      <c r="B221" s="211" t="s">
        <v>870</v>
      </c>
      <c r="C221" s="212">
        <v>0</v>
      </c>
      <c r="D221" s="213">
        <v>0</v>
      </c>
      <c r="E221" s="120">
        <v>0</v>
      </c>
      <c r="F221" s="120">
        <v>0</v>
      </c>
      <c r="G221" s="120">
        <v>0</v>
      </c>
      <c r="H221" s="120">
        <v>0</v>
      </c>
      <c r="I221" s="120">
        <v>0</v>
      </c>
      <c r="J221" s="120">
        <v>0</v>
      </c>
      <c r="K221" s="223">
        <f t="shared" si="26"/>
        <v>0</v>
      </c>
      <c r="L221" s="224">
        <f t="shared" si="27"/>
        <v>0</v>
      </c>
    </row>
    <row r="222" spans="1:12" x14ac:dyDescent="0.25">
      <c r="A222" s="210">
        <v>812</v>
      </c>
      <c r="B222" s="211" t="s">
        <v>871</v>
      </c>
      <c r="C222" s="212">
        <v>0</v>
      </c>
      <c r="D222" s="213">
        <v>0</v>
      </c>
      <c r="E222" s="120">
        <v>0</v>
      </c>
      <c r="F222" s="120">
        <v>0</v>
      </c>
      <c r="G222" s="120">
        <v>0</v>
      </c>
      <c r="H222" s="120">
        <v>0</v>
      </c>
      <c r="I222" s="120">
        <v>0</v>
      </c>
      <c r="J222" s="120">
        <v>0</v>
      </c>
      <c r="K222" s="223">
        <f t="shared" si="26"/>
        <v>0</v>
      </c>
      <c r="L222" s="224">
        <f t="shared" si="27"/>
        <v>0</v>
      </c>
    </row>
    <row r="223" spans="1:12" ht="30" x14ac:dyDescent="0.25">
      <c r="A223" s="210">
        <v>813</v>
      </c>
      <c r="B223" s="211" t="s">
        <v>872</v>
      </c>
      <c r="C223" s="212">
        <v>0</v>
      </c>
      <c r="D223" s="213">
        <v>0</v>
      </c>
      <c r="E223" s="120">
        <v>0</v>
      </c>
      <c r="F223" s="120">
        <v>0</v>
      </c>
      <c r="G223" s="120">
        <v>0</v>
      </c>
      <c r="H223" s="120">
        <v>0</v>
      </c>
      <c r="I223" s="120">
        <v>0</v>
      </c>
      <c r="J223" s="120">
        <v>0</v>
      </c>
      <c r="K223" s="223">
        <f t="shared" si="26"/>
        <v>0</v>
      </c>
      <c r="L223" s="224">
        <f t="shared" si="27"/>
        <v>0</v>
      </c>
    </row>
    <row r="224" spans="1:12" ht="30" customHeight="1" x14ac:dyDescent="0.25">
      <c r="A224" s="210">
        <v>821</v>
      </c>
      <c r="B224" s="211" t="s">
        <v>873</v>
      </c>
      <c r="C224" s="212">
        <v>0</v>
      </c>
      <c r="D224" s="213">
        <v>3</v>
      </c>
      <c r="E224" s="120">
        <v>0</v>
      </c>
      <c r="F224" s="120">
        <v>0</v>
      </c>
      <c r="G224" s="120">
        <v>0</v>
      </c>
      <c r="H224" s="120">
        <v>0</v>
      </c>
      <c r="I224" s="120">
        <v>0</v>
      </c>
      <c r="J224" s="120">
        <v>0</v>
      </c>
      <c r="K224" s="223">
        <f t="shared" si="26"/>
        <v>0</v>
      </c>
      <c r="L224" s="224">
        <f t="shared" si="27"/>
        <v>3</v>
      </c>
    </row>
    <row r="225" spans="1:12" x14ac:dyDescent="0.25">
      <c r="A225" s="210">
        <v>822</v>
      </c>
      <c r="B225" s="211" t="s">
        <v>874</v>
      </c>
      <c r="C225" s="212">
        <v>0</v>
      </c>
      <c r="D225" s="213">
        <v>0</v>
      </c>
      <c r="E225" s="120">
        <v>0</v>
      </c>
      <c r="F225" s="120">
        <v>0</v>
      </c>
      <c r="G225" s="120">
        <v>0</v>
      </c>
      <c r="H225" s="120">
        <v>0</v>
      </c>
      <c r="I225" s="120">
        <v>0</v>
      </c>
      <c r="J225" s="120">
        <v>0</v>
      </c>
      <c r="K225" s="223">
        <f t="shared" si="26"/>
        <v>0</v>
      </c>
      <c r="L225" s="224">
        <f t="shared" si="27"/>
        <v>0</v>
      </c>
    </row>
    <row r="226" spans="1:12" ht="30" customHeight="1" x14ac:dyDescent="0.25">
      <c r="A226" s="210">
        <v>823</v>
      </c>
      <c r="B226" s="211" t="s">
        <v>875</v>
      </c>
      <c r="C226" s="212">
        <v>0</v>
      </c>
      <c r="D226" s="213">
        <v>0</v>
      </c>
      <c r="E226" s="120">
        <v>0</v>
      </c>
      <c r="F226" s="120">
        <v>0</v>
      </c>
      <c r="G226" s="120">
        <v>0</v>
      </c>
      <c r="H226" s="120">
        <v>0</v>
      </c>
      <c r="I226" s="120">
        <v>0</v>
      </c>
      <c r="J226" s="120">
        <v>0</v>
      </c>
      <c r="K226" s="223">
        <f t="shared" si="26"/>
        <v>0</v>
      </c>
      <c r="L226" s="224">
        <f t="shared" si="27"/>
        <v>0</v>
      </c>
    </row>
    <row r="227" spans="1:12" ht="15.75" thickBot="1" x14ac:dyDescent="0.3">
      <c r="A227" s="204">
        <v>829</v>
      </c>
      <c r="B227" s="205" t="s">
        <v>876</v>
      </c>
      <c r="C227" s="214">
        <v>0</v>
      </c>
      <c r="D227" s="215">
        <v>0</v>
      </c>
      <c r="E227" s="209">
        <v>0</v>
      </c>
      <c r="F227" s="209">
        <v>0</v>
      </c>
      <c r="G227" s="209">
        <v>0</v>
      </c>
      <c r="H227" s="209">
        <v>0</v>
      </c>
      <c r="I227" s="209">
        <v>0</v>
      </c>
      <c r="J227" s="209">
        <v>0</v>
      </c>
      <c r="K227" s="221">
        <f t="shared" si="26"/>
        <v>0</v>
      </c>
      <c r="L227" s="225">
        <f t="shared" si="27"/>
        <v>0</v>
      </c>
    </row>
    <row r="228" spans="1:12" ht="45.75" thickBot="1" x14ac:dyDescent="0.3">
      <c r="A228" s="216" t="s">
        <v>877</v>
      </c>
      <c r="B228" s="217" t="s">
        <v>878</v>
      </c>
      <c r="C228" s="426"/>
      <c r="D228" s="427"/>
      <c r="E228" s="427"/>
      <c r="F228" s="218"/>
      <c r="G228" s="218"/>
      <c r="H228" s="218"/>
      <c r="I228" s="218"/>
      <c r="J228" s="218"/>
      <c r="K228" s="226"/>
      <c r="L228" s="227"/>
    </row>
    <row r="229" spans="1:12" ht="30" x14ac:dyDescent="0.25">
      <c r="A229" s="204">
        <v>841</v>
      </c>
      <c r="B229" s="205" t="s">
        <v>879</v>
      </c>
      <c r="C229" s="214">
        <v>0</v>
      </c>
      <c r="D229" s="215">
        <v>0</v>
      </c>
      <c r="E229" s="209">
        <v>0</v>
      </c>
      <c r="F229" s="209">
        <v>0</v>
      </c>
      <c r="G229" s="209">
        <v>0</v>
      </c>
      <c r="H229" s="209">
        <v>0</v>
      </c>
      <c r="I229" s="209">
        <v>0</v>
      </c>
      <c r="J229" s="209">
        <v>0</v>
      </c>
      <c r="K229" s="221">
        <f t="shared" ref="K229:K231" si="28">C229+E229-G229-I229</f>
        <v>0</v>
      </c>
      <c r="L229" s="225">
        <f t="shared" ref="L229:L231" si="29">D229+F229-H229-J229</f>
        <v>0</v>
      </c>
    </row>
    <row r="230" spans="1:12" ht="75" x14ac:dyDescent="0.25">
      <c r="A230" s="210">
        <v>842</v>
      </c>
      <c r="B230" s="211" t="s">
        <v>880</v>
      </c>
      <c r="C230" s="212">
        <v>0</v>
      </c>
      <c r="D230" s="213">
        <v>0</v>
      </c>
      <c r="E230" s="120">
        <v>0</v>
      </c>
      <c r="F230" s="120">
        <v>0</v>
      </c>
      <c r="G230" s="120">
        <v>0</v>
      </c>
      <c r="H230" s="120">
        <v>0</v>
      </c>
      <c r="I230" s="120">
        <v>0</v>
      </c>
      <c r="J230" s="120">
        <v>0</v>
      </c>
      <c r="K230" s="223">
        <f t="shared" si="28"/>
        <v>0</v>
      </c>
      <c r="L230" s="224">
        <f t="shared" si="29"/>
        <v>0</v>
      </c>
    </row>
    <row r="231" spans="1:12" ht="15.75" thickBot="1" x14ac:dyDescent="0.3">
      <c r="A231" s="204">
        <v>843</v>
      </c>
      <c r="B231" s="205" t="s">
        <v>881</v>
      </c>
      <c r="C231" s="214">
        <v>0</v>
      </c>
      <c r="D231" s="215">
        <v>0</v>
      </c>
      <c r="E231" s="209">
        <v>0</v>
      </c>
      <c r="F231" s="209">
        <v>0</v>
      </c>
      <c r="G231" s="209">
        <v>0</v>
      </c>
      <c r="H231" s="209">
        <v>0</v>
      </c>
      <c r="I231" s="209">
        <v>0</v>
      </c>
      <c r="J231" s="209">
        <v>0</v>
      </c>
      <c r="K231" s="221">
        <f t="shared" si="28"/>
        <v>0</v>
      </c>
      <c r="L231" s="225">
        <f t="shared" si="29"/>
        <v>0</v>
      </c>
    </row>
    <row r="232" spans="1:12" ht="15.75" thickBot="1" x14ac:dyDescent="0.3">
      <c r="A232" s="216" t="s">
        <v>10</v>
      </c>
      <c r="B232" s="217" t="s">
        <v>882</v>
      </c>
      <c r="C232" s="426"/>
      <c r="D232" s="427"/>
      <c r="E232" s="427"/>
      <c r="F232" s="218"/>
      <c r="G232" s="218"/>
      <c r="H232" s="218"/>
      <c r="I232" s="218"/>
      <c r="J232" s="218"/>
      <c r="K232" s="226"/>
      <c r="L232" s="227"/>
    </row>
    <row r="233" spans="1:12" x14ac:dyDescent="0.25">
      <c r="A233" s="204">
        <v>851</v>
      </c>
      <c r="B233" s="205" t="s">
        <v>883</v>
      </c>
      <c r="C233" s="214">
        <v>0</v>
      </c>
      <c r="D233" s="215">
        <v>0</v>
      </c>
      <c r="E233" s="209">
        <v>0</v>
      </c>
      <c r="F233" s="209">
        <v>0</v>
      </c>
      <c r="G233" s="209">
        <v>0</v>
      </c>
      <c r="H233" s="209">
        <v>0</v>
      </c>
      <c r="I233" s="209">
        <v>0</v>
      </c>
      <c r="J233" s="209">
        <v>0</v>
      </c>
      <c r="K233" s="221">
        <f t="shared" ref="K233:K238" si="30">C233+E233-G233-I233</f>
        <v>0</v>
      </c>
      <c r="L233" s="225">
        <f t="shared" ref="L233:L238" si="31">D233+F233-H233-J233</f>
        <v>0</v>
      </c>
    </row>
    <row r="234" spans="1:12" x14ac:dyDescent="0.25">
      <c r="A234" s="210">
        <v>852</v>
      </c>
      <c r="B234" s="211" t="s">
        <v>884</v>
      </c>
      <c r="C234" s="212">
        <v>0</v>
      </c>
      <c r="D234" s="213">
        <v>0</v>
      </c>
      <c r="E234" s="120">
        <v>0</v>
      </c>
      <c r="F234" s="120">
        <v>0</v>
      </c>
      <c r="G234" s="120">
        <v>0</v>
      </c>
      <c r="H234" s="120">
        <v>0</v>
      </c>
      <c r="I234" s="120">
        <v>0</v>
      </c>
      <c r="J234" s="120">
        <v>0</v>
      </c>
      <c r="K234" s="223">
        <f t="shared" si="30"/>
        <v>0</v>
      </c>
      <c r="L234" s="224">
        <f t="shared" si="31"/>
        <v>0</v>
      </c>
    </row>
    <row r="235" spans="1:12" x14ac:dyDescent="0.25">
      <c r="A235" s="210">
        <v>853</v>
      </c>
      <c r="B235" s="211" t="s">
        <v>885</v>
      </c>
      <c r="C235" s="212">
        <v>0</v>
      </c>
      <c r="D235" s="213">
        <v>0</v>
      </c>
      <c r="E235" s="120">
        <v>0</v>
      </c>
      <c r="F235" s="120">
        <v>0</v>
      </c>
      <c r="G235" s="120">
        <v>0</v>
      </c>
      <c r="H235" s="120">
        <v>0</v>
      </c>
      <c r="I235" s="120">
        <v>0</v>
      </c>
      <c r="J235" s="120">
        <v>0</v>
      </c>
      <c r="K235" s="223">
        <f t="shared" si="30"/>
        <v>0</v>
      </c>
      <c r="L235" s="224">
        <f t="shared" si="31"/>
        <v>0</v>
      </c>
    </row>
    <row r="236" spans="1:12" x14ac:dyDescent="0.25">
      <c r="A236" s="210">
        <v>854</v>
      </c>
      <c r="B236" s="211" t="s">
        <v>886</v>
      </c>
      <c r="C236" s="212">
        <v>0</v>
      </c>
      <c r="D236" s="213">
        <v>0</v>
      </c>
      <c r="E236" s="120">
        <v>0</v>
      </c>
      <c r="F236" s="120">
        <v>0</v>
      </c>
      <c r="G236" s="120">
        <v>0</v>
      </c>
      <c r="H236" s="120">
        <v>0</v>
      </c>
      <c r="I236" s="120">
        <v>0</v>
      </c>
      <c r="J236" s="120">
        <v>0</v>
      </c>
      <c r="K236" s="223">
        <f t="shared" si="30"/>
        <v>0</v>
      </c>
      <c r="L236" s="224">
        <f t="shared" si="31"/>
        <v>0</v>
      </c>
    </row>
    <row r="237" spans="1:12" x14ac:dyDescent="0.25">
      <c r="A237" s="210">
        <v>855</v>
      </c>
      <c r="B237" s="211" t="s">
        <v>887</v>
      </c>
      <c r="C237" s="212">
        <v>0</v>
      </c>
      <c r="D237" s="213">
        <v>0</v>
      </c>
      <c r="E237" s="120">
        <v>0</v>
      </c>
      <c r="F237" s="120">
        <v>0</v>
      </c>
      <c r="G237" s="120">
        <v>0</v>
      </c>
      <c r="H237" s="120">
        <v>0</v>
      </c>
      <c r="I237" s="120">
        <v>0</v>
      </c>
      <c r="J237" s="120">
        <v>0</v>
      </c>
      <c r="K237" s="223">
        <f t="shared" si="30"/>
        <v>0</v>
      </c>
      <c r="L237" s="224">
        <f t="shared" si="31"/>
        <v>0</v>
      </c>
    </row>
    <row r="238" spans="1:12" ht="15" customHeight="1" thickBot="1" x14ac:dyDescent="0.3">
      <c r="A238" s="204">
        <v>856</v>
      </c>
      <c r="B238" s="205" t="s">
        <v>888</v>
      </c>
      <c r="C238" s="214">
        <v>0</v>
      </c>
      <c r="D238" s="215">
        <v>0</v>
      </c>
      <c r="E238" s="209">
        <v>0</v>
      </c>
      <c r="F238" s="209">
        <v>0</v>
      </c>
      <c r="G238" s="209">
        <v>0</v>
      </c>
      <c r="H238" s="209">
        <v>0</v>
      </c>
      <c r="I238" s="209">
        <v>0</v>
      </c>
      <c r="J238" s="209">
        <v>0</v>
      </c>
      <c r="K238" s="221">
        <f t="shared" si="30"/>
        <v>0</v>
      </c>
      <c r="L238" s="225">
        <f t="shared" si="31"/>
        <v>0</v>
      </c>
    </row>
    <row r="239" spans="1:12" ht="30.75" thickBot="1" x14ac:dyDescent="0.3">
      <c r="A239" s="216" t="s">
        <v>889</v>
      </c>
      <c r="B239" s="217" t="s">
        <v>890</v>
      </c>
      <c r="C239" s="426"/>
      <c r="D239" s="427"/>
      <c r="E239" s="427"/>
      <c r="F239" s="218"/>
      <c r="G239" s="218"/>
      <c r="H239" s="218"/>
      <c r="I239" s="218"/>
      <c r="J239" s="218"/>
      <c r="K239" s="226"/>
      <c r="L239" s="227"/>
    </row>
    <row r="240" spans="1:12" x14ac:dyDescent="0.25">
      <c r="A240" s="204">
        <v>861</v>
      </c>
      <c r="B240" s="205" t="s">
        <v>891</v>
      </c>
      <c r="C240" s="214">
        <v>0</v>
      </c>
      <c r="D240" s="215">
        <v>0</v>
      </c>
      <c r="E240" s="209">
        <v>0</v>
      </c>
      <c r="F240" s="209">
        <v>0</v>
      </c>
      <c r="G240" s="209">
        <v>0</v>
      </c>
      <c r="H240" s="209">
        <v>0</v>
      </c>
      <c r="I240" s="209">
        <v>0</v>
      </c>
      <c r="J240" s="209">
        <v>0</v>
      </c>
      <c r="K240" s="221">
        <f t="shared" ref="K240:K246" si="32">C240+E240-G240-I240</f>
        <v>0</v>
      </c>
      <c r="L240" s="225">
        <f t="shared" ref="L240:L246" si="33">D240+F240-H240-J240</f>
        <v>0</v>
      </c>
    </row>
    <row r="241" spans="1:12" ht="30" x14ac:dyDescent="0.25">
      <c r="A241" s="210">
        <v>862</v>
      </c>
      <c r="B241" s="211" t="s">
        <v>892</v>
      </c>
      <c r="C241" s="212">
        <v>1</v>
      </c>
      <c r="D241" s="213">
        <v>2</v>
      </c>
      <c r="E241" s="120">
        <v>0</v>
      </c>
      <c r="F241" s="120">
        <v>0</v>
      </c>
      <c r="G241" s="120">
        <v>0</v>
      </c>
      <c r="H241" s="120">
        <v>0</v>
      </c>
      <c r="I241" s="120">
        <v>0</v>
      </c>
      <c r="J241" s="120">
        <v>0</v>
      </c>
      <c r="K241" s="223">
        <f t="shared" si="32"/>
        <v>1</v>
      </c>
      <c r="L241" s="224">
        <f t="shared" si="33"/>
        <v>2</v>
      </c>
    </row>
    <row r="242" spans="1:12" ht="45" customHeight="1" x14ac:dyDescent="0.25">
      <c r="A242" s="210">
        <v>871</v>
      </c>
      <c r="B242" s="211" t="s">
        <v>893</v>
      </c>
      <c r="C242" s="212">
        <v>0</v>
      </c>
      <c r="D242" s="213">
        <v>0</v>
      </c>
      <c r="E242" s="120">
        <v>0</v>
      </c>
      <c r="F242" s="120">
        <v>0</v>
      </c>
      <c r="G242" s="120">
        <v>0</v>
      </c>
      <c r="H242" s="120">
        <v>0</v>
      </c>
      <c r="I242" s="120">
        <v>0</v>
      </c>
      <c r="J242" s="120">
        <v>0</v>
      </c>
      <c r="K242" s="223">
        <f t="shared" si="32"/>
        <v>0</v>
      </c>
      <c r="L242" s="224">
        <f t="shared" si="33"/>
        <v>0</v>
      </c>
    </row>
    <row r="243" spans="1:12" ht="60" customHeight="1" x14ac:dyDescent="0.25">
      <c r="A243" s="210">
        <v>872</v>
      </c>
      <c r="B243" s="211" t="s">
        <v>894</v>
      </c>
      <c r="C243" s="212">
        <v>0</v>
      </c>
      <c r="D243" s="213">
        <v>0</v>
      </c>
      <c r="E243" s="120">
        <v>0</v>
      </c>
      <c r="F243" s="120">
        <v>0</v>
      </c>
      <c r="G243" s="120">
        <v>0</v>
      </c>
      <c r="H243" s="120">
        <v>0</v>
      </c>
      <c r="I243" s="120">
        <v>0</v>
      </c>
      <c r="J243" s="120">
        <v>0</v>
      </c>
      <c r="K243" s="223">
        <f t="shared" si="32"/>
        <v>0</v>
      </c>
      <c r="L243" s="224">
        <f t="shared" si="33"/>
        <v>0</v>
      </c>
    </row>
    <row r="244" spans="1:12" ht="30" x14ac:dyDescent="0.25">
      <c r="A244" s="210">
        <v>879</v>
      </c>
      <c r="B244" s="211" t="s">
        <v>895</v>
      </c>
      <c r="C244" s="212">
        <v>0</v>
      </c>
      <c r="D244" s="213">
        <v>0</v>
      </c>
      <c r="E244" s="120">
        <v>0</v>
      </c>
      <c r="F244" s="120">
        <v>0</v>
      </c>
      <c r="G244" s="120">
        <v>0</v>
      </c>
      <c r="H244" s="120">
        <v>0</v>
      </c>
      <c r="I244" s="120">
        <v>0</v>
      </c>
      <c r="J244" s="120">
        <v>0</v>
      </c>
      <c r="K244" s="223">
        <f t="shared" si="32"/>
        <v>0</v>
      </c>
      <c r="L244" s="224">
        <f t="shared" si="33"/>
        <v>0</v>
      </c>
    </row>
    <row r="245" spans="1:12" ht="30" customHeight="1" x14ac:dyDescent="0.25">
      <c r="A245" s="210">
        <v>881</v>
      </c>
      <c r="B245" s="211" t="s">
        <v>896</v>
      </c>
      <c r="C245" s="212">
        <v>0</v>
      </c>
      <c r="D245" s="213">
        <v>0</v>
      </c>
      <c r="E245" s="120">
        <v>0</v>
      </c>
      <c r="F245" s="120">
        <v>0</v>
      </c>
      <c r="G245" s="120">
        <v>0</v>
      </c>
      <c r="H245" s="120">
        <v>0</v>
      </c>
      <c r="I245" s="120">
        <v>0</v>
      </c>
      <c r="J245" s="120">
        <v>0</v>
      </c>
      <c r="K245" s="223">
        <f t="shared" si="32"/>
        <v>0</v>
      </c>
      <c r="L245" s="224">
        <f t="shared" si="33"/>
        <v>0</v>
      </c>
    </row>
    <row r="246" spans="1:12" ht="30.75" thickBot="1" x14ac:dyDescent="0.3">
      <c r="A246" s="204">
        <v>889</v>
      </c>
      <c r="B246" s="205" t="s">
        <v>897</v>
      </c>
      <c r="C246" s="214">
        <v>0</v>
      </c>
      <c r="D246" s="215">
        <v>0</v>
      </c>
      <c r="E246" s="209">
        <v>0</v>
      </c>
      <c r="F246" s="209">
        <v>0</v>
      </c>
      <c r="G246" s="209">
        <v>0</v>
      </c>
      <c r="H246" s="209">
        <v>0</v>
      </c>
      <c r="I246" s="209">
        <v>0</v>
      </c>
      <c r="J246" s="209">
        <v>0</v>
      </c>
      <c r="K246" s="221">
        <f t="shared" si="32"/>
        <v>0</v>
      </c>
      <c r="L246" s="225">
        <f t="shared" si="33"/>
        <v>0</v>
      </c>
    </row>
    <row r="247" spans="1:12" ht="30.75" thickBot="1" x14ac:dyDescent="0.3">
      <c r="A247" s="216" t="s">
        <v>898</v>
      </c>
      <c r="B247" s="217" t="s">
        <v>899</v>
      </c>
      <c r="C247" s="426"/>
      <c r="D247" s="427"/>
      <c r="E247" s="427"/>
      <c r="F247" s="218"/>
      <c r="G247" s="218"/>
      <c r="H247" s="218"/>
      <c r="I247" s="218"/>
      <c r="J247" s="218"/>
      <c r="K247" s="226"/>
      <c r="L247" s="227"/>
    </row>
    <row r="248" spans="1:12" ht="30" customHeight="1" x14ac:dyDescent="0.25">
      <c r="A248" s="204">
        <v>900</v>
      </c>
      <c r="B248" s="205" t="s">
        <v>900</v>
      </c>
      <c r="C248" s="214">
        <v>0</v>
      </c>
      <c r="D248" s="215">
        <v>0</v>
      </c>
      <c r="E248" s="209">
        <v>0</v>
      </c>
      <c r="F248" s="209">
        <v>0</v>
      </c>
      <c r="G248" s="209">
        <v>0</v>
      </c>
      <c r="H248" s="209">
        <v>0</v>
      </c>
      <c r="I248" s="209">
        <v>0</v>
      </c>
      <c r="J248" s="209">
        <v>0</v>
      </c>
      <c r="K248" s="221">
        <f t="shared" ref="K248:K252" si="34">C248+E248-G248-I248</f>
        <v>0</v>
      </c>
      <c r="L248" s="225">
        <f t="shared" ref="L248:L252" si="35">D248+F248-H248-J248</f>
        <v>0</v>
      </c>
    </row>
    <row r="249" spans="1:12" ht="30" customHeight="1" x14ac:dyDescent="0.25">
      <c r="A249" s="210">
        <v>910</v>
      </c>
      <c r="B249" s="211" t="s">
        <v>901</v>
      </c>
      <c r="C249" s="212">
        <v>0</v>
      </c>
      <c r="D249" s="213">
        <v>0</v>
      </c>
      <c r="E249" s="120">
        <v>0</v>
      </c>
      <c r="F249" s="120">
        <v>0</v>
      </c>
      <c r="G249" s="120">
        <v>0</v>
      </c>
      <c r="H249" s="120">
        <v>0</v>
      </c>
      <c r="I249" s="120">
        <v>0</v>
      </c>
      <c r="J249" s="120">
        <v>0</v>
      </c>
      <c r="K249" s="223">
        <f t="shared" si="34"/>
        <v>0</v>
      </c>
      <c r="L249" s="224">
        <f t="shared" si="35"/>
        <v>0</v>
      </c>
    </row>
    <row r="250" spans="1:12" ht="30" x14ac:dyDescent="0.25">
      <c r="A250" s="210">
        <v>920</v>
      </c>
      <c r="B250" s="211" t="s">
        <v>902</v>
      </c>
      <c r="C250" s="212">
        <v>0</v>
      </c>
      <c r="D250" s="213">
        <v>0</v>
      </c>
      <c r="E250" s="120">
        <v>0</v>
      </c>
      <c r="F250" s="120">
        <v>0</v>
      </c>
      <c r="G250" s="120">
        <v>0</v>
      </c>
      <c r="H250" s="120">
        <v>0</v>
      </c>
      <c r="I250" s="120">
        <v>0</v>
      </c>
      <c r="J250" s="120">
        <v>0</v>
      </c>
      <c r="K250" s="223">
        <f t="shared" si="34"/>
        <v>0</v>
      </c>
      <c r="L250" s="224">
        <f t="shared" si="35"/>
        <v>0</v>
      </c>
    </row>
    <row r="251" spans="1:12" x14ac:dyDescent="0.25">
      <c r="A251" s="210">
        <v>931</v>
      </c>
      <c r="B251" s="211" t="s">
        <v>903</v>
      </c>
      <c r="C251" s="212">
        <v>0</v>
      </c>
      <c r="D251" s="213">
        <v>0</v>
      </c>
      <c r="E251" s="120">
        <v>0</v>
      </c>
      <c r="F251" s="120">
        <v>0</v>
      </c>
      <c r="G251" s="120">
        <v>0</v>
      </c>
      <c r="H251" s="120">
        <v>0</v>
      </c>
      <c r="I251" s="120">
        <v>0</v>
      </c>
      <c r="J251" s="120">
        <v>0</v>
      </c>
      <c r="K251" s="223">
        <f t="shared" si="34"/>
        <v>0</v>
      </c>
      <c r="L251" s="224">
        <f t="shared" si="35"/>
        <v>0</v>
      </c>
    </row>
    <row r="252" spans="1:12" ht="15.75" thickBot="1" x14ac:dyDescent="0.3">
      <c r="A252" s="204">
        <v>932</v>
      </c>
      <c r="B252" s="205" t="s">
        <v>904</v>
      </c>
      <c r="C252" s="214">
        <v>0</v>
      </c>
      <c r="D252" s="215">
        <v>0</v>
      </c>
      <c r="E252" s="209">
        <v>0</v>
      </c>
      <c r="F252" s="209">
        <v>0</v>
      </c>
      <c r="G252" s="209">
        <v>0</v>
      </c>
      <c r="H252" s="209">
        <v>0</v>
      </c>
      <c r="I252" s="209">
        <v>0</v>
      </c>
      <c r="J252" s="209">
        <v>0</v>
      </c>
      <c r="K252" s="221">
        <f t="shared" si="34"/>
        <v>0</v>
      </c>
      <c r="L252" s="225">
        <f t="shared" si="35"/>
        <v>0</v>
      </c>
    </row>
    <row r="253" spans="1:12" ht="15.75" thickBot="1" x14ac:dyDescent="0.3">
      <c r="A253" s="216" t="s">
        <v>905</v>
      </c>
      <c r="B253" s="217" t="s">
        <v>906</v>
      </c>
      <c r="C253" s="426"/>
      <c r="D253" s="427"/>
      <c r="E253" s="427"/>
      <c r="F253" s="218"/>
      <c r="G253" s="218"/>
      <c r="H253" s="218"/>
      <c r="I253" s="218"/>
      <c r="J253" s="218"/>
      <c r="K253" s="226"/>
      <c r="L253" s="227"/>
    </row>
    <row r="254" spans="1:12" ht="30" x14ac:dyDescent="0.25">
      <c r="A254" s="204">
        <v>941</v>
      </c>
      <c r="B254" s="205" t="s">
        <v>907</v>
      </c>
      <c r="C254" s="214">
        <v>0</v>
      </c>
      <c r="D254" s="215">
        <v>0</v>
      </c>
      <c r="E254" s="209">
        <v>0</v>
      </c>
      <c r="F254" s="209">
        <v>0</v>
      </c>
      <c r="G254" s="209">
        <v>0</v>
      </c>
      <c r="H254" s="209">
        <v>0</v>
      </c>
      <c r="I254" s="209">
        <v>0</v>
      </c>
      <c r="J254" s="209">
        <v>0</v>
      </c>
      <c r="K254" s="221">
        <f t="shared" ref="K254:K259" si="36">C254+E254-G254-I254</f>
        <v>0</v>
      </c>
      <c r="L254" s="225">
        <f t="shared" ref="L254:L259" si="37">D254+F254-H254-J254</f>
        <v>0</v>
      </c>
    </row>
    <row r="255" spans="1:12" x14ac:dyDescent="0.25">
      <c r="A255" s="210">
        <v>942</v>
      </c>
      <c r="B255" s="211" t="s">
        <v>908</v>
      </c>
      <c r="C255" s="212">
        <v>0</v>
      </c>
      <c r="D255" s="213">
        <v>0</v>
      </c>
      <c r="E255" s="120">
        <v>0</v>
      </c>
      <c r="F255" s="120">
        <v>0</v>
      </c>
      <c r="G255" s="120">
        <v>0</v>
      </c>
      <c r="H255" s="120">
        <v>0</v>
      </c>
      <c r="I255" s="120">
        <v>0</v>
      </c>
      <c r="J255" s="120">
        <v>0</v>
      </c>
      <c r="K255" s="223">
        <f t="shared" si="36"/>
        <v>0</v>
      </c>
      <c r="L255" s="224">
        <f t="shared" si="37"/>
        <v>0</v>
      </c>
    </row>
    <row r="256" spans="1:12" ht="30" x14ac:dyDescent="0.25">
      <c r="A256" s="210">
        <v>951</v>
      </c>
      <c r="B256" s="211" t="s">
        <v>909</v>
      </c>
      <c r="C256" s="212">
        <v>0</v>
      </c>
      <c r="D256" s="213">
        <v>0</v>
      </c>
      <c r="E256" s="120">
        <v>0</v>
      </c>
      <c r="F256" s="120">
        <v>0</v>
      </c>
      <c r="G256" s="120">
        <v>0</v>
      </c>
      <c r="H256" s="120">
        <v>0</v>
      </c>
      <c r="I256" s="120">
        <v>0</v>
      </c>
      <c r="J256" s="120">
        <v>0</v>
      </c>
      <c r="K256" s="223">
        <f t="shared" si="36"/>
        <v>0</v>
      </c>
      <c r="L256" s="224">
        <f t="shared" si="37"/>
        <v>0</v>
      </c>
    </row>
    <row r="257" spans="1:12" ht="45" customHeight="1" x14ac:dyDescent="0.25">
      <c r="A257" s="210">
        <v>952</v>
      </c>
      <c r="B257" s="211" t="s">
        <v>910</v>
      </c>
      <c r="C257" s="212">
        <v>0</v>
      </c>
      <c r="D257" s="213">
        <v>0</v>
      </c>
      <c r="E257" s="120">
        <v>0</v>
      </c>
      <c r="F257" s="120">
        <v>0</v>
      </c>
      <c r="G257" s="120">
        <v>0</v>
      </c>
      <c r="H257" s="120">
        <v>0</v>
      </c>
      <c r="I257" s="120">
        <v>0</v>
      </c>
      <c r="J257" s="120">
        <v>0</v>
      </c>
      <c r="K257" s="223">
        <f t="shared" si="36"/>
        <v>0</v>
      </c>
      <c r="L257" s="224">
        <f t="shared" si="37"/>
        <v>0</v>
      </c>
    </row>
    <row r="258" spans="1:12" ht="30" x14ac:dyDescent="0.25">
      <c r="A258" s="210">
        <v>961</v>
      </c>
      <c r="B258" s="211" t="s">
        <v>911</v>
      </c>
      <c r="C258" s="212">
        <v>0</v>
      </c>
      <c r="D258" s="213">
        <v>0</v>
      </c>
      <c r="E258" s="120">
        <v>0</v>
      </c>
      <c r="F258" s="120">
        <v>0</v>
      </c>
      <c r="G258" s="120">
        <v>0</v>
      </c>
      <c r="H258" s="120">
        <v>0</v>
      </c>
      <c r="I258" s="120">
        <v>0</v>
      </c>
      <c r="J258" s="120">
        <v>0</v>
      </c>
      <c r="K258" s="223">
        <f t="shared" si="36"/>
        <v>0</v>
      </c>
      <c r="L258" s="224">
        <f t="shared" si="37"/>
        <v>0</v>
      </c>
    </row>
    <row r="259" spans="1:12" ht="15.75" thickBot="1" x14ac:dyDescent="0.3">
      <c r="A259" s="204">
        <v>969</v>
      </c>
      <c r="B259" s="205" t="s">
        <v>912</v>
      </c>
      <c r="C259" s="214">
        <v>3</v>
      </c>
      <c r="D259" s="215">
        <v>0</v>
      </c>
      <c r="E259" s="209">
        <v>0</v>
      </c>
      <c r="F259" s="209">
        <v>0</v>
      </c>
      <c r="G259" s="209">
        <v>0</v>
      </c>
      <c r="H259" s="209">
        <v>0</v>
      </c>
      <c r="I259" s="209">
        <v>0</v>
      </c>
      <c r="J259" s="209">
        <v>0</v>
      </c>
      <c r="K259" s="221">
        <f t="shared" si="36"/>
        <v>3</v>
      </c>
      <c r="L259" s="225">
        <f t="shared" si="37"/>
        <v>0</v>
      </c>
    </row>
    <row r="260" spans="1:12" ht="90.75" thickBot="1" x14ac:dyDescent="0.3">
      <c r="A260" s="236" t="s">
        <v>913</v>
      </c>
      <c r="B260" s="237" t="s">
        <v>914</v>
      </c>
      <c r="C260" s="431"/>
      <c r="D260" s="432"/>
      <c r="E260" s="432"/>
      <c r="F260" s="432"/>
      <c r="G260" s="238"/>
      <c r="H260" s="238"/>
      <c r="I260" s="238"/>
      <c r="J260" s="238"/>
      <c r="K260" s="433"/>
      <c r="L260" s="434"/>
    </row>
    <row r="261" spans="1:12" ht="30" x14ac:dyDescent="0.25">
      <c r="A261" s="204">
        <v>970</v>
      </c>
      <c r="B261" s="205" t="s">
        <v>915</v>
      </c>
      <c r="C261" s="214">
        <v>0</v>
      </c>
      <c r="D261" s="215">
        <v>0</v>
      </c>
      <c r="E261" s="209">
        <v>0</v>
      </c>
      <c r="F261" s="209">
        <v>0</v>
      </c>
      <c r="G261" s="209">
        <v>0</v>
      </c>
      <c r="H261" s="209">
        <v>0</v>
      </c>
      <c r="I261" s="209">
        <v>0</v>
      </c>
      <c r="J261" s="209">
        <v>0</v>
      </c>
      <c r="K261" s="221">
        <f t="shared" ref="K261:K263" si="38">C261+E261-G261-I261</f>
        <v>0</v>
      </c>
      <c r="L261" s="225">
        <f t="shared" ref="L261:L263" si="39">D261+F261-H261-J261</f>
        <v>0</v>
      </c>
    </row>
    <row r="262" spans="1:12" ht="60" customHeight="1" x14ac:dyDescent="0.25">
      <c r="A262" s="210">
        <v>981</v>
      </c>
      <c r="B262" s="211" t="s">
        <v>916</v>
      </c>
      <c r="C262" s="212">
        <v>0</v>
      </c>
      <c r="D262" s="213">
        <v>0</v>
      </c>
      <c r="E262" s="120">
        <v>0</v>
      </c>
      <c r="F262" s="120">
        <v>0</v>
      </c>
      <c r="G262" s="120">
        <v>0</v>
      </c>
      <c r="H262" s="120">
        <v>0</v>
      </c>
      <c r="I262" s="120">
        <v>0</v>
      </c>
      <c r="J262" s="120">
        <v>0</v>
      </c>
      <c r="K262" s="223">
        <f t="shared" si="38"/>
        <v>0</v>
      </c>
      <c r="L262" s="224">
        <f t="shared" si="39"/>
        <v>0</v>
      </c>
    </row>
    <row r="263" spans="1:12" ht="60" customHeight="1" thickBot="1" x14ac:dyDescent="0.3">
      <c r="A263" s="204">
        <v>982</v>
      </c>
      <c r="B263" s="205" t="s">
        <v>917</v>
      </c>
      <c r="C263" s="214">
        <v>0</v>
      </c>
      <c r="D263" s="215">
        <v>0</v>
      </c>
      <c r="E263" s="209">
        <v>0</v>
      </c>
      <c r="F263" s="209">
        <v>0</v>
      </c>
      <c r="G263" s="209">
        <v>0</v>
      </c>
      <c r="H263" s="209">
        <v>0</v>
      </c>
      <c r="I263" s="209">
        <v>0</v>
      </c>
      <c r="J263" s="209">
        <v>0</v>
      </c>
      <c r="K263" s="221">
        <f t="shared" si="38"/>
        <v>0</v>
      </c>
      <c r="L263" s="225">
        <f t="shared" si="39"/>
        <v>0</v>
      </c>
    </row>
    <row r="264" spans="1:12" ht="45" customHeight="1" thickBot="1" x14ac:dyDescent="0.3">
      <c r="A264" s="216" t="s">
        <v>918</v>
      </c>
      <c r="B264" s="217" t="s">
        <v>919</v>
      </c>
      <c r="C264" s="426"/>
      <c r="D264" s="427"/>
      <c r="E264" s="427"/>
      <c r="F264" s="218"/>
      <c r="G264" s="218"/>
      <c r="H264" s="218"/>
      <c r="I264" s="218"/>
      <c r="J264" s="218"/>
      <c r="K264" s="226"/>
      <c r="L264" s="227"/>
    </row>
    <row r="265" spans="1:12" ht="45" customHeight="1" thickBot="1" x14ac:dyDescent="0.3">
      <c r="A265" s="204">
        <v>990</v>
      </c>
      <c r="B265" s="205" t="s">
        <v>919</v>
      </c>
      <c r="C265" s="239">
        <v>0</v>
      </c>
      <c r="D265" s="240">
        <v>0</v>
      </c>
      <c r="E265" s="241">
        <v>0</v>
      </c>
      <c r="F265" s="209">
        <v>0</v>
      </c>
      <c r="G265" s="209">
        <v>0</v>
      </c>
      <c r="H265" s="209">
        <v>0</v>
      </c>
      <c r="I265" s="241">
        <v>0</v>
      </c>
      <c r="J265" s="209">
        <v>0</v>
      </c>
      <c r="K265" s="221">
        <f>C265+E265-G265-I265</f>
        <v>0</v>
      </c>
      <c r="L265" s="225">
        <f>D265+F265-H265-J265</f>
        <v>0</v>
      </c>
    </row>
    <row r="266" spans="1:12" ht="22.5" customHeight="1" thickBot="1" x14ac:dyDescent="0.3">
      <c r="A266" s="456" t="s">
        <v>3</v>
      </c>
      <c r="B266" s="465"/>
      <c r="C266" s="243">
        <f t="shared" ref="C266:J266" si="40">SUM(C9:C265)</f>
        <v>485</v>
      </c>
      <c r="D266" s="198">
        <f t="shared" si="40"/>
        <v>17</v>
      </c>
      <c r="E266" s="198">
        <f t="shared" si="40"/>
        <v>0</v>
      </c>
      <c r="F266" s="197">
        <f t="shared" si="40"/>
        <v>0</v>
      </c>
      <c r="G266" s="197">
        <f t="shared" si="40"/>
        <v>0</v>
      </c>
      <c r="H266" s="197">
        <f t="shared" si="40"/>
        <v>0</v>
      </c>
      <c r="I266" s="198">
        <f t="shared" si="40"/>
        <v>0</v>
      </c>
      <c r="J266" s="197">
        <f t="shared" si="40"/>
        <v>0</v>
      </c>
      <c r="K266" s="244">
        <f>C266+E266-G266-I266</f>
        <v>485</v>
      </c>
      <c r="L266" s="245">
        <f>D266+F266-H266-J266</f>
        <v>17</v>
      </c>
    </row>
    <row r="270" spans="1:12" x14ac:dyDescent="0.25">
      <c r="I270" s="246"/>
    </row>
  </sheetData>
  <mergeCells count="13">
    <mergeCell ref="A266:B266"/>
    <mergeCell ref="A5:A6"/>
    <mergeCell ref="B5:B6"/>
    <mergeCell ref="A7:B7"/>
    <mergeCell ref="A1:L1"/>
    <mergeCell ref="A2:L2"/>
    <mergeCell ref="A3:L3"/>
    <mergeCell ref="A4:L4"/>
    <mergeCell ref="C5:D5"/>
    <mergeCell ref="E5:F5"/>
    <mergeCell ref="G5:H5"/>
    <mergeCell ref="I5:J5"/>
    <mergeCell ref="K5:L5"/>
  </mergeCells>
  <printOptions horizontalCentered="1"/>
  <pageMargins left="0.23888888888888901" right="0" top="0.38888888888888901" bottom="0.42916666666666697" header="0.30902777777777801" footer="0.30902777777777801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91"/>
  <sheetViews>
    <sheetView view="pageBreakPreview" zoomScaleNormal="100" workbookViewId="0">
      <selection activeCell="N21" sqref="N21"/>
    </sheetView>
  </sheetViews>
  <sheetFormatPr defaultColWidth="9.140625" defaultRowHeight="15" x14ac:dyDescent="0.25"/>
  <cols>
    <col min="1" max="1" width="7" customWidth="1"/>
    <col min="2" max="2" width="35.42578125" customWidth="1"/>
    <col min="3" max="17" width="5.7109375" customWidth="1"/>
    <col min="19" max="19" width="12.85546875"/>
  </cols>
  <sheetData>
    <row r="1" spans="1:17" ht="19.5" x14ac:dyDescent="0.3">
      <c r="A1" s="462" t="s">
        <v>920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</row>
    <row r="2" spans="1:17" ht="19.5" x14ac:dyDescent="0.3">
      <c r="A2" s="462" t="s">
        <v>921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</row>
    <row r="3" spans="1:17" ht="19.5" x14ac:dyDescent="0.3">
      <c r="A3" s="462" t="str">
        <f>'ipk.3.6'!A3</f>
        <v>PADA TANGGAL : 1 AGUSTUS 2025 s/d  31 AGUSTUS 2025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</row>
    <row r="4" spans="1:17" x14ac:dyDescent="0.25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O4" s="23"/>
      <c r="P4" s="23"/>
      <c r="Q4" s="23"/>
    </row>
    <row r="5" spans="1:17" ht="27" customHeight="1" x14ac:dyDescent="0.25">
      <c r="A5" s="453" t="s">
        <v>31</v>
      </c>
      <c r="B5" s="466" t="s">
        <v>644</v>
      </c>
      <c r="C5" s="483" t="s">
        <v>33</v>
      </c>
      <c r="D5" s="483"/>
      <c r="E5" s="483"/>
      <c r="F5" s="483" t="s">
        <v>34</v>
      </c>
      <c r="G5" s="483"/>
      <c r="H5" s="483"/>
      <c r="I5" s="483" t="s">
        <v>35</v>
      </c>
      <c r="J5" s="483"/>
      <c r="K5" s="483"/>
      <c r="L5" s="483" t="s">
        <v>243</v>
      </c>
      <c r="M5" s="483"/>
      <c r="N5" s="483"/>
      <c r="O5" s="483" t="s">
        <v>37</v>
      </c>
      <c r="P5" s="483"/>
      <c r="Q5" s="483"/>
    </row>
    <row r="6" spans="1:17" x14ac:dyDescent="0.25">
      <c r="A6" s="455"/>
      <c r="B6" s="469"/>
      <c r="C6" s="28" t="s">
        <v>922</v>
      </c>
      <c r="D6" s="28" t="s">
        <v>923</v>
      </c>
      <c r="E6" s="28" t="s">
        <v>924</v>
      </c>
      <c r="F6" s="28" t="s">
        <v>922</v>
      </c>
      <c r="G6" s="28" t="s">
        <v>923</v>
      </c>
      <c r="H6" s="28" t="s">
        <v>924</v>
      </c>
      <c r="I6" s="28" t="s">
        <v>922</v>
      </c>
      <c r="J6" s="28" t="s">
        <v>923</v>
      </c>
      <c r="K6" s="28" t="s">
        <v>924</v>
      </c>
      <c r="L6" s="28" t="s">
        <v>922</v>
      </c>
      <c r="M6" s="28" t="s">
        <v>923</v>
      </c>
      <c r="N6" s="28" t="s">
        <v>924</v>
      </c>
      <c r="O6" s="28" t="s">
        <v>922</v>
      </c>
      <c r="P6" s="28" t="s">
        <v>923</v>
      </c>
      <c r="Q6" s="28" t="s">
        <v>924</v>
      </c>
    </row>
    <row r="7" spans="1:17" x14ac:dyDescent="0.25">
      <c r="A7" s="29">
        <v>1</v>
      </c>
      <c r="B7" s="30">
        <v>2</v>
      </c>
      <c r="C7" s="31">
        <v>3</v>
      </c>
      <c r="D7" s="31">
        <v>4</v>
      </c>
      <c r="E7" s="31">
        <v>5</v>
      </c>
      <c r="F7" s="31">
        <v>6</v>
      </c>
      <c r="G7" s="31">
        <v>7</v>
      </c>
      <c r="H7" s="31">
        <v>8</v>
      </c>
      <c r="I7" s="109">
        <v>9</v>
      </c>
      <c r="J7" s="109">
        <v>10</v>
      </c>
      <c r="K7" s="109">
        <v>11</v>
      </c>
      <c r="L7" s="109">
        <v>12</v>
      </c>
      <c r="M7" s="109">
        <v>13</v>
      </c>
      <c r="N7" s="109">
        <v>14</v>
      </c>
      <c r="O7" s="109">
        <v>15</v>
      </c>
      <c r="P7" s="109">
        <v>16</v>
      </c>
      <c r="Q7" s="138">
        <v>17</v>
      </c>
    </row>
    <row r="8" spans="1:17" ht="17.100000000000001" customHeight="1" thickBot="1" x14ac:dyDescent="0.3">
      <c r="A8" s="32">
        <v>1001</v>
      </c>
      <c r="B8" s="33" t="s">
        <v>925</v>
      </c>
      <c r="C8" s="34"/>
      <c r="D8" s="34"/>
      <c r="E8" s="34"/>
      <c r="F8" s="35"/>
      <c r="G8" s="35"/>
      <c r="H8" s="35"/>
      <c r="I8" s="110"/>
      <c r="J8" s="110"/>
      <c r="K8" s="110"/>
      <c r="L8" s="110"/>
      <c r="M8" s="110"/>
      <c r="N8" s="110"/>
      <c r="O8" s="111"/>
      <c r="P8" s="111"/>
      <c r="Q8" s="139"/>
    </row>
    <row r="9" spans="1:17" ht="17.100000000000001" customHeight="1" thickBot="1" x14ac:dyDescent="0.3">
      <c r="A9" s="36">
        <v>1101</v>
      </c>
      <c r="B9" s="37" t="s">
        <v>39</v>
      </c>
      <c r="C9" s="38">
        <v>5</v>
      </c>
      <c r="D9" s="39">
        <v>0</v>
      </c>
      <c r="E9" s="40">
        <v>0</v>
      </c>
      <c r="F9" s="38">
        <v>0</v>
      </c>
      <c r="G9" s="18">
        <v>0</v>
      </c>
      <c r="H9" s="39">
        <v>0</v>
      </c>
      <c r="I9" s="112">
        <v>0</v>
      </c>
      <c r="J9" s="39">
        <v>0</v>
      </c>
      <c r="K9" s="113">
        <v>0</v>
      </c>
      <c r="L9" s="38">
        <v>0</v>
      </c>
      <c r="M9" s="18">
        <v>0</v>
      </c>
      <c r="N9" s="39">
        <v>0</v>
      </c>
      <c r="O9" s="114">
        <f>C9+F9-I9-L9</f>
        <v>5</v>
      </c>
      <c r="P9" s="115">
        <f>D9+G9-J9-M9</f>
        <v>0</v>
      </c>
      <c r="Q9" s="140">
        <f>E9+H9-K9-N9</f>
        <v>0</v>
      </c>
    </row>
    <row r="10" spans="1:17" ht="17.100000000000001" customHeight="1" thickBot="1" x14ac:dyDescent="0.3">
      <c r="A10" s="32">
        <v>1002</v>
      </c>
      <c r="B10" s="33" t="s">
        <v>926</v>
      </c>
      <c r="C10" s="41"/>
      <c r="D10" s="34"/>
      <c r="E10" s="42"/>
      <c r="F10" s="43"/>
      <c r="G10" s="35"/>
      <c r="H10" s="35"/>
      <c r="I10" s="116"/>
      <c r="J10" s="35"/>
      <c r="K10" s="117"/>
      <c r="L10" s="43"/>
      <c r="M10" s="35"/>
      <c r="N10" s="35"/>
      <c r="O10" s="118"/>
      <c r="P10" s="119"/>
      <c r="Q10" s="141"/>
    </row>
    <row r="11" spans="1:17" ht="17.100000000000001" customHeight="1" x14ac:dyDescent="0.25">
      <c r="A11" s="36">
        <v>1102</v>
      </c>
      <c r="B11" s="37" t="s">
        <v>40</v>
      </c>
      <c r="C11" s="38">
        <v>0</v>
      </c>
      <c r="D11" s="39">
        <v>1</v>
      </c>
      <c r="E11" s="40">
        <v>11</v>
      </c>
      <c r="F11" s="44">
        <v>0</v>
      </c>
      <c r="G11" s="45">
        <v>0</v>
      </c>
      <c r="H11" s="46">
        <v>0</v>
      </c>
      <c r="I11" s="73">
        <v>0</v>
      </c>
      <c r="J11" s="46">
        <v>0</v>
      </c>
      <c r="K11" s="120">
        <v>0</v>
      </c>
      <c r="L11" s="44">
        <v>0</v>
      </c>
      <c r="M11" s="45">
        <v>0</v>
      </c>
      <c r="N11" s="46">
        <v>0</v>
      </c>
      <c r="O11" s="112">
        <f t="shared" ref="O11:O12" si="0">C11+F11-I11-L11</f>
        <v>0</v>
      </c>
      <c r="P11" s="39">
        <f t="shared" ref="P11:P12" si="1">D11+G11-J11-M11</f>
        <v>1</v>
      </c>
      <c r="Q11" s="113">
        <f>E11+H11-K11-N11</f>
        <v>11</v>
      </c>
    </row>
    <row r="12" spans="1:17" ht="17.100000000000001" customHeight="1" thickBot="1" x14ac:dyDescent="0.3">
      <c r="A12" s="47">
        <v>1103</v>
      </c>
      <c r="B12" s="48" t="s">
        <v>41</v>
      </c>
      <c r="C12" s="49">
        <v>0</v>
      </c>
      <c r="D12" s="50">
        <v>0</v>
      </c>
      <c r="E12" s="51">
        <v>0</v>
      </c>
      <c r="F12" s="52">
        <v>0</v>
      </c>
      <c r="G12" s="53">
        <v>0</v>
      </c>
      <c r="H12" s="54">
        <v>0</v>
      </c>
      <c r="I12" s="121">
        <v>0</v>
      </c>
      <c r="J12" s="54">
        <v>0</v>
      </c>
      <c r="K12" s="105">
        <v>0</v>
      </c>
      <c r="L12" s="52">
        <v>0</v>
      </c>
      <c r="M12" s="53">
        <v>0</v>
      </c>
      <c r="N12" s="54">
        <v>0</v>
      </c>
      <c r="O12" s="122">
        <f t="shared" si="0"/>
        <v>0</v>
      </c>
      <c r="P12" s="50">
        <f t="shared" si="1"/>
        <v>0</v>
      </c>
      <c r="Q12" s="142">
        <f>E12+H12-K12-N12</f>
        <v>0</v>
      </c>
    </row>
    <row r="13" spans="1:17" ht="17.100000000000001" customHeight="1" thickBot="1" x14ac:dyDescent="0.3">
      <c r="A13" s="55">
        <v>2001</v>
      </c>
      <c r="B13" s="56" t="s">
        <v>927</v>
      </c>
      <c r="C13" s="57"/>
      <c r="D13" s="58"/>
      <c r="E13" s="59"/>
      <c r="F13" s="57"/>
      <c r="G13" s="58"/>
      <c r="H13" s="58"/>
      <c r="I13" s="123"/>
      <c r="J13" s="58"/>
      <c r="K13" s="124"/>
      <c r="L13" s="57"/>
      <c r="M13" s="58"/>
      <c r="N13" s="58"/>
      <c r="O13" s="125"/>
      <c r="P13" s="126"/>
      <c r="Q13" s="143"/>
    </row>
    <row r="14" spans="1:17" ht="17.100000000000001" customHeight="1" thickBot="1" x14ac:dyDescent="0.3">
      <c r="A14" s="36">
        <v>2101</v>
      </c>
      <c r="B14" s="37" t="s">
        <v>44</v>
      </c>
      <c r="C14" s="38">
        <v>4</v>
      </c>
      <c r="D14" s="39">
        <v>27</v>
      </c>
      <c r="E14" s="40">
        <v>24</v>
      </c>
      <c r="F14" s="38">
        <v>0</v>
      </c>
      <c r="G14" s="18">
        <v>0</v>
      </c>
      <c r="H14" s="39">
        <v>0</v>
      </c>
      <c r="I14" s="112">
        <v>0</v>
      </c>
      <c r="J14" s="39">
        <v>0</v>
      </c>
      <c r="K14" s="113">
        <v>0</v>
      </c>
      <c r="L14" s="38">
        <v>0</v>
      </c>
      <c r="M14" s="18">
        <v>0</v>
      </c>
      <c r="N14" s="39">
        <v>0</v>
      </c>
      <c r="O14" s="112">
        <f t="shared" ref="O14:O18" si="2">C14+F14-I14-L14</f>
        <v>4</v>
      </c>
      <c r="P14" s="39">
        <f t="shared" ref="P14:P18" si="3">D14+G14-J14-M14</f>
        <v>27</v>
      </c>
      <c r="Q14" s="113">
        <f t="shared" ref="Q14:Q18" si="4">E14+H14-K14-N14</f>
        <v>24</v>
      </c>
    </row>
    <row r="15" spans="1:17" ht="17.100000000000001" customHeight="1" thickBot="1" x14ac:dyDescent="0.3">
      <c r="A15" s="55">
        <v>2002</v>
      </c>
      <c r="B15" s="56" t="s">
        <v>47</v>
      </c>
      <c r="C15" s="57"/>
      <c r="D15" s="58"/>
      <c r="E15" s="59"/>
      <c r="F15" s="57"/>
      <c r="G15" s="58"/>
      <c r="H15" s="58"/>
      <c r="I15" s="123"/>
      <c r="J15" s="58"/>
      <c r="K15" s="124"/>
      <c r="L15" s="57"/>
      <c r="M15" s="58"/>
      <c r="N15" s="58"/>
      <c r="O15" s="125"/>
      <c r="P15" s="126"/>
      <c r="Q15" s="143"/>
    </row>
    <row r="16" spans="1:17" ht="17.100000000000001" customHeight="1" thickBot="1" x14ac:dyDescent="0.3">
      <c r="A16" s="36">
        <v>2104</v>
      </c>
      <c r="B16" s="37" t="s">
        <v>47</v>
      </c>
      <c r="C16" s="38">
        <v>2</v>
      </c>
      <c r="D16" s="39">
        <v>3</v>
      </c>
      <c r="E16" s="40">
        <v>6</v>
      </c>
      <c r="F16" s="38">
        <v>0</v>
      </c>
      <c r="G16" s="18">
        <v>0</v>
      </c>
      <c r="H16" s="39">
        <v>0</v>
      </c>
      <c r="I16" s="112">
        <v>0</v>
      </c>
      <c r="J16" s="39">
        <v>0</v>
      </c>
      <c r="K16" s="113">
        <v>0</v>
      </c>
      <c r="L16" s="38">
        <v>0</v>
      </c>
      <c r="M16" s="18">
        <v>0</v>
      </c>
      <c r="N16" s="39">
        <v>0</v>
      </c>
      <c r="O16" s="112">
        <f t="shared" si="2"/>
        <v>2</v>
      </c>
      <c r="P16" s="39">
        <f t="shared" si="3"/>
        <v>3</v>
      </c>
      <c r="Q16" s="113">
        <f t="shared" si="4"/>
        <v>6</v>
      </c>
    </row>
    <row r="17" spans="1:20" ht="17.100000000000001" customHeight="1" thickBot="1" x14ac:dyDescent="0.3">
      <c r="A17" s="60">
        <v>2003</v>
      </c>
      <c r="B17" s="61" t="s">
        <v>928</v>
      </c>
      <c r="C17" s="62"/>
      <c r="D17" s="63"/>
      <c r="E17" s="64"/>
      <c r="F17" s="62"/>
      <c r="G17" s="63"/>
      <c r="H17" s="63"/>
      <c r="I17" s="127"/>
      <c r="J17" s="63"/>
      <c r="K17" s="128"/>
      <c r="L17" s="62"/>
      <c r="M17" s="63"/>
      <c r="N17" s="63"/>
      <c r="O17" s="125"/>
      <c r="P17" s="126"/>
      <c r="Q17" s="143"/>
    </row>
    <row r="18" spans="1:20" ht="17.100000000000001" customHeight="1" thickBot="1" x14ac:dyDescent="0.3">
      <c r="A18" s="36">
        <v>2103</v>
      </c>
      <c r="B18" s="37" t="s">
        <v>929</v>
      </c>
      <c r="C18" s="38">
        <v>4</v>
      </c>
      <c r="D18" s="39">
        <v>3</v>
      </c>
      <c r="E18" s="40">
        <v>3</v>
      </c>
      <c r="F18" s="38">
        <v>0</v>
      </c>
      <c r="G18" s="18">
        <v>0</v>
      </c>
      <c r="H18" s="39">
        <v>0</v>
      </c>
      <c r="I18" s="112">
        <v>0</v>
      </c>
      <c r="J18" s="39">
        <v>0</v>
      </c>
      <c r="K18" s="113">
        <v>0</v>
      </c>
      <c r="L18" s="38">
        <v>0</v>
      </c>
      <c r="M18" s="18">
        <v>0</v>
      </c>
      <c r="N18" s="39">
        <v>0</v>
      </c>
      <c r="O18" s="112">
        <f t="shared" si="2"/>
        <v>4</v>
      </c>
      <c r="P18" s="39">
        <f t="shared" si="3"/>
        <v>3</v>
      </c>
      <c r="Q18" s="113">
        <f t="shared" si="4"/>
        <v>3</v>
      </c>
    </row>
    <row r="19" spans="1:20" ht="17.100000000000001" customHeight="1" thickBot="1" x14ac:dyDescent="0.3">
      <c r="A19" s="32">
        <v>3001</v>
      </c>
      <c r="B19" s="33" t="s">
        <v>92</v>
      </c>
      <c r="C19" s="65"/>
      <c r="D19" s="66"/>
      <c r="E19" s="67"/>
      <c r="F19" s="65"/>
      <c r="G19" s="66"/>
      <c r="H19" s="66"/>
      <c r="I19" s="129"/>
      <c r="J19" s="66"/>
      <c r="K19" s="130"/>
      <c r="L19" s="65"/>
      <c r="M19" s="66"/>
      <c r="N19" s="66"/>
      <c r="O19" s="118"/>
      <c r="P19" s="119"/>
      <c r="Q19" s="141"/>
      <c r="S19" s="24"/>
    </row>
    <row r="20" spans="1:20" ht="17.100000000000001" customHeight="1" x14ac:dyDescent="0.25">
      <c r="A20" s="68">
        <v>3801</v>
      </c>
      <c r="B20" s="69" t="s">
        <v>92</v>
      </c>
      <c r="C20" s="38">
        <v>354</v>
      </c>
      <c r="D20" s="39">
        <v>100</v>
      </c>
      <c r="E20" s="40">
        <v>135</v>
      </c>
      <c r="F20" s="44">
        <v>0</v>
      </c>
      <c r="G20" s="45">
        <v>0</v>
      </c>
      <c r="H20" s="46">
        <v>0</v>
      </c>
      <c r="I20" s="73">
        <v>0</v>
      </c>
      <c r="J20" s="46">
        <v>0</v>
      </c>
      <c r="K20" s="74">
        <v>0</v>
      </c>
      <c r="L20" s="44">
        <v>0</v>
      </c>
      <c r="M20" s="45">
        <v>0</v>
      </c>
      <c r="N20" s="46">
        <v>0</v>
      </c>
      <c r="O20" s="112">
        <f t="shared" ref="O20:O42" si="5">C20+F20-I20-L20</f>
        <v>354</v>
      </c>
      <c r="P20" s="39">
        <f t="shared" ref="P20:P42" si="6">D20+G20-J20-M20</f>
        <v>100</v>
      </c>
      <c r="Q20" s="113">
        <f t="shared" ref="Q20:Q42" si="7">E20+H20-K20-N20</f>
        <v>135</v>
      </c>
      <c r="R20" s="24"/>
      <c r="S20" s="24"/>
    </row>
    <row r="21" spans="1:20" ht="17.100000000000001" customHeight="1" thickBot="1" x14ac:dyDescent="0.3">
      <c r="A21" s="70">
        <v>3802</v>
      </c>
      <c r="B21" s="71" t="s">
        <v>93</v>
      </c>
      <c r="C21" s="49">
        <v>57</v>
      </c>
      <c r="D21" s="50">
        <v>35</v>
      </c>
      <c r="E21" s="51">
        <v>20</v>
      </c>
      <c r="F21" s="52">
        <v>0</v>
      </c>
      <c r="G21" s="53">
        <v>0</v>
      </c>
      <c r="H21" s="54">
        <v>0</v>
      </c>
      <c r="I21" s="121">
        <v>0</v>
      </c>
      <c r="J21" s="54">
        <v>0</v>
      </c>
      <c r="K21" s="105">
        <v>0</v>
      </c>
      <c r="L21" s="52">
        <v>0</v>
      </c>
      <c r="M21" s="53">
        <v>0</v>
      </c>
      <c r="N21" s="54">
        <v>0</v>
      </c>
      <c r="O21" s="122">
        <f t="shared" si="5"/>
        <v>57</v>
      </c>
      <c r="P21" s="50">
        <f t="shared" si="6"/>
        <v>35</v>
      </c>
      <c r="Q21" s="142">
        <f t="shared" si="7"/>
        <v>20</v>
      </c>
      <c r="S21" s="24"/>
      <c r="T21" s="24"/>
    </row>
    <row r="22" spans="1:20" ht="17.100000000000001" customHeight="1" thickBot="1" x14ac:dyDescent="0.3">
      <c r="A22" s="72"/>
      <c r="B22" s="33" t="s">
        <v>930</v>
      </c>
      <c r="C22" s="41"/>
      <c r="D22" s="34"/>
      <c r="E22" s="42"/>
      <c r="F22" s="41"/>
      <c r="G22" s="34"/>
      <c r="H22" s="34"/>
      <c r="I22" s="131"/>
      <c r="J22" s="34"/>
      <c r="K22" s="132"/>
      <c r="L22" s="41"/>
      <c r="M22" s="34"/>
      <c r="N22" s="34"/>
      <c r="O22" s="118"/>
      <c r="P22" s="119"/>
      <c r="Q22" s="141"/>
    </row>
    <row r="23" spans="1:20" ht="18" customHeight="1" thickBot="1" x14ac:dyDescent="0.3">
      <c r="A23" s="60">
        <v>3100</v>
      </c>
      <c r="B23" s="61" t="s">
        <v>931</v>
      </c>
      <c r="C23" s="62"/>
      <c r="D23" s="63"/>
      <c r="E23" s="64"/>
      <c r="F23" s="62"/>
      <c r="G23" s="63"/>
      <c r="H23" s="63"/>
      <c r="I23" s="127"/>
      <c r="J23" s="63"/>
      <c r="K23" s="128"/>
      <c r="L23" s="62"/>
      <c r="M23" s="63"/>
      <c r="N23" s="63"/>
      <c r="O23" s="125"/>
      <c r="P23" s="126"/>
      <c r="Q23" s="143"/>
    </row>
    <row r="24" spans="1:20" ht="15.95" customHeight="1" x14ac:dyDescent="0.25">
      <c r="A24" s="68">
        <v>3101</v>
      </c>
      <c r="B24" s="69" t="s">
        <v>50</v>
      </c>
      <c r="C24" s="38">
        <v>24</v>
      </c>
      <c r="D24" s="18">
        <v>5</v>
      </c>
      <c r="E24" s="40">
        <v>3</v>
      </c>
      <c r="F24" s="73">
        <v>0</v>
      </c>
      <c r="G24" s="46">
        <v>0</v>
      </c>
      <c r="H24" s="74">
        <v>0</v>
      </c>
      <c r="I24" s="73">
        <v>0</v>
      </c>
      <c r="J24" s="46">
        <v>0</v>
      </c>
      <c r="K24" s="74">
        <v>0</v>
      </c>
      <c r="L24" s="73">
        <v>0</v>
      </c>
      <c r="M24" s="46">
        <v>0</v>
      </c>
      <c r="N24" s="74">
        <v>0</v>
      </c>
      <c r="O24" s="112">
        <f t="shared" si="5"/>
        <v>24</v>
      </c>
      <c r="P24" s="39">
        <f t="shared" si="6"/>
        <v>5</v>
      </c>
      <c r="Q24" s="113">
        <f t="shared" si="7"/>
        <v>3</v>
      </c>
    </row>
    <row r="25" spans="1:20" ht="15.95" customHeight="1" x14ac:dyDescent="0.25">
      <c r="A25" s="75">
        <v>3102</v>
      </c>
      <c r="B25" s="76" t="s">
        <v>51</v>
      </c>
      <c r="C25" s="77">
        <v>0</v>
      </c>
      <c r="D25" s="78">
        <v>0</v>
      </c>
      <c r="E25" s="79">
        <v>0</v>
      </c>
      <c r="F25" s="80">
        <v>0</v>
      </c>
      <c r="G25" s="81">
        <v>0</v>
      </c>
      <c r="H25" s="82">
        <v>0</v>
      </c>
      <c r="I25" s="80">
        <v>0</v>
      </c>
      <c r="J25" s="81">
        <v>0</v>
      </c>
      <c r="K25" s="82">
        <v>0</v>
      </c>
      <c r="L25" s="80">
        <v>0</v>
      </c>
      <c r="M25" s="81">
        <v>0</v>
      </c>
      <c r="N25" s="82">
        <v>0</v>
      </c>
      <c r="O25" s="80">
        <f t="shared" si="5"/>
        <v>0</v>
      </c>
      <c r="P25" s="81">
        <f t="shared" si="6"/>
        <v>0</v>
      </c>
      <c r="Q25" s="82">
        <f t="shared" si="7"/>
        <v>0</v>
      </c>
    </row>
    <row r="26" spans="1:20" ht="15.95" customHeight="1" x14ac:dyDescent="0.25">
      <c r="A26" s="75">
        <v>3103</v>
      </c>
      <c r="B26" s="76" t="s">
        <v>52</v>
      </c>
      <c r="C26" s="77">
        <v>2</v>
      </c>
      <c r="D26" s="78">
        <v>0</v>
      </c>
      <c r="E26" s="79">
        <v>0</v>
      </c>
      <c r="F26" s="83">
        <v>0</v>
      </c>
      <c r="G26" s="84">
        <v>0</v>
      </c>
      <c r="H26" s="82">
        <v>0</v>
      </c>
      <c r="I26" s="83">
        <v>0</v>
      </c>
      <c r="J26" s="84">
        <v>0</v>
      </c>
      <c r="K26" s="82">
        <v>0</v>
      </c>
      <c r="L26" s="83">
        <v>0</v>
      </c>
      <c r="M26" s="84">
        <v>0</v>
      </c>
      <c r="N26" s="82">
        <v>0</v>
      </c>
      <c r="O26" s="80">
        <f t="shared" si="5"/>
        <v>2</v>
      </c>
      <c r="P26" s="81">
        <f t="shared" si="6"/>
        <v>0</v>
      </c>
      <c r="Q26" s="82">
        <f t="shared" si="7"/>
        <v>0</v>
      </c>
    </row>
    <row r="27" spans="1:20" ht="15.95" customHeight="1" x14ac:dyDescent="0.25">
      <c r="A27" s="75">
        <v>3104</v>
      </c>
      <c r="B27" s="76" t="s">
        <v>53</v>
      </c>
      <c r="C27" s="77">
        <v>58</v>
      </c>
      <c r="D27" s="78">
        <v>20</v>
      </c>
      <c r="E27" s="79">
        <v>13</v>
      </c>
      <c r="F27" s="83">
        <v>0</v>
      </c>
      <c r="G27" s="84">
        <v>0</v>
      </c>
      <c r="H27" s="82">
        <v>0</v>
      </c>
      <c r="I27" s="83">
        <v>0</v>
      </c>
      <c r="J27" s="84">
        <v>0</v>
      </c>
      <c r="K27" s="82">
        <v>0</v>
      </c>
      <c r="L27" s="83">
        <v>0</v>
      </c>
      <c r="M27" s="84">
        <v>0</v>
      </c>
      <c r="N27" s="82">
        <v>0</v>
      </c>
      <c r="O27" s="80">
        <f t="shared" si="5"/>
        <v>58</v>
      </c>
      <c r="P27" s="81">
        <f t="shared" si="6"/>
        <v>20</v>
      </c>
      <c r="Q27" s="82">
        <f t="shared" si="7"/>
        <v>13</v>
      </c>
    </row>
    <row r="28" spans="1:20" ht="30" x14ac:dyDescent="0.25">
      <c r="A28" s="75">
        <v>3105</v>
      </c>
      <c r="B28" s="76" t="s">
        <v>54</v>
      </c>
      <c r="C28" s="85">
        <v>3</v>
      </c>
      <c r="D28" s="86">
        <v>3</v>
      </c>
      <c r="E28" s="87">
        <v>1</v>
      </c>
      <c r="F28" s="88">
        <v>0</v>
      </c>
      <c r="G28" s="89">
        <v>0</v>
      </c>
      <c r="H28" s="90">
        <v>0</v>
      </c>
      <c r="I28" s="88">
        <v>0</v>
      </c>
      <c r="J28" s="89">
        <v>0</v>
      </c>
      <c r="K28" s="90">
        <v>0</v>
      </c>
      <c r="L28" s="88">
        <v>0</v>
      </c>
      <c r="M28" s="89">
        <v>0</v>
      </c>
      <c r="N28" s="90">
        <v>0</v>
      </c>
      <c r="O28" s="133">
        <f t="shared" si="5"/>
        <v>3</v>
      </c>
      <c r="P28" s="134">
        <f t="shared" si="6"/>
        <v>3</v>
      </c>
      <c r="Q28" s="90">
        <f t="shared" si="7"/>
        <v>1</v>
      </c>
    </row>
    <row r="29" spans="1:20" ht="17.100000000000001" customHeight="1" x14ac:dyDescent="0.25">
      <c r="A29" s="75">
        <v>3106</v>
      </c>
      <c r="B29" s="76" t="s">
        <v>55</v>
      </c>
      <c r="C29" s="77">
        <v>26</v>
      </c>
      <c r="D29" s="78">
        <v>7</v>
      </c>
      <c r="E29" s="79">
        <v>29</v>
      </c>
      <c r="F29" s="83">
        <v>0</v>
      </c>
      <c r="G29" s="84">
        <v>0</v>
      </c>
      <c r="H29" s="82">
        <v>0</v>
      </c>
      <c r="I29" s="83">
        <v>0</v>
      </c>
      <c r="J29" s="84">
        <v>0</v>
      </c>
      <c r="K29" s="82">
        <v>0</v>
      </c>
      <c r="L29" s="83">
        <v>0</v>
      </c>
      <c r="M29" s="84">
        <v>0</v>
      </c>
      <c r="N29" s="82">
        <v>0</v>
      </c>
      <c r="O29" s="135">
        <f t="shared" si="5"/>
        <v>26</v>
      </c>
      <c r="P29" s="136">
        <f t="shared" si="6"/>
        <v>7</v>
      </c>
      <c r="Q29" s="144">
        <f t="shared" si="7"/>
        <v>29</v>
      </c>
      <c r="T29" s="24"/>
    </row>
    <row r="30" spans="1:20" ht="17.100000000000001" customHeight="1" x14ac:dyDescent="0.25">
      <c r="A30" s="75">
        <v>3107</v>
      </c>
      <c r="B30" s="76" t="s">
        <v>56</v>
      </c>
      <c r="C30" s="77">
        <v>160</v>
      </c>
      <c r="D30" s="78">
        <v>61</v>
      </c>
      <c r="E30" s="79">
        <v>39</v>
      </c>
      <c r="F30" s="83">
        <v>0</v>
      </c>
      <c r="G30" s="84">
        <v>0</v>
      </c>
      <c r="H30" s="82">
        <v>0</v>
      </c>
      <c r="I30" s="83">
        <v>0</v>
      </c>
      <c r="J30" s="84">
        <v>0</v>
      </c>
      <c r="K30" s="82">
        <v>0</v>
      </c>
      <c r="L30" s="83">
        <v>0</v>
      </c>
      <c r="M30" s="84">
        <v>0</v>
      </c>
      <c r="N30" s="82">
        <v>0</v>
      </c>
      <c r="O30" s="135">
        <f t="shared" si="5"/>
        <v>160</v>
      </c>
      <c r="P30" s="136">
        <f t="shared" si="6"/>
        <v>61</v>
      </c>
      <c r="Q30" s="144">
        <f t="shared" si="7"/>
        <v>39</v>
      </c>
      <c r="R30" s="24"/>
      <c r="S30" s="24"/>
    </row>
    <row r="31" spans="1:20" ht="17.100000000000001" customHeight="1" x14ac:dyDescent="0.25">
      <c r="A31" s="75">
        <v>3108</v>
      </c>
      <c r="B31" s="76" t="s">
        <v>57</v>
      </c>
      <c r="C31" s="77">
        <v>0</v>
      </c>
      <c r="D31" s="78">
        <v>1</v>
      </c>
      <c r="E31" s="79">
        <v>0</v>
      </c>
      <c r="F31" s="83">
        <v>0</v>
      </c>
      <c r="G31" s="84">
        <v>0</v>
      </c>
      <c r="H31" s="82">
        <v>0</v>
      </c>
      <c r="I31" s="83">
        <v>0</v>
      </c>
      <c r="J31" s="84">
        <v>0</v>
      </c>
      <c r="K31" s="82">
        <v>0</v>
      </c>
      <c r="L31" s="83">
        <v>0</v>
      </c>
      <c r="M31" s="84">
        <v>0</v>
      </c>
      <c r="N31" s="82">
        <v>0</v>
      </c>
      <c r="O31" s="135">
        <f t="shared" si="5"/>
        <v>0</v>
      </c>
      <c r="P31" s="136">
        <f t="shared" si="6"/>
        <v>1</v>
      </c>
      <c r="Q31" s="144">
        <f t="shared" si="7"/>
        <v>0</v>
      </c>
    </row>
    <row r="32" spans="1:20" ht="17.100000000000001" customHeight="1" x14ac:dyDescent="0.25">
      <c r="A32" s="75">
        <v>3109</v>
      </c>
      <c r="B32" s="76" t="s">
        <v>58</v>
      </c>
      <c r="C32" s="77">
        <v>0</v>
      </c>
      <c r="D32" s="78">
        <v>0</v>
      </c>
      <c r="E32" s="79">
        <v>1</v>
      </c>
      <c r="F32" s="83">
        <v>0</v>
      </c>
      <c r="G32" s="84">
        <v>0</v>
      </c>
      <c r="H32" s="82">
        <v>0</v>
      </c>
      <c r="I32" s="83">
        <v>0</v>
      </c>
      <c r="J32" s="84">
        <v>0</v>
      </c>
      <c r="K32" s="82">
        <v>0</v>
      </c>
      <c r="L32" s="83">
        <v>0</v>
      </c>
      <c r="M32" s="84">
        <v>0</v>
      </c>
      <c r="N32" s="82">
        <v>0</v>
      </c>
      <c r="O32" s="135">
        <f t="shared" si="5"/>
        <v>0</v>
      </c>
      <c r="P32" s="136">
        <f t="shared" si="6"/>
        <v>0</v>
      </c>
      <c r="Q32" s="144">
        <f t="shared" si="7"/>
        <v>1</v>
      </c>
    </row>
    <row r="33" spans="1:19" ht="17.100000000000001" customHeight="1" x14ac:dyDescent="0.25">
      <c r="A33" s="75">
        <v>3110</v>
      </c>
      <c r="B33" s="76" t="s">
        <v>59</v>
      </c>
      <c r="C33" s="77">
        <v>0</v>
      </c>
      <c r="D33" s="78">
        <v>0</v>
      </c>
      <c r="E33" s="79">
        <v>0</v>
      </c>
      <c r="F33" s="83">
        <v>0</v>
      </c>
      <c r="G33" s="84">
        <v>0</v>
      </c>
      <c r="H33" s="82">
        <v>0</v>
      </c>
      <c r="I33" s="83">
        <v>0</v>
      </c>
      <c r="J33" s="84">
        <v>0</v>
      </c>
      <c r="K33" s="82">
        <v>0</v>
      </c>
      <c r="L33" s="83">
        <v>0</v>
      </c>
      <c r="M33" s="84">
        <v>0</v>
      </c>
      <c r="N33" s="82">
        <v>0</v>
      </c>
      <c r="O33" s="80">
        <f t="shared" si="5"/>
        <v>0</v>
      </c>
      <c r="P33" s="81">
        <f t="shared" si="6"/>
        <v>0</v>
      </c>
      <c r="Q33" s="82">
        <f t="shared" si="7"/>
        <v>0</v>
      </c>
    </row>
    <row r="34" spans="1:19" ht="17.100000000000001" customHeight="1" x14ac:dyDescent="0.25">
      <c r="A34" s="75">
        <v>3111</v>
      </c>
      <c r="B34" s="76" t="s">
        <v>60</v>
      </c>
      <c r="C34" s="77">
        <v>0</v>
      </c>
      <c r="D34" s="78">
        <v>0</v>
      </c>
      <c r="E34" s="79">
        <v>0</v>
      </c>
      <c r="F34" s="83">
        <v>0</v>
      </c>
      <c r="G34" s="84">
        <v>0</v>
      </c>
      <c r="H34" s="82">
        <v>0</v>
      </c>
      <c r="I34" s="83">
        <v>0</v>
      </c>
      <c r="J34" s="84">
        <v>0</v>
      </c>
      <c r="K34" s="82">
        <v>0</v>
      </c>
      <c r="L34" s="83">
        <v>0</v>
      </c>
      <c r="M34" s="84">
        <v>0</v>
      </c>
      <c r="N34" s="82">
        <v>0</v>
      </c>
      <c r="O34" s="80">
        <f t="shared" si="5"/>
        <v>0</v>
      </c>
      <c r="P34" s="81">
        <f t="shared" si="6"/>
        <v>0</v>
      </c>
      <c r="Q34" s="82">
        <f t="shared" si="7"/>
        <v>0</v>
      </c>
    </row>
    <row r="35" spans="1:19" ht="17.100000000000001" customHeight="1" x14ac:dyDescent="0.25">
      <c r="A35" s="75">
        <v>3112</v>
      </c>
      <c r="B35" s="76" t="s">
        <v>61</v>
      </c>
      <c r="C35" s="77">
        <v>2</v>
      </c>
      <c r="D35" s="78">
        <v>5</v>
      </c>
      <c r="E35" s="79">
        <v>0</v>
      </c>
      <c r="F35" s="83">
        <v>0</v>
      </c>
      <c r="G35" s="84">
        <v>0</v>
      </c>
      <c r="H35" s="82">
        <v>0</v>
      </c>
      <c r="I35" s="83">
        <v>0</v>
      </c>
      <c r="J35" s="84">
        <v>0</v>
      </c>
      <c r="K35" s="82">
        <v>0</v>
      </c>
      <c r="L35" s="83">
        <v>0</v>
      </c>
      <c r="M35" s="84">
        <v>0</v>
      </c>
      <c r="N35" s="82">
        <v>0</v>
      </c>
      <c r="O35" s="80">
        <f t="shared" si="5"/>
        <v>2</v>
      </c>
      <c r="P35" s="81">
        <f t="shared" si="6"/>
        <v>5</v>
      </c>
      <c r="Q35" s="82">
        <f t="shared" si="7"/>
        <v>0</v>
      </c>
    </row>
    <row r="36" spans="1:19" ht="17.100000000000001" customHeight="1" x14ac:dyDescent="0.25">
      <c r="A36" s="75">
        <v>3113</v>
      </c>
      <c r="B36" s="76" t="s">
        <v>62</v>
      </c>
      <c r="C36" s="77">
        <v>0</v>
      </c>
      <c r="D36" s="78">
        <v>0</v>
      </c>
      <c r="E36" s="79">
        <v>0</v>
      </c>
      <c r="F36" s="83">
        <v>0</v>
      </c>
      <c r="G36" s="84">
        <v>0</v>
      </c>
      <c r="H36" s="82">
        <v>0</v>
      </c>
      <c r="I36" s="83">
        <v>0</v>
      </c>
      <c r="J36" s="84">
        <v>0</v>
      </c>
      <c r="K36" s="82">
        <v>0</v>
      </c>
      <c r="L36" s="83">
        <v>0</v>
      </c>
      <c r="M36" s="84">
        <v>0</v>
      </c>
      <c r="N36" s="82">
        <v>0</v>
      </c>
      <c r="O36" s="80">
        <f t="shared" si="5"/>
        <v>0</v>
      </c>
      <c r="P36" s="81">
        <f t="shared" si="6"/>
        <v>0</v>
      </c>
      <c r="Q36" s="82">
        <f t="shared" si="7"/>
        <v>0</v>
      </c>
    </row>
    <row r="37" spans="1:19" ht="17.100000000000001" customHeight="1" x14ac:dyDescent="0.25">
      <c r="A37" s="75">
        <v>3114</v>
      </c>
      <c r="B37" s="76" t="s">
        <v>63</v>
      </c>
      <c r="C37" s="77">
        <v>7</v>
      </c>
      <c r="D37" s="78">
        <v>4</v>
      </c>
      <c r="E37" s="79">
        <v>1</v>
      </c>
      <c r="F37" s="83">
        <v>0</v>
      </c>
      <c r="G37" s="84">
        <v>0</v>
      </c>
      <c r="H37" s="82">
        <v>0</v>
      </c>
      <c r="I37" s="83">
        <v>0</v>
      </c>
      <c r="J37" s="84">
        <v>0</v>
      </c>
      <c r="K37" s="82">
        <v>0</v>
      </c>
      <c r="L37" s="83">
        <v>0</v>
      </c>
      <c r="M37" s="84">
        <v>0</v>
      </c>
      <c r="N37" s="82">
        <v>0</v>
      </c>
      <c r="O37" s="80">
        <f t="shared" si="5"/>
        <v>7</v>
      </c>
      <c r="P37" s="81">
        <f t="shared" si="6"/>
        <v>4</v>
      </c>
      <c r="Q37" s="82">
        <f t="shared" si="7"/>
        <v>1</v>
      </c>
    </row>
    <row r="38" spans="1:19" ht="17.100000000000001" customHeight="1" x14ac:dyDescent="0.25">
      <c r="A38" s="75">
        <v>3115</v>
      </c>
      <c r="B38" s="76" t="s">
        <v>64</v>
      </c>
      <c r="C38" s="77">
        <v>0</v>
      </c>
      <c r="D38" s="78">
        <v>1</v>
      </c>
      <c r="E38" s="79">
        <v>2</v>
      </c>
      <c r="F38" s="83">
        <v>0</v>
      </c>
      <c r="G38" s="84">
        <v>0</v>
      </c>
      <c r="H38" s="82">
        <v>0</v>
      </c>
      <c r="I38" s="83">
        <v>0</v>
      </c>
      <c r="J38" s="84">
        <v>0</v>
      </c>
      <c r="K38" s="82">
        <v>0</v>
      </c>
      <c r="L38" s="83">
        <v>0</v>
      </c>
      <c r="M38" s="84">
        <v>0</v>
      </c>
      <c r="N38" s="82">
        <v>0</v>
      </c>
      <c r="O38" s="80">
        <f t="shared" si="5"/>
        <v>0</v>
      </c>
      <c r="P38" s="81">
        <f t="shared" si="6"/>
        <v>1</v>
      </c>
      <c r="Q38" s="82">
        <f t="shared" si="7"/>
        <v>2</v>
      </c>
    </row>
    <row r="39" spans="1:19" ht="17.100000000000001" customHeight="1" x14ac:dyDescent="0.25">
      <c r="A39" s="75">
        <v>3116</v>
      </c>
      <c r="B39" s="76" t="s">
        <v>65</v>
      </c>
      <c r="C39" s="77">
        <v>1</v>
      </c>
      <c r="D39" s="78">
        <v>0</v>
      </c>
      <c r="E39" s="79">
        <v>0</v>
      </c>
      <c r="F39" s="83">
        <v>0</v>
      </c>
      <c r="G39" s="84">
        <v>0</v>
      </c>
      <c r="H39" s="82">
        <v>0</v>
      </c>
      <c r="I39" s="83">
        <v>0</v>
      </c>
      <c r="J39" s="84">
        <v>0</v>
      </c>
      <c r="K39" s="82">
        <v>0</v>
      </c>
      <c r="L39" s="83">
        <v>0</v>
      </c>
      <c r="M39" s="84">
        <v>0</v>
      </c>
      <c r="N39" s="82">
        <v>0</v>
      </c>
      <c r="O39" s="80">
        <f t="shared" si="5"/>
        <v>1</v>
      </c>
      <c r="P39" s="81">
        <f t="shared" si="6"/>
        <v>0</v>
      </c>
      <c r="Q39" s="82">
        <f t="shared" si="7"/>
        <v>0</v>
      </c>
    </row>
    <row r="40" spans="1:19" ht="17.100000000000001" customHeight="1" x14ac:dyDescent="0.25">
      <c r="A40" s="75">
        <v>3117</v>
      </c>
      <c r="B40" s="76" t="s">
        <v>66</v>
      </c>
      <c r="C40" s="77">
        <v>0</v>
      </c>
      <c r="D40" s="78">
        <v>0</v>
      </c>
      <c r="E40" s="79">
        <v>0</v>
      </c>
      <c r="F40" s="83">
        <v>0</v>
      </c>
      <c r="G40" s="84">
        <v>0</v>
      </c>
      <c r="H40" s="82">
        <v>0</v>
      </c>
      <c r="I40" s="83">
        <v>0</v>
      </c>
      <c r="J40" s="84">
        <v>0</v>
      </c>
      <c r="K40" s="82">
        <v>0</v>
      </c>
      <c r="L40" s="83">
        <v>0</v>
      </c>
      <c r="M40" s="84">
        <v>0</v>
      </c>
      <c r="N40" s="82">
        <v>0</v>
      </c>
      <c r="O40" s="80">
        <f t="shared" si="5"/>
        <v>0</v>
      </c>
      <c r="P40" s="81">
        <f t="shared" si="6"/>
        <v>0</v>
      </c>
      <c r="Q40" s="82">
        <f t="shared" si="7"/>
        <v>0</v>
      </c>
    </row>
    <row r="41" spans="1:19" ht="17.100000000000001" customHeight="1" x14ac:dyDescent="0.25">
      <c r="A41" s="75">
        <v>3118</v>
      </c>
      <c r="B41" s="76" t="s">
        <v>67</v>
      </c>
      <c r="C41" s="77">
        <v>3</v>
      </c>
      <c r="D41" s="78">
        <v>2</v>
      </c>
      <c r="E41" s="79">
        <v>0</v>
      </c>
      <c r="F41" s="83">
        <v>0</v>
      </c>
      <c r="G41" s="84">
        <v>0</v>
      </c>
      <c r="H41" s="82">
        <v>0</v>
      </c>
      <c r="I41" s="83">
        <v>0</v>
      </c>
      <c r="J41" s="84">
        <v>0</v>
      </c>
      <c r="K41" s="82">
        <v>0</v>
      </c>
      <c r="L41" s="83">
        <v>0</v>
      </c>
      <c r="M41" s="84">
        <v>0</v>
      </c>
      <c r="N41" s="82">
        <v>0</v>
      </c>
      <c r="O41" s="80">
        <f t="shared" si="5"/>
        <v>3</v>
      </c>
      <c r="P41" s="81">
        <f t="shared" si="6"/>
        <v>2</v>
      </c>
      <c r="Q41" s="82">
        <f t="shared" si="7"/>
        <v>0</v>
      </c>
    </row>
    <row r="42" spans="1:19" ht="17.100000000000001" customHeight="1" thickBot="1" x14ac:dyDescent="0.3">
      <c r="A42" s="91">
        <v>3119</v>
      </c>
      <c r="B42" s="92" t="s">
        <v>932</v>
      </c>
      <c r="C42" s="38">
        <v>0</v>
      </c>
      <c r="D42" s="18">
        <v>0</v>
      </c>
      <c r="E42" s="40">
        <v>0</v>
      </c>
      <c r="F42" s="83">
        <v>0</v>
      </c>
      <c r="G42" s="84">
        <v>0</v>
      </c>
      <c r="H42" s="82">
        <v>0</v>
      </c>
      <c r="I42" s="83">
        <v>0</v>
      </c>
      <c r="J42" s="84">
        <v>0</v>
      </c>
      <c r="K42" s="82">
        <v>0</v>
      </c>
      <c r="L42" s="83">
        <v>0</v>
      </c>
      <c r="M42" s="84">
        <v>0</v>
      </c>
      <c r="N42" s="82">
        <v>0</v>
      </c>
      <c r="O42" s="112">
        <f t="shared" si="5"/>
        <v>0</v>
      </c>
      <c r="P42" s="39">
        <f t="shared" si="6"/>
        <v>0</v>
      </c>
      <c r="Q42" s="113">
        <f t="shared" si="7"/>
        <v>0</v>
      </c>
    </row>
    <row r="43" spans="1:19" ht="27" customHeight="1" thickBot="1" x14ac:dyDescent="0.3">
      <c r="A43" s="93">
        <v>3200</v>
      </c>
      <c r="B43" s="94" t="s">
        <v>933</v>
      </c>
      <c r="C43" s="62"/>
      <c r="D43" s="63"/>
      <c r="E43" s="64"/>
      <c r="F43" s="62"/>
      <c r="G43" s="63"/>
      <c r="H43" s="63"/>
      <c r="I43" s="62"/>
      <c r="J43" s="63"/>
      <c r="K43" s="63"/>
      <c r="L43" s="62"/>
      <c r="M43" s="63"/>
      <c r="N43" s="63"/>
      <c r="O43" s="125"/>
      <c r="P43" s="126"/>
      <c r="Q43" s="143"/>
    </row>
    <row r="44" spans="1:19" ht="17.100000000000001" customHeight="1" x14ac:dyDescent="0.25">
      <c r="A44" s="68">
        <v>3201</v>
      </c>
      <c r="B44" s="69" t="s">
        <v>68</v>
      </c>
      <c r="C44" s="38">
        <v>0</v>
      </c>
      <c r="D44" s="39">
        <v>0</v>
      </c>
      <c r="E44" s="40">
        <v>2</v>
      </c>
      <c r="F44" s="95">
        <v>0</v>
      </c>
      <c r="G44" s="96">
        <v>0</v>
      </c>
      <c r="H44" s="74">
        <v>0</v>
      </c>
      <c r="I44" s="95">
        <v>0</v>
      </c>
      <c r="J44" s="96">
        <v>0</v>
      </c>
      <c r="K44" s="74">
        <v>0</v>
      </c>
      <c r="L44" s="95">
        <v>0</v>
      </c>
      <c r="M44" s="96">
        <v>0</v>
      </c>
      <c r="N44" s="74">
        <v>0</v>
      </c>
      <c r="O44" s="112">
        <f t="shared" ref="O44:O46" si="8">C44+F44-I44-L44</f>
        <v>0</v>
      </c>
      <c r="P44" s="39">
        <f t="shared" ref="P44:P46" si="9">D44+G44-J44-M44</f>
        <v>0</v>
      </c>
      <c r="Q44" s="113">
        <f t="shared" ref="Q44:Q46" si="10">E44+H44-K44-N44</f>
        <v>2</v>
      </c>
    </row>
    <row r="45" spans="1:19" ht="17.100000000000001" customHeight="1" x14ac:dyDescent="0.25">
      <c r="A45" s="97">
        <v>3202</v>
      </c>
      <c r="B45" s="98" t="s">
        <v>69</v>
      </c>
      <c r="C45" s="77">
        <v>88</v>
      </c>
      <c r="D45" s="81">
        <v>24</v>
      </c>
      <c r="E45" s="79">
        <v>18</v>
      </c>
      <c r="F45" s="83">
        <v>0</v>
      </c>
      <c r="G45" s="84">
        <v>0</v>
      </c>
      <c r="H45" s="82">
        <v>0</v>
      </c>
      <c r="I45" s="83">
        <v>0</v>
      </c>
      <c r="J45" s="84">
        <v>0</v>
      </c>
      <c r="K45" s="82">
        <v>0</v>
      </c>
      <c r="L45" s="83">
        <v>0</v>
      </c>
      <c r="M45" s="84">
        <v>0</v>
      </c>
      <c r="N45" s="82">
        <v>0</v>
      </c>
      <c r="O45" s="80">
        <f t="shared" si="8"/>
        <v>88</v>
      </c>
      <c r="P45" s="81">
        <f t="shared" si="9"/>
        <v>24</v>
      </c>
      <c r="Q45" s="82">
        <f t="shared" si="10"/>
        <v>18</v>
      </c>
      <c r="S45" s="24"/>
    </row>
    <row r="46" spans="1:19" ht="17.100000000000001" customHeight="1" thickBot="1" x14ac:dyDescent="0.3">
      <c r="A46" s="91">
        <v>3203</v>
      </c>
      <c r="B46" s="92" t="s">
        <v>70</v>
      </c>
      <c r="C46" s="38">
        <v>0</v>
      </c>
      <c r="D46" s="39">
        <v>0</v>
      </c>
      <c r="E46" s="40">
        <v>0</v>
      </c>
      <c r="F46" s="99">
        <v>0</v>
      </c>
      <c r="G46" s="100">
        <v>0</v>
      </c>
      <c r="H46" s="101">
        <v>0</v>
      </c>
      <c r="I46" s="99">
        <v>0</v>
      </c>
      <c r="J46" s="100">
        <v>0</v>
      </c>
      <c r="K46" s="101">
        <v>0</v>
      </c>
      <c r="L46" s="99">
        <v>0</v>
      </c>
      <c r="M46" s="100">
        <v>0</v>
      </c>
      <c r="N46" s="101">
        <v>0</v>
      </c>
      <c r="O46" s="112">
        <f t="shared" si="8"/>
        <v>0</v>
      </c>
      <c r="P46" s="39">
        <f t="shared" si="9"/>
        <v>0</v>
      </c>
      <c r="Q46" s="113">
        <f t="shared" si="10"/>
        <v>0</v>
      </c>
    </row>
    <row r="47" spans="1:19" ht="17.100000000000001" customHeight="1" thickBot="1" x14ac:dyDescent="0.3">
      <c r="A47" s="60">
        <v>3300</v>
      </c>
      <c r="B47" s="61" t="s">
        <v>934</v>
      </c>
      <c r="C47" s="62"/>
      <c r="D47" s="63"/>
      <c r="E47" s="64"/>
      <c r="F47" s="62"/>
      <c r="G47" s="63"/>
      <c r="H47" s="63"/>
      <c r="I47" s="62"/>
      <c r="J47" s="63"/>
      <c r="K47" s="63"/>
      <c r="L47" s="62"/>
      <c r="M47" s="63"/>
      <c r="N47" s="63"/>
      <c r="O47" s="125"/>
      <c r="P47" s="126"/>
      <c r="Q47" s="143"/>
    </row>
    <row r="48" spans="1:19" ht="17.100000000000001" customHeight="1" x14ac:dyDescent="0.25">
      <c r="A48" s="68">
        <v>3301</v>
      </c>
      <c r="B48" s="69" t="s">
        <v>71</v>
      </c>
      <c r="C48" s="38">
        <v>8</v>
      </c>
      <c r="D48" s="39">
        <v>4</v>
      </c>
      <c r="E48" s="40">
        <v>1</v>
      </c>
      <c r="F48" s="95">
        <v>0</v>
      </c>
      <c r="G48" s="96">
        <v>0</v>
      </c>
      <c r="H48" s="74">
        <v>0</v>
      </c>
      <c r="I48" s="95">
        <v>0</v>
      </c>
      <c r="J48" s="96">
        <v>0</v>
      </c>
      <c r="K48" s="74">
        <v>0</v>
      </c>
      <c r="L48" s="95">
        <v>0</v>
      </c>
      <c r="M48" s="96">
        <v>0</v>
      </c>
      <c r="N48" s="74">
        <v>0</v>
      </c>
      <c r="O48" s="112">
        <f t="shared" ref="O48:O57" si="11">C48+F48-I48-L48</f>
        <v>8</v>
      </c>
      <c r="P48" s="39">
        <f t="shared" ref="P48:P57" si="12">D48+G48-J48-M48</f>
        <v>4</v>
      </c>
      <c r="Q48" s="113">
        <f t="shared" ref="Q48:Q57" si="13">E48+H48-K48-N48</f>
        <v>1</v>
      </c>
    </row>
    <row r="49" spans="1:17" ht="17.100000000000001" customHeight="1" thickBot="1" x14ac:dyDescent="0.3">
      <c r="A49" s="47">
        <v>3302</v>
      </c>
      <c r="B49" s="102" t="s">
        <v>72</v>
      </c>
      <c r="C49" s="49">
        <v>0</v>
      </c>
      <c r="D49" s="50">
        <v>0</v>
      </c>
      <c r="E49" s="51">
        <v>0</v>
      </c>
      <c r="F49" s="103">
        <v>0</v>
      </c>
      <c r="G49" s="104">
        <v>0</v>
      </c>
      <c r="H49" s="105">
        <v>0</v>
      </c>
      <c r="I49" s="103">
        <v>0</v>
      </c>
      <c r="J49" s="104">
        <v>0</v>
      </c>
      <c r="K49" s="105">
        <v>0</v>
      </c>
      <c r="L49" s="103">
        <v>0</v>
      </c>
      <c r="M49" s="104">
        <v>0</v>
      </c>
      <c r="N49" s="105">
        <v>0</v>
      </c>
      <c r="O49" s="122">
        <f t="shared" si="11"/>
        <v>0</v>
      </c>
      <c r="P49" s="50">
        <f t="shared" si="12"/>
        <v>0</v>
      </c>
      <c r="Q49" s="142">
        <f t="shared" si="13"/>
        <v>0</v>
      </c>
    </row>
    <row r="50" spans="1:17" ht="27" customHeight="1" thickBot="1" x14ac:dyDescent="0.3">
      <c r="A50" s="106">
        <v>3400</v>
      </c>
      <c r="B50" s="107" t="s">
        <v>935</v>
      </c>
      <c r="C50" s="63"/>
      <c r="D50" s="63"/>
      <c r="E50" s="64"/>
      <c r="F50" s="62"/>
      <c r="G50" s="63"/>
      <c r="H50" s="63"/>
      <c r="I50" s="62"/>
      <c r="J50" s="63"/>
      <c r="K50" s="63"/>
      <c r="L50" s="62"/>
      <c r="M50" s="63"/>
      <c r="N50" s="63"/>
      <c r="O50" s="125"/>
      <c r="P50" s="126"/>
      <c r="Q50" s="143"/>
    </row>
    <row r="51" spans="1:17" ht="17.100000000000001" customHeight="1" x14ac:dyDescent="0.25">
      <c r="A51" s="36">
        <v>3401</v>
      </c>
      <c r="B51" s="108" t="s">
        <v>73</v>
      </c>
      <c r="C51" s="38">
        <v>0</v>
      </c>
      <c r="D51" s="39">
        <v>0</v>
      </c>
      <c r="E51" s="40">
        <v>0</v>
      </c>
      <c r="F51" s="95">
        <v>0</v>
      </c>
      <c r="G51" s="96">
        <v>0</v>
      </c>
      <c r="H51" s="74">
        <v>0</v>
      </c>
      <c r="I51" s="95">
        <v>0</v>
      </c>
      <c r="J51" s="96">
        <v>0</v>
      </c>
      <c r="K51" s="74">
        <v>0</v>
      </c>
      <c r="L51" s="95">
        <v>0</v>
      </c>
      <c r="M51" s="96">
        <v>0</v>
      </c>
      <c r="N51" s="74">
        <v>0</v>
      </c>
      <c r="O51" s="112">
        <f t="shared" si="11"/>
        <v>0</v>
      </c>
      <c r="P51" s="39">
        <f t="shared" si="12"/>
        <v>0</v>
      </c>
      <c r="Q51" s="113">
        <f t="shared" si="13"/>
        <v>0</v>
      </c>
    </row>
    <row r="52" spans="1:17" ht="17.100000000000001" customHeight="1" x14ac:dyDescent="0.25">
      <c r="A52" s="75">
        <v>3402</v>
      </c>
      <c r="B52" s="76" t="s">
        <v>74</v>
      </c>
      <c r="C52" s="77">
        <v>0</v>
      </c>
      <c r="D52" s="81">
        <v>0</v>
      </c>
      <c r="E52" s="79">
        <v>0</v>
      </c>
      <c r="F52" s="83">
        <v>0</v>
      </c>
      <c r="G52" s="84">
        <v>0</v>
      </c>
      <c r="H52" s="82">
        <v>0</v>
      </c>
      <c r="I52" s="83">
        <v>0</v>
      </c>
      <c r="J52" s="84">
        <v>0</v>
      </c>
      <c r="K52" s="82">
        <v>0</v>
      </c>
      <c r="L52" s="83">
        <v>0</v>
      </c>
      <c r="M52" s="84">
        <v>0</v>
      </c>
      <c r="N52" s="82">
        <v>0</v>
      </c>
      <c r="O52" s="80">
        <f t="shared" si="11"/>
        <v>0</v>
      </c>
      <c r="P52" s="81">
        <f t="shared" si="12"/>
        <v>0</v>
      </c>
      <c r="Q52" s="82">
        <f t="shared" si="13"/>
        <v>0</v>
      </c>
    </row>
    <row r="53" spans="1:17" ht="17.100000000000001" customHeight="1" x14ac:dyDescent="0.25">
      <c r="A53" s="75">
        <v>3403</v>
      </c>
      <c r="B53" s="76" t="s">
        <v>75</v>
      </c>
      <c r="C53" s="77">
        <v>0</v>
      </c>
      <c r="D53" s="81">
        <v>0</v>
      </c>
      <c r="E53" s="79">
        <v>0</v>
      </c>
      <c r="F53" s="83">
        <v>0</v>
      </c>
      <c r="G53" s="84">
        <v>0</v>
      </c>
      <c r="H53" s="82">
        <v>0</v>
      </c>
      <c r="I53" s="83">
        <v>0</v>
      </c>
      <c r="J53" s="84">
        <v>0</v>
      </c>
      <c r="K53" s="82">
        <v>0</v>
      </c>
      <c r="L53" s="83">
        <v>0</v>
      </c>
      <c r="M53" s="84">
        <v>0</v>
      </c>
      <c r="N53" s="82">
        <v>0</v>
      </c>
      <c r="O53" s="80">
        <f t="shared" si="11"/>
        <v>0</v>
      </c>
      <c r="P53" s="81">
        <f t="shared" si="12"/>
        <v>0</v>
      </c>
      <c r="Q53" s="82">
        <f t="shared" si="13"/>
        <v>0</v>
      </c>
    </row>
    <row r="54" spans="1:17" ht="17.100000000000001" customHeight="1" x14ac:dyDescent="0.25">
      <c r="A54" s="75">
        <v>3404</v>
      </c>
      <c r="B54" s="76" t="s">
        <v>76</v>
      </c>
      <c r="C54" s="77">
        <v>9</v>
      </c>
      <c r="D54" s="81">
        <v>5</v>
      </c>
      <c r="E54" s="79">
        <v>7</v>
      </c>
      <c r="F54" s="83">
        <v>0</v>
      </c>
      <c r="G54" s="84">
        <v>0</v>
      </c>
      <c r="H54" s="82">
        <v>0</v>
      </c>
      <c r="I54" s="83">
        <v>0</v>
      </c>
      <c r="J54" s="84">
        <v>0</v>
      </c>
      <c r="K54" s="82">
        <v>0</v>
      </c>
      <c r="L54" s="83">
        <v>0</v>
      </c>
      <c r="M54" s="84">
        <v>0</v>
      </c>
      <c r="N54" s="82">
        <v>0</v>
      </c>
      <c r="O54" s="80">
        <f t="shared" si="11"/>
        <v>9</v>
      </c>
      <c r="P54" s="81">
        <f t="shared" si="12"/>
        <v>5</v>
      </c>
      <c r="Q54" s="82">
        <f t="shared" si="13"/>
        <v>7</v>
      </c>
    </row>
    <row r="55" spans="1:17" ht="17.100000000000001" customHeight="1" x14ac:dyDescent="0.25">
      <c r="A55" s="75">
        <v>3405</v>
      </c>
      <c r="B55" s="76" t="s">
        <v>77</v>
      </c>
      <c r="C55" s="77">
        <v>2</v>
      </c>
      <c r="D55" s="81">
        <v>2</v>
      </c>
      <c r="E55" s="79">
        <v>0</v>
      </c>
      <c r="F55" s="83">
        <v>0</v>
      </c>
      <c r="G55" s="84">
        <v>0</v>
      </c>
      <c r="H55" s="82">
        <v>0</v>
      </c>
      <c r="I55" s="83">
        <v>0</v>
      </c>
      <c r="J55" s="84">
        <v>0</v>
      </c>
      <c r="K55" s="82">
        <v>0</v>
      </c>
      <c r="L55" s="83">
        <v>0</v>
      </c>
      <c r="M55" s="84">
        <v>0</v>
      </c>
      <c r="N55" s="82">
        <v>0</v>
      </c>
      <c r="O55" s="80">
        <f t="shared" si="11"/>
        <v>2</v>
      </c>
      <c r="P55" s="81">
        <f t="shared" si="12"/>
        <v>2</v>
      </c>
      <c r="Q55" s="82">
        <f t="shared" si="13"/>
        <v>0</v>
      </c>
    </row>
    <row r="56" spans="1:17" ht="17.100000000000001" customHeight="1" x14ac:dyDescent="0.25">
      <c r="A56" s="75">
        <v>3406</v>
      </c>
      <c r="B56" s="76" t="s">
        <v>78</v>
      </c>
      <c r="C56" s="77">
        <v>3</v>
      </c>
      <c r="D56" s="81">
        <v>0</v>
      </c>
      <c r="E56" s="79">
        <v>0</v>
      </c>
      <c r="F56" s="83">
        <v>0</v>
      </c>
      <c r="G56" s="84">
        <v>0</v>
      </c>
      <c r="H56" s="82">
        <v>0</v>
      </c>
      <c r="I56" s="83">
        <v>0</v>
      </c>
      <c r="J56" s="84">
        <v>0</v>
      </c>
      <c r="K56" s="82">
        <v>0</v>
      </c>
      <c r="L56" s="83">
        <v>0</v>
      </c>
      <c r="M56" s="84">
        <v>0</v>
      </c>
      <c r="N56" s="82">
        <v>0</v>
      </c>
      <c r="O56" s="80">
        <f t="shared" si="11"/>
        <v>3</v>
      </c>
      <c r="P56" s="81">
        <f t="shared" si="12"/>
        <v>0</v>
      </c>
      <c r="Q56" s="82">
        <f t="shared" si="13"/>
        <v>0</v>
      </c>
    </row>
    <row r="57" spans="1:17" ht="17.100000000000001" customHeight="1" thickBot="1" x14ac:dyDescent="0.3">
      <c r="A57" s="36">
        <v>3407</v>
      </c>
      <c r="B57" s="108" t="s">
        <v>79</v>
      </c>
      <c r="C57" s="38">
        <v>5</v>
      </c>
      <c r="D57" s="39">
        <v>3</v>
      </c>
      <c r="E57" s="40">
        <v>2</v>
      </c>
      <c r="F57" s="83">
        <v>0</v>
      </c>
      <c r="G57" s="84">
        <v>0</v>
      </c>
      <c r="H57" s="82">
        <v>0</v>
      </c>
      <c r="I57" s="83">
        <v>0</v>
      </c>
      <c r="J57" s="84">
        <v>0</v>
      </c>
      <c r="K57" s="82">
        <v>0</v>
      </c>
      <c r="L57" s="83">
        <v>0</v>
      </c>
      <c r="M57" s="137">
        <v>0</v>
      </c>
      <c r="N57" s="113">
        <v>0</v>
      </c>
      <c r="O57" s="112">
        <f t="shared" si="11"/>
        <v>5</v>
      </c>
      <c r="P57" s="39">
        <f t="shared" si="12"/>
        <v>3</v>
      </c>
      <c r="Q57" s="113">
        <f t="shared" si="13"/>
        <v>2</v>
      </c>
    </row>
    <row r="58" spans="1:17" ht="27" customHeight="1" thickBot="1" x14ac:dyDescent="0.3">
      <c r="A58" s="106">
        <v>3500</v>
      </c>
      <c r="B58" s="107" t="s">
        <v>936</v>
      </c>
      <c r="C58" s="63"/>
      <c r="D58" s="63"/>
      <c r="E58" s="64"/>
      <c r="F58" s="62"/>
      <c r="G58" s="63"/>
      <c r="H58" s="63"/>
      <c r="I58" s="62"/>
      <c r="J58" s="63"/>
      <c r="K58" s="63"/>
      <c r="L58" s="62"/>
      <c r="M58" s="63"/>
      <c r="N58" s="63"/>
      <c r="O58" s="125"/>
      <c r="P58" s="126"/>
      <c r="Q58" s="143"/>
    </row>
    <row r="59" spans="1:17" ht="17.100000000000001" customHeight="1" x14ac:dyDescent="0.25">
      <c r="A59" s="36">
        <v>3501</v>
      </c>
      <c r="B59" s="108" t="s">
        <v>80</v>
      </c>
      <c r="C59" s="38">
        <v>29</v>
      </c>
      <c r="D59" s="39">
        <v>10</v>
      </c>
      <c r="E59" s="40">
        <v>13</v>
      </c>
      <c r="F59" s="95">
        <v>0</v>
      </c>
      <c r="G59" s="96">
        <v>0</v>
      </c>
      <c r="H59" s="74">
        <v>0</v>
      </c>
      <c r="I59" s="95">
        <v>0</v>
      </c>
      <c r="J59" s="96">
        <v>0</v>
      </c>
      <c r="K59" s="74">
        <v>0</v>
      </c>
      <c r="L59" s="95">
        <v>0</v>
      </c>
      <c r="M59" s="96">
        <v>0</v>
      </c>
      <c r="N59" s="74">
        <v>0</v>
      </c>
      <c r="O59" s="112">
        <f t="shared" ref="O59:O65" si="14">C59+F59-I59-L59</f>
        <v>29</v>
      </c>
      <c r="P59" s="39">
        <f t="shared" ref="P59:P65" si="15">D59+G59-J59-M59</f>
        <v>10</v>
      </c>
      <c r="Q59" s="113">
        <f t="shared" ref="Q59:Q65" si="16">E59+H59-K59-N59</f>
        <v>13</v>
      </c>
    </row>
    <row r="60" spans="1:17" ht="17.100000000000001" customHeight="1" x14ac:dyDescent="0.25">
      <c r="A60" s="75">
        <v>3502</v>
      </c>
      <c r="B60" s="76" t="s">
        <v>81</v>
      </c>
      <c r="C60" s="77">
        <v>11</v>
      </c>
      <c r="D60" s="81">
        <v>2</v>
      </c>
      <c r="E60" s="79">
        <v>0</v>
      </c>
      <c r="F60" s="83">
        <v>0</v>
      </c>
      <c r="G60" s="84">
        <v>0</v>
      </c>
      <c r="H60" s="82">
        <v>0</v>
      </c>
      <c r="I60" s="83">
        <v>0</v>
      </c>
      <c r="J60" s="84">
        <v>0</v>
      </c>
      <c r="K60" s="82">
        <v>0</v>
      </c>
      <c r="L60" s="83">
        <v>0</v>
      </c>
      <c r="M60" s="84">
        <v>0</v>
      </c>
      <c r="N60" s="82">
        <v>0</v>
      </c>
      <c r="O60" s="80">
        <f t="shared" si="14"/>
        <v>11</v>
      </c>
      <c r="P60" s="81">
        <f t="shared" si="15"/>
        <v>2</v>
      </c>
      <c r="Q60" s="82">
        <f t="shared" si="16"/>
        <v>0</v>
      </c>
    </row>
    <row r="61" spans="1:17" ht="30" customHeight="1" x14ac:dyDescent="0.25">
      <c r="A61" s="75">
        <v>3503</v>
      </c>
      <c r="B61" s="76" t="s">
        <v>82</v>
      </c>
      <c r="C61" s="77">
        <v>11</v>
      </c>
      <c r="D61" s="81">
        <v>9</v>
      </c>
      <c r="E61" s="79">
        <v>4</v>
      </c>
      <c r="F61" s="83">
        <v>0</v>
      </c>
      <c r="G61" s="84">
        <v>0</v>
      </c>
      <c r="H61" s="82">
        <v>0</v>
      </c>
      <c r="I61" s="83">
        <v>0</v>
      </c>
      <c r="J61" s="84">
        <v>0</v>
      </c>
      <c r="K61" s="82">
        <v>0</v>
      </c>
      <c r="L61" s="83">
        <v>0</v>
      </c>
      <c r="M61" s="84">
        <v>0</v>
      </c>
      <c r="N61" s="82">
        <v>0</v>
      </c>
      <c r="O61" s="80">
        <f t="shared" si="14"/>
        <v>11</v>
      </c>
      <c r="P61" s="81">
        <f t="shared" si="15"/>
        <v>9</v>
      </c>
      <c r="Q61" s="82">
        <f t="shared" si="16"/>
        <v>4</v>
      </c>
    </row>
    <row r="62" spans="1:17" ht="17.100000000000001" customHeight="1" x14ac:dyDescent="0.25">
      <c r="A62" s="75">
        <v>3504</v>
      </c>
      <c r="B62" s="76" t="s">
        <v>83</v>
      </c>
      <c r="C62" s="77">
        <v>4</v>
      </c>
      <c r="D62" s="81">
        <v>0</v>
      </c>
      <c r="E62" s="79">
        <v>0</v>
      </c>
      <c r="F62" s="83">
        <v>0</v>
      </c>
      <c r="G62" s="84">
        <v>0</v>
      </c>
      <c r="H62" s="82">
        <v>0</v>
      </c>
      <c r="I62" s="83">
        <v>0</v>
      </c>
      <c r="J62" s="84">
        <v>0</v>
      </c>
      <c r="K62" s="82">
        <v>0</v>
      </c>
      <c r="L62" s="83">
        <v>0</v>
      </c>
      <c r="M62" s="84">
        <v>0</v>
      </c>
      <c r="N62" s="82">
        <v>0</v>
      </c>
      <c r="O62" s="80">
        <f t="shared" si="14"/>
        <v>4</v>
      </c>
      <c r="P62" s="81">
        <f t="shared" si="15"/>
        <v>0</v>
      </c>
      <c r="Q62" s="82">
        <f t="shared" si="16"/>
        <v>0</v>
      </c>
    </row>
    <row r="63" spans="1:17" ht="17.100000000000001" customHeight="1" x14ac:dyDescent="0.25">
      <c r="A63" s="75">
        <v>3505</v>
      </c>
      <c r="B63" s="76" t="s">
        <v>84</v>
      </c>
      <c r="C63" s="77">
        <v>1</v>
      </c>
      <c r="D63" s="81">
        <v>3</v>
      </c>
      <c r="E63" s="79">
        <v>1</v>
      </c>
      <c r="F63" s="83">
        <v>0</v>
      </c>
      <c r="G63" s="84">
        <v>0</v>
      </c>
      <c r="H63" s="82">
        <v>0</v>
      </c>
      <c r="I63" s="83">
        <v>0</v>
      </c>
      <c r="J63" s="84">
        <v>0</v>
      </c>
      <c r="K63" s="82">
        <v>0</v>
      </c>
      <c r="L63" s="83">
        <v>0</v>
      </c>
      <c r="M63" s="84">
        <v>0</v>
      </c>
      <c r="N63" s="82">
        <v>0</v>
      </c>
      <c r="O63" s="80">
        <f t="shared" si="14"/>
        <v>1</v>
      </c>
      <c r="P63" s="81">
        <f t="shared" si="15"/>
        <v>3</v>
      </c>
      <c r="Q63" s="82">
        <f t="shared" si="16"/>
        <v>1</v>
      </c>
    </row>
    <row r="64" spans="1:17" ht="17.100000000000001" customHeight="1" x14ac:dyDescent="0.25">
      <c r="A64" s="75">
        <v>3506</v>
      </c>
      <c r="B64" s="76" t="s">
        <v>85</v>
      </c>
      <c r="C64" s="77">
        <v>0</v>
      </c>
      <c r="D64" s="81">
        <v>0</v>
      </c>
      <c r="E64" s="79">
        <v>0</v>
      </c>
      <c r="F64" s="83">
        <v>0</v>
      </c>
      <c r="G64" s="84">
        <v>0</v>
      </c>
      <c r="H64" s="82">
        <v>0</v>
      </c>
      <c r="I64" s="83">
        <v>0</v>
      </c>
      <c r="J64" s="84">
        <v>0</v>
      </c>
      <c r="K64" s="82">
        <v>0</v>
      </c>
      <c r="L64" s="83">
        <v>0</v>
      </c>
      <c r="M64" s="84">
        <v>0</v>
      </c>
      <c r="N64" s="82">
        <v>0</v>
      </c>
      <c r="O64" s="80">
        <f t="shared" si="14"/>
        <v>0</v>
      </c>
      <c r="P64" s="81">
        <f t="shared" si="15"/>
        <v>0</v>
      </c>
      <c r="Q64" s="82">
        <f t="shared" si="16"/>
        <v>0</v>
      </c>
    </row>
    <row r="65" spans="1:17" ht="17.100000000000001" customHeight="1" thickBot="1" x14ac:dyDescent="0.3">
      <c r="A65" s="36">
        <v>3507</v>
      </c>
      <c r="B65" s="108" t="s">
        <v>86</v>
      </c>
      <c r="C65" s="38">
        <v>0</v>
      </c>
      <c r="D65" s="39">
        <v>0</v>
      </c>
      <c r="E65" s="40">
        <v>0</v>
      </c>
      <c r="F65" s="145">
        <v>0</v>
      </c>
      <c r="G65" s="137">
        <v>0</v>
      </c>
      <c r="H65" s="113">
        <v>0</v>
      </c>
      <c r="I65" s="145">
        <v>0</v>
      </c>
      <c r="J65" s="137">
        <v>0</v>
      </c>
      <c r="K65" s="113">
        <v>0</v>
      </c>
      <c r="L65" s="145">
        <v>0</v>
      </c>
      <c r="M65" s="137">
        <v>0</v>
      </c>
      <c r="N65" s="113">
        <v>0</v>
      </c>
      <c r="O65" s="112">
        <f t="shared" si="14"/>
        <v>0</v>
      </c>
      <c r="P65" s="39">
        <f t="shared" si="15"/>
        <v>0</v>
      </c>
      <c r="Q65" s="113">
        <f t="shared" si="16"/>
        <v>0</v>
      </c>
    </row>
    <row r="66" spans="1:17" ht="17.100000000000001" customHeight="1" thickBot="1" x14ac:dyDescent="0.3">
      <c r="A66" s="146">
        <v>3600</v>
      </c>
      <c r="B66" s="147" t="s">
        <v>937</v>
      </c>
      <c r="C66" s="63"/>
      <c r="D66" s="63"/>
      <c r="E66" s="64"/>
      <c r="F66" s="62"/>
      <c r="G66" s="63"/>
      <c r="H66" s="63"/>
      <c r="I66" s="62"/>
      <c r="J66" s="63"/>
      <c r="K66" s="63"/>
      <c r="L66" s="62"/>
      <c r="M66" s="63"/>
      <c r="N66" s="63"/>
      <c r="O66" s="125"/>
      <c r="P66" s="126"/>
      <c r="Q66" s="143"/>
    </row>
    <row r="67" spans="1:17" ht="17.100000000000001" customHeight="1" x14ac:dyDescent="0.25">
      <c r="A67" s="36">
        <v>3601</v>
      </c>
      <c r="B67" s="108" t="s">
        <v>87</v>
      </c>
      <c r="C67" s="38">
        <v>14</v>
      </c>
      <c r="D67" s="39">
        <v>2</v>
      </c>
      <c r="E67" s="40">
        <v>11</v>
      </c>
      <c r="F67" s="95">
        <v>0</v>
      </c>
      <c r="G67" s="96">
        <v>0</v>
      </c>
      <c r="H67" s="74">
        <v>0</v>
      </c>
      <c r="I67" s="95">
        <v>0</v>
      </c>
      <c r="J67" s="96">
        <v>0</v>
      </c>
      <c r="K67" s="74">
        <v>0</v>
      </c>
      <c r="L67" s="95">
        <v>0</v>
      </c>
      <c r="M67" s="96">
        <v>0</v>
      </c>
      <c r="N67" s="74">
        <v>0</v>
      </c>
      <c r="O67" s="112">
        <f t="shared" ref="O67:O69" si="17">C67+F67-I67-L67</f>
        <v>14</v>
      </c>
      <c r="P67" s="39">
        <f t="shared" ref="P67:P69" si="18">D67+G67-J67-M67</f>
        <v>2</v>
      </c>
      <c r="Q67" s="113">
        <f t="shared" ref="Q67:Q69" si="19">E67+H67-K67-N67</f>
        <v>11</v>
      </c>
    </row>
    <row r="68" spans="1:17" ht="17.100000000000001" customHeight="1" x14ac:dyDescent="0.25">
      <c r="A68" s="75">
        <v>3602</v>
      </c>
      <c r="B68" s="76" t="s">
        <v>88</v>
      </c>
      <c r="C68" s="77">
        <v>52</v>
      </c>
      <c r="D68" s="81">
        <v>12</v>
      </c>
      <c r="E68" s="79">
        <v>16</v>
      </c>
      <c r="F68" s="83">
        <v>0</v>
      </c>
      <c r="G68" s="84">
        <v>0</v>
      </c>
      <c r="H68" s="82">
        <v>0</v>
      </c>
      <c r="I68" s="83">
        <v>0</v>
      </c>
      <c r="J68" s="84">
        <v>0</v>
      </c>
      <c r="K68" s="82">
        <v>0</v>
      </c>
      <c r="L68" s="83">
        <v>0</v>
      </c>
      <c r="M68" s="84">
        <v>0</v>
      </c>
      <c r="N68" s="82">
        <v>0</v>
      </c>
      <c r="O68" s="80">
        <f t="shared" si="17"/>
        <v>52</v>
      </c>
      <c r="P68" s="81">
        <f t="shared" si="18"/>
        <v>12</v>
      </c>
      <c r="Q68" s="82">
        <f t="shared" si="19"/>
        <v>16</v>
      </c>
    </row>
    <row r="69" spans="1:17" ht="17.100000000000001" customHeight="1" thickBot="1" x14ac:dyDescent="0.3">
      <c r="A69" s="36">
        <v>3603</v>
      </c>
      <c r="B69" s="108" t="s">
        <v>89</v>
      </c>
      <c r="C69" s="38">
        <v>15</v>
      </c>
      <c r="D69" s="39">
        <v>12</v>
      </c>
      <c r="E69" s="40">
        <v>11</v>
      </c>
      <c r="F69" s="99">
        <v>0</v>
      </c>
      <c r="G69" s="100">
        <v>0</v>
      </c>
      <c r="H69" s="101">
        <v>0</v>
      </c>
      <c r="I69" s="99">
        <v>0</v>
      </c>
      <c r="J69" s="100">
        <v>0</v>
      </c>
      <c r="K69" s="101">
        <v>0</v>
      </c>
      <c r="L69" s="99">
        <v>0</v>
      </c>
      <c r="M69" s="100">
        <v>0</v>
      </c>
      <c r="N69" s="101">
        <v>0</v>
      </c>
      <c r="O69" s="112">
        <f t="shared" si="17"/>
        <v>15</v>
      </c>
      <c r="P69" s="39">
        <f t="shared" si="18"/>
        <v>12</v>
      </c>
      <c r="Q69" s="113">
        <f t="shared" si="19"/>
        <v>11</v>
      </c>
    </row>
    <row r="70" spans="1:17" ht="17.100000000000001" customHeight="1" thickBot="1" x14ac:dyDescent="0.3">
      <c r="A70" s="146">
        <v>3700</v>
      </c>
      <c r="B70" s="147" t="s">
        <v>938</v>
      </c>
      <c r="C70" s="63"/>
      <c r="D70" s="63"/>
      <c r="E70" s="64"/>
      <c r="F70" s="148"/>
      <c r="G70" s="149"/>
      <c r="H70" s="149"/>
      <c r="I70" s="148"/>
      <c r="J70" s="149"/>
      <c r="K70" s="149"/>
      <c r="L70" s="148"/>
      <c r="M70" s="149"/>
      <c r="N70" s="149"/>
      <c r="O70" s="125"/>
      <c r="P70" s="126"/>
      <c r="Q70" s="143"/>
    </row>
    <row r="71" spans="1:17" ht="17.100000000000001" customHeight="1" x14ac:dyDescent="0.25">
      <c r="A71" s="36">
        <v>3701</v>
      </c>
      <c r="B71" s="108" t="s">
        <v>90</v>
      </c>
      <c r="C71" s="38">
        <v>25</v>
      </c>
      <c r="D71" s="39">
        <v>11</v>
      </c>
      <c r="E71" s="40">
        <v>38</v>
      </c>
      <c r="F71" s="95">
        <v>0</v>
      </c>
      <c r="G71" s="96">
        <v>0</v>
      </c>
      <c r="H71" s="74">
        <v>0</v>
      </c>
      <c r="I71" s="95">
        <v>0</v>
      </c>
      <c r="J71" s="96">
        <v>0</v>
      </c>
      <c r="K71" s="74">
        <v>0</v>
      </c>
      <c r="L71" s="95">
        <v>0</v>
      </c>
      <c r="M71" s="96">
        <v>0</v>
      </c>
      <c r="N71" s="74">
        <v>0</v>
      </c>
      <c r="O71" s="112">
        <f t="shared" ref="O71:O103" si="20">C71+F71-I71-L71</f>
        <v>25</v>
      </c>
      <c r="P71" s="39">
        <f t="shared" ref="P71:P103" si="21">D71+G71-J71-M71</f>
        <v>11</v>
      </c>
      <c r="Q71" s="113">
        <f t="shared" ref="Q71:Q103" si="22">E71+H71-K71-N71</f>
        <v>38</v>
      </c>
    </row>
    <row r="72" spans="1:17" ht="17.100000000000001" customHeight="1" thickBot="1" x14ac:dyDescent="0.3">
      <c r="A72" s="47">
        <v>3702</v>
      </c>
      <c r="B72" s="102" t="s">
        <v>91</v>
      </c>
      <c r="C72" s="49">
        <v>0</v>
      </c>
      <c r="D72" s="50">
        <v>0</v>
      </c>
      <c r="E72" s="51">
        <v>0</v>
      </c>
      <c r="F72" s="103">
        <v>0</v>
      </c>
      <c r="G72" s="104">
        <v>0</v>
      </c>
      <c r="H72" s="105">
        <v>0</v>
      </c>
      <c r="I72" s="103">
        <v>0</v>
      </c>
      <c r="J72" s="104">
        <v>0</v>
      </c>
      <c r="K72" s="105">
        <v>0</v>
      </c>
      <c r="L72" s="103">
        <v>0</v>
      </c>
      <c r="M72" s="104">
        <v>0</v>
      </c>
      <c r="N72" s="105">
        <v>0</v>
      </c>
      <c r="O72" s="122">
        <f t="shared" si="20"/>
        <v>0</v>
      </c>
      <c r="P72" s="50">
        <f t="shared" si="21"/>
        <v>0</v>
      </c>
      <c r="Q72" s="142">
        <f t="shared" si="22"/>
        <v>0</v>
      </c>
    </row>
    <row r="73" spans="1:17" ht="17.100000000000001" customHeight="1" thickBot="1" x14ac:dyDescent="0.3">
      <c r="A73" s="150">
        <v>4100</v>
      </c>
      <c r="B73" s="151" t="s">
        <v>94</v>
      </c>
      <c r="C73" s="152"/>
      <c r="D73" s="152"/>
      <c r="E73" s="153"/>
      <c r="F73" s="154"/>
      <c r="G73" s="155"/>
      <c r="H73" s="155"/>
      <c r="I73" s="154"/>
      <c r="J73" s="155"/>
      <c r="K73" s="155"/>
      <c r="L73" s="154"/>
      <c r="M73" s="155"/>
      <c r="N73" s="155"/>
      <c r="O73" s="118"/>
      <c r="P73" s="119"/>
      <c r="Q73" s="141"/>
    </row>
    <row r="74" spans="1:17" ht="17.100000000000001" customHeight="1" x14ac:dyDescent="0.25">
      <c r="A74" s="36">
        <v>4101</v>
      </c>
      <c r="B74" s="108" t="s">
        <v>95</v>
      </c>
      <c r="C74" s="38">
        <v>0</v>
      </c>
      <c r="D74" s="39">
        <v>0</v>
      </c>
      <c r="E74" s="40">
        <v>0</v>
      </c>
      <c r="F74" s="95">
        <v>0</v>
      </c>
      <c r="G74" s="96">
        <v>0</v>
      </c>
      <c r="H74" s="74">
        <v>0</v>
      </c>
      <c r="I74" s="95">
        <v>0</v>
      </c>
      <c r="J74" s="96">
        <v>0</v>
      </c>
      <c r="K74" s="74">
        <v>0</v>
      </c>
      <c r="L74" s="95">
        <v>0</v>
      </c>
      <c r="M74" s="96">
        <v>0</v>
      </c>
      <c r="N74" s="74">
        <v>0</v>
      </c>
      <c r="O74" s="112">
        <f t="shared" si="20"/>
        <v>0</v>
      </c>
      <c r="P74" s="39">
        <f t="shared" si="21"/>
        <v>0</v>
      </c>
      <c r="Q74" s="113">
        <f t="shared" si="22"/>
        <v>0</v>
      </c>
    </row>
    <row r="75" spans="1:17" ht="17.100000000000001" customHeight="1" x14ac:dyDescent="0.25">
      <c r="A75" s="75">
        <v>4102</v>
      </c>
      <c r="B75" s="76" t="s">
        <v>96</v>
      </c>
      <c r="C75" s="77">
        <v>0</v>
      </c>
      <c r="D75" s="81">
        <v>0</v>
      </c>
      <c r="E75" s="79">
        <v>0</v>
      </c>
      <c r="F75" s="83">
        <v>0</v>
      </c>
      <c r="G75" s="84">
        <v>0</v>
      </c>
      <c r="H75" s="82">
        <v>0</v>
      </c>
      <c r="I75" s="83">
        <v>0</v>
      </c>
      <c r="J75" s="84">
        <v>0</v>
      </c>
      <c r="K75" s="82">
        <v>0</v>
      </c>
      <c r="L75" s="83">
        <v>0</v>
      </c>
      <c r="M75" s="84">
        <v>0</v>
      </c>
      <c r="N75" s="82">
        <v>0</v>
      </c>
      <c r="O75" s="80">
        <f t="shared" si="20"/>
        <v>0</v>
      </c>
      <c r="P75" s="81">
        <f t="shared" si="21"/>
        <v>0</v>
      </c>
      <c r="Q75" s="82">
        <f t="shared" si="22"/>
        <v>0</v>
      </c>
    </row>
    <row r="76" spans="1:17" ht="17.100000000000001" customHeight="1" x14ac:dyDescent="0.25">
      <c r="A76" s="75">
        <v>4103</v>
      </c>
      <c r="B76" s="76" t="s">
        <v>97</v>
      </c>
      <c r="C76" s="77">
        <v>0</v>
      </c>
      <c r="D76" s="81">
        <v>0</v>
      </c>
      <c r="E76" s="79">
        <v>0</v>
      </c>
      <c r="F76" s="83">
        <v>0</v>
      </c>
      <c r="G76" s="84">
        <v>0</v>
      </c>
      <c r="H76" s="82">
        <v>0</v>
      </c>
      <c r="I76" s="83">
        <v>0</v>
      </c>
      <c r="J76" s="84">
        <v>0</v>
      </c>
      <c r="K76" s="82">
        <v>0</v>
      </c>
      <c r="L76" s="83">
        <v>0</v>
      </c>
      <c r="M76" s="84">
        <v>0</v>
      </c>
      <c r="N76" s="82">
        <v>0</v>
      </c>
      <c r="O76" s="80">
        <f t="shared" si="20"/>
        <v>0</v>
      </c>
      <c r="P76" s="81">
        <f t="shared" si="21"/>
        <v>0</v>
      </c>
      <c r="Q76" s="82">
        <f t="shared" si="22"/>
        <v>0</v>
      </c>
    </row>
    <row r="77" spans="1:17" ht="17.100000000000001" customHeight="1" x14ac:dyDescent="0.25">
      <c r="A77" s="75">
        <v>4104</v>
      </c>
      <c r="B77" s="76" t="s">
        <v>98</v>
      </c>
      <c r="C77" s="77">
        <v>0</v>
      </c>
      <c r="D77" s="81">
        <v>0</v>
      </c>
      <c r="E77" s="79">
        <v>0</v>
      </c>
      <c r="F77" s="83">
        <v>0</v>
      </c>
      <c r="G77" s="84">
        <v>0</v>
      </c>
      <c r="H77" s="82">
        <v>0</v>
      </c>
      <c r="I77" s="83">
        <v>0</v>
      </c>
      <c r="J77" s="84">
        <v>0</v>
      </c>
      <c r="K77" s="82">
        <v>0</v>
      </c>
      <c r="L77" s="83">
        <v>0</v>
      </c>
      <c r="M77" s="84">
        <v>0</v>
      </c>
      <c r="N77" s="82">
        <v>0</v>
      </c>
      <c r="O77" s="80">
        <f t="shared" si="20"/>
        <v>0</v>
      </c>
      <c r="P77" s="81">
        <f t="shared" si="21"/>
        <v>0</v>
      </c>
      <c r="Q77" s="82">
        <f t="shared" si="22"/>
        <v>0</v>
      </c>
    </row>
    <row r="78" spans="1:17" ht="17.100000000000001" customHeight="1" x14ac:dyDescent="0.25">
      <c r="A78" s="75">
        <v>4105</v>
      </c>
      <c r="B78" s="76" t="s">
        <v>99</v>
      </c>
      <c r="C78" s="77">
        <v>0</v>
      </c>
      <c r="D78" s="81">
        <v>0</v>
      </c>
      <c r="E78" s="79">
        <v>0</v>
      </c>
      <c r="F78" s="83">
        <v>0</v>
      </c>
      <c r="G78" s="84">
        <v>0</v>
      </c>
      <c r="H78" s="82">
        <v>0</v>
      </c>
      <c r="I78" s="83">
        <v>0</v>
      </c>
      <c r="J78" s="84">
        <v>0</v>
      </c>
      <c r="K78" s="82">
        <v>0</v>
      </c>
      <c r="L78" s="83">
        <v>0</v>
      </c>
      <c r="M78" s="84">
        <v>0</v>
      </c>
      <c r="N78" s="82">
        <v>0</v>
      </c>
      <c r="O78" s="80">
        <f t="shared" si="20"/>
        <v>0</v>
      </c>
      <c r="P78" s="81">
        <f t="shared" si="21"/>
        <v>0</v>
      </c>
      <c r="Q78" s="82">
        <f t="shared" si="22"/>
        <v>0</v>
      </c>
    </row>
    <row r="79" spans="1:17" ht="17.100000000000001" customHeight="1" x14ac:dyDescent="0.25">
      <c r="A79" s="75">
        <v>4106</v>
      </c>
      <c r="B79" s="76" t="s">
        <v>100</v>
      </c>
      <c r="C79" s="77">
        <v>0</v>
      </c>
      <c r="D79" s="81">
        <v>0</v>
      </c>
      <c r="E79" s="79">
        <v>0</v>
      </c>
      <c r="F79" s="83">
        <v>0</v>
      </c>
      <c r="G79" s="84">
        <v>0</v>
      </c>
      <c r="H79" s="82">
        <v>0</v>
      </c>
      <c r="I79" s="83">
        <v>0</v>
      </c>
      <c r="J79" s="84">
        <v>0</v>
      </c>
      <c r="K79" s="82">
        <v>0</v>
      </c>
      <c r="L79" s="83">
        <v>0</v>
      </c>
      <c r="M79" s="84">
        <v>0</v>
      </c>
      <c r="N79" s="82">
        <v>0</v>
      </c>
      <c r="O79" s="80">
        <f t="shared" si="20"/>
        <v>0</v>
      </c>
      <c r="P79" s="81">
        <f t="shared" si="21"/>
        <v>0</v>
      </c>
      <c r="Q79" s="82">
        <f t="shared" si="22"/>
        <v>0</v>
      </c>
    </row>
    <row r="80" spans="1:17" ht="17.100000000000001" customHeight="1" x14ac:dyDescent="0.25">
      <c r="A80" s="75">
        <v>4107</v>
      </c>
      <c r="B80" s="76" t="s">
        <v>101</v>
      </c>
      <c r="C80" s="77">
        <v>0</v>
      </c>
      <c r="D80" s="81">
        <v>0</v>
      </c>
      <c r="E80" s="79">
        <v>0</v>
      </c>
      <c r="F80" s="83">
        <v>0</v>
      </c>
      <c r="G80" s="84">
        <v>0</v>
      </c>
      <c r="H80" s="82">
        <v>0</v>
      </c>
      <c r="I80" s="83">
        <v>0</v>
      </c>
      <c r="J80" s="84">
        <v>0</v>
      </c>
      <c r="K80" s="82">
        <v>0</v>
      </c>
      <c r="L80" s="83">
        <v>0</v>
      </c>
      <c r="M80" s="84">
        <v>0</v>
      </c>
      <c r="N80" s="82">
        <v>0</v>
      </c>
      <c r="O80" s="80">
        <f t="shared" si="20"/>
        <v>0</v>
      </c>
      <c r="P80" s="81">
        <f t="shared" si="21"/>
        <v>0</v>
      </c>
      <c r="Q80" s="82">
        <f t="shared" si="22"/>
        <v>0</v>
      </c>
    </row>
    <row r="81" spans="1:17" ht="17.100000000000001" customHeight="1" x14ac:dyDescent="0.25">
      <c r="A81" s="75">
        <v>4108</v>
      </c>
      <c r="B81" s="76" t="s">
        <v>102</v>
      </c>
      <c r="C81" s="77">
        <v>0</v>
      </c>
      <c r="D81" s="81">
        <v>0</v>
      </c>
      <c r="E81" s="79">
        <v>0</v>
      </c>
      <c r="F81" s="83">
        <v>0</v>
      </c>
      <c r="G81" s="84">
        <v>0</v>
      </c>
      <c r="H81" s="82">
        <v>0</v>
      </c>
      <c r="I81" s="83">
        <v>0</v>
      </c>
      <c r="J81" s="84">
        <v>0</v>
      </c>
      <c r="K81" s="82">
        <v>0</v>
      </c>
      <c r="L81" s="83">
        <v>0</v>
      </c>
      <c r="M81" s="84">
        <v>0</v>
      </c>
      <c r="N81" s="82">
        <v>0</v>
      </c>
      <c r="O81" s="80">
        <f t="shared" si="20"/>
        <v>0</v>
      </c>
      <c r="P81" s="81">
        <f t="shared" si="21"/>
        <v>0</v>
      </c>
      <c r="Q81" s="82">
        <f t="shared" si="22"/>
        <v>0</v>
      </c>
    </row>
    <row r="82" spans="1:17" ht="17.100000000000001" customHeight="1" x14ac:dyDescent="0.25">
      <c r="A82" s="75">
        <v>4109</v>
      </c>
      <c r="B82" s="76" t="s">
        <v>103</v>
      </c>
      <c r="C82" s="77">
        <v>0</v>
      </c>
      <c r="D82" s="81">
        <v>0</v>
      </c>
      <c r="E82" s="79">
        <v>0</v>
      </c>
      <c r="F82" s="83">
        <v>0</v>
      </c>
      <c r="G82" s="84">
        <v>0</v>
      </c>
      <c r="H82" s="82">
        <v>0</v>
      </c>
      <c r="I82" s="83">
        <v>0</v>
      </c>
      <c r="J82" s="84">
        <v>0</v>
      </c>
      <c r="K82" s="82">
        <v>0</v>
      </c>
      <c r="L82" s="83">
        <v>0</v>
      </c>
      <c r="M82" s="84">
        <v>0</v>
      </c>
      <c r="N82" s="82">
        <v>0</v>
      </c>
      <c r="O82" s="80">
        <f t="shared" si="20"/>
        <v>0</v>
      </c>
      <c r="P82" s="81">
        <f t="shared" si="21"/>
        <v>0</v>
      </c>
      <c r="Q82" s="82">
        <f t="shared" si="22"/>
        <v>0</v>
      </c>
    </row>
    <row r="83" spans="1:17" ht="17.100000000000001" customHeight="1" x14ac:dyDescent="0.25">
      <c r="A83" s="75">
        <v>4110</v>
      </c>
      <c r="B83" s="76" t="s">
        <v>104</v>
      </c>
      <c r="C83" s="77">
        <v>0</v>
      </c>
      <c r="D83" s="81">
        <v>0</v>
      </c>
      <c r="E83" s="79">
        <v>0</v>
      </c>
      <c r="F83" s="83">
        <v>0</v>
      </c>
      <c r="G83" s="84">
        <v>0</v>
      </c>
      <c r="H83" s="82">
        <v>0</v>
      </c>
      <c r="I83" s="83">
        <v>0</v>
      </c>
      <c r="J83" s="84">
        <v>0</v>
      </c>
      <c r="K83" s="82">
        <v>0</v>
      </c>
      <c r="L83" s="83">
        <v>0</v>
      </c>
      <c r="M83" s="84">
        <v>0</v>
      </c>
      <c r="N83" s="82">
        <v>0</v>
      </c>
      <c r="O83" s="80">
        <f t="shared" si="20"/>
        <v>0</v>
      </c>
      <c r="P83" s="81">
        <f t="shared" si="21"/>
        <v>0</v>
      </c>
      <c r="Q83" s="82">
        <f t="shared" si="22"/>
        <v>0</v>
      </c>
    </row>
    <row r="84" spans="1:17" ht="17.100000000000001" customHeight="1" x14ac:dyDescent="0.25">
      <c r="A84" s="75">
        <v>4111</v>
      </c>
      <c r="B84" s="76" t="s">
        <v>105</v>
      </c>
      <c r="C84" s="77">
        <v>0</v>
      </c>
      <c r="D84" s="81">
        <v>0</v>
      </c>
      <c r="E84" s="79">
        <v>0</v>
      </c>
      <c r="F84" s="83">
        <v>0</v>
      </c>
      <c r="G84" s="84">
        <v>0</v>
      </c>
      <c r="H84" s="82">
        <v>0</v>
      </c>
      <c r="I84" s="83">
        <v>0</v>
      </c>
      <c r="J84" s="84">
        <v>0</v>
      </c>
      <c r="K84" s="82">
        <v>0</v>
      </c>
      <c r="L84" s="83">
        <v>0</v>
      </c>
      <c r="M84" s="84">
        <v>0</v>
      </c>
      <c r="N84" s="82">
        <v>0</v>
      </c>
      <c r="O84" s="80">
        <f t="shared" si="20"/>
        <v>0</v>
      </c>
      <c r="P84" s="81">
        <f t="shared" si="21"/>
        <v>0</v>
      </c>
      <c r="Q84" s="82">
        <f t="shared" si="22"/>
        <v>0</v>
      </c>
    </row>
    <row r="85" spans="1:17" ht="17.100000000000001" customHeight="1" x14ac:dyDescent="0.25">
      <c r="A85" s="75">
        <v>4112</v>
      </c>
      <c r="B85" s="76" t="s">
        <v>106</v>
      </c>
      <c r="C85" s="77">
        <v>0</v>
      </c>
      <c r="D85" s="81">
        <v>0</v>
      </c>
      <c r="E85" s="79">
        <v>0</v>
      </c>
      <c r="F85" s="83">
        <v>0</v>
      </c>
      <c r="G85" s="84">
        <v>0</v>
      </c>
      <c r="H85" s="82">
        <v>0</v>
      </c>
      <c r="I85" s="83">
        <v>0</v>
      </c>
      <c r="J85" s="84">
        <v>0</v>
      </c>
      <c r="K85" s="82">
        <v>0</v>
      </c>
      <c r="L85" s="83">
        <v>0</v>
      </c>
      <c r="M85" s="84">
        <v>0</v>
      </c>
      <c r="N85" s="82">
        <v>0</v>
      </c>
      <c r="O85" s="80">
        <f t="shared" si="20"/>
        <v>0</v>
      </c>
      <c r="P85" s="81">
        <f t="shared" si="21"/>
        <v>0</v>
      </c>
      <c r="Q85" s="82">
        <f t="shared" si="22"/>
        <v>0</v>
      </c>
    </row>
    <row r="86" spans="1:17" ht="17.100000000000001" customHeight="1" x14ac:dyDescent="0.25">
      <c r="A86" s="75">
        <v>4113</v>
      </c>
      <c r="B86" s="76" t="s">
        <v>107</v>
      </c>
      <c r="C86" s="77">
        <v>0</v>
      </c>
      <c r="D86" s="81">
        <v>0</v>
      </c>
      <c r="E86" s="79">
        <v>0</v>
      </c>
      <c r="F86" s="83">
        <v>0</v>
      </c>
      <c r="G86" s="84">
        <v>0</v>
      </c>
      <c r="H86" s="82">
        <v>0</v>
      </c>
      <c r="I86" s="83">
        <v>0</v>
      </c>
      <c r="J86" s="84">
        <v>0</v>
      </c>
      <c r="K86" s="82">
        <v>0</v>
      </c>
      <c r="L86" s="83">
        <v>0</v>
      </c>
      <c r="M86" s="84">
        <v>0</v>
      </c>
      <c r="N86" s="82">
        <v>0</v>
      </c>
      <c r="O86" s="80">
        <f t="shared" si="20"/>
        <v>0</v>
      </c>
      <c r="P86" s="81">
        <f t="shared" si="21"/>
        <v>0</v>
      </c>
      <c r="Q86" s="82">
        <f t="shared" si="22"/>
        <v>0</v>
      </c>
    </row>
    <row r="87" spans="1:17" ht="17.100000000000001" customHeight="1" x14ac:dyDescent="0.25">
      <c r="A87" s="75">
        <v>4114</v>
      </c>
      <c r="B87" s="76" t="s">
        <v>108</v>
      </c>
      <c r="C87" s="77">
        <v>0</v>
      </c>
      <c r="D87" s="81">
        <v>0</v>
      </c>
      <c r="E87" s="79">
        <v>0</v>
      </c>
      <c r="F87" s="83">
        <v>0</v>
      </c>
      <c r="G87" s="84">
        <v>0</v>
      </c>
      <c r="H87" s="82">
        <v>0</v>
      </c>
      <c r="I87" s="83">
        <v>0</v>
      </c>
      <c r="J87" s="84">
        <v>0</v>
      </c>
      <c r="K87" s="82">
        <v>0</v>
      </c>
      <c r="L87" s="83">
        <v>0</v>
      </c>
      <c r="M87" s="84">
        <v>0</v>
      </c>
      <c r="N87" s="82">
        <v>0</v>
      </c>
      <c r="O87" s="80">
        <f t="shared" si="20"/>
        <v>0</v>
      </c>
      <c r="P87" s="81">
        <f t="shared" si="21"/>
        <v>0</v>
      </c>
      <c r="Q87" s="82">
        <f t="shared" si="22"/>
        <v>0</v>
      </c>
    </row>
    <row r="88" spans="1:17" ht="17.100000000000001" customHeight="1" x14ac:dyDescent="0.25">
      <c r="A88" s="75">
        <v>4115</v>
      </c>
      <c r="B88" s="76" t="s">
        <v>109</v>
      </c>
      <c r="C88" s="77">
        <v>0</v>
      </c>
      <c r="D88" s="81">
        <v>0</v>
      </c>
      <c r="E88" s="79">
        <v>0</v>
      </c>
      <c r="F88" s="83">
        <v>0</v>
      </c>
      <c r="G88" s="84">
        <v>0</v>
      </c>
      <c r="H88" s="82">
        <v>0</v>
      </c>
      <c r="I88" s="83">
        <v>0</v>
      </c>
      <c r="J88" s="84">
        <v>0</v>
      </c>
      <c r="K88" s="82">
        <v>0</v>
      </c>
      <c r="L88" s="83">
        <v>0</v>
      </c>
      <c r="M88" s="84">
        <v>0</v>
      </c>
      <c r="N88" s="82">
        <v>0</v>
      </c>
      <c r="O88" s="80">
        <f t="shared" si="20"/>
        <v>0</v>
      </c>
      <c r="P88" s="81">
        <f t="shared" si="21"/>
        <v>0</v>
      </c>
      <c r="Q88" s="82">
        <f t="shared" si="22"/>
        <v>0</v>
      </c>
    </row>
    <row r="89" spans="1:17" ht="17.100000000000001" customHeight="1" x14ac:dyDescent="0.25">
      <c r="A89" s="75">
        <v>4116</v>
      </c>
      <c r="B89" s="76" t="s">
        <v>110</v>
      </c>
      <c r="C89" s="77">
        <v>0</v>
      </c>
      <c r="D89" s="81">
        <v>0</v>
      </c>
      <c r="E89" s="79">
        <v>0</v>
      </c>
      <c r="F89" s="83">
        <v>0</v>
      </c>
      <c r="G89" s="84">
        <v>0</v>
      </c>
      <c r="H89" s="82">
        <v>0</v>
      </c>
      <c r="I89" s="83">
        <v>0</v>
      </c>
      <c r="J89" s="84">
        <v>0</v>
      </c>
      <c r="K89" s="82">
        <v>0</v>
      </c>
      <c r="L89" s="83">
        <v>0</v>
      </c>
      <c r="M89" s="84">
        <v>0</v>
      </c>
      <c r="N89" s="82">
        <v>0</v>
      </c>
      <c r="O89" s="80">
        <f t="shared" si="20"/>
        <v>0</v>
      </c>
      <c r="P89" s="81">
        <f t="shared" si="21"/>
        <v>0</v>
      </c>
      <c r="Q89" s="82">
        <f t="shared" si="22"/>
        <v>0</v>
      </c>
    </row>
    <row r="90" spans="1:17" ht="17.100000000000001" customHeight="1" x14ac:dyDescent="0.25">
      <c r="A90" s="75">
        <v>4117</v>
      </c>
      <c r="B90" s="76" t="s">
        <v>111</v>
      </c>
      <c r="C90" s="77">
        <v>0</v>
      </c>
      <c r="D90" s="81">
        <v>0</v>
      </c>
      <c r="E90" s="79">
        <v>0</v>
      </c>
      <c r="F90" s="83">
        <v>0</v>
      </c>
      <c r="G90" s="84">
        <v>0</v>
      </c>
      <c r="H90" s="82">
        <v>0</v>
      </c>
      <c r="I90" s="83">
        <v>0</v>
      </c>
      <c r="J90" s="84">
        <v>0</v>
      </c>
      <c r="K90" s="82">
        <v>0</v>
      </c>
      <c r="L90" s="83">
        <v>0</v>
      </c>
      <c r="M90" s="84">
        <v>0</v>
      </c>
      <c r="N90" s="82">
        <v>0</v>
      </c>
      <c r="O90" s="80">
        <f t="shared" si="20"/>
        <v>0</v>
      </c>
      <c r="P90" s="81">
        <f t="shared" si="21"/>
        <v>0</v>
      </c>
      <c r="Q90" s="82">
        <f t="shared" si="22"/>
        <v>0</v>
      </c>
    </row>
    <row r="91" spans="1:17" ht="17.100000000000001" customHeight="1" x14ac:dyDescent="0.25">
      <c r="A91" s="75">
        <v>4118</v>
      </c>
      <c r="B91" s="76" t="s">
        <v>112</v>
      </c>
      <c r="C91" s="77">
        <v>0</v>
      </c>
      <c r="D91" s="81">
        <v>0</v>
      </c>
      <c r="E91" s="79">
        <v>0</v>
      </c>
      <c r="F91" s="83">
        <v>0</v>
      </c>
      <c r="G91" s="84">
        <v>0</v>
      </c>
      <c r="H91" s="82">
        <v>0</v>
      </c>
      <c r="I91" s="83">
        <v>0</v>
      </c>
      <c r="J91" s="84">
        <v>0</v>
      </c>
      <c r="K91" s="82">
        <v>0</v>
      </c>
      <c r="L91" s="83">
        <v>0</v>
      </c>
      <c r="M91" s="84">
        <v>0</v>
      </c>
      <c r="N91" s="82">
        <v>0</v>
      </c>
      <c r="O91" s="80">
        <f t="shared" si="20"/>
        <v>0</v>
      </c>
      <c r="P91" s="81">
        <f t="shared" si="21"/>
        <v>0</v>
      </c>
      <c r="Q91" s="82">
        <f t="shared" si="22"/>
        <v>0</v>
      </c>
    </row>
    <row r="92" spans="1:17" ht="17.100000000000001" customHeight="1" x14ac:dyDescent="0.25">
      <c r="A92" s="75">
        <v>4119</v>
      </c>
      <c r="B92" s="76" t="s">
        <v>113</v>
      </c>
      <c r="C92" s="77">
        <v>0</v>
      </c>
      <c r="D92" s="81">
        <v>0</v>
      </c>
      <c r="E92" s="79">
        <v>0</v>
      </c>
      <c r="F92" s="83">
        <v>0</v>
      </c>
      <c r="G92" s="84">
        <v>0</v>
      </c>
      <c r="H92" s="82">
        <v>0</v>
      </c>
      <c r="I92" s="83">
        <v>0</v>
      </c>
      <c r="J92" s="84">
        <v>0</v>
      </c>
      <c r="K92" s="82">
        <v>0</v>
      </c>
      <c r="L92" s="83">
        <v>0</v>
      </c>
      <c r="M92" s="84">
        <v>0</v>
      </c>
      <c r="N92" s="82">
        <v>0</v>
      </c>
      <c r="O92" s="80">
        <f t="shared" si="20"/>
        <v>0</v>
      </c>
      <c r="P92" s="81">
        <f t="shared" si="21"/>
        <v>0</v>
      </c>
      <c r="Q92" s="82">
        <f t="shared" si="22"/>
        <v>0</v>
      </c>
    </row>
    <row r="93" spans="1:17" ht="17.100000000000001" customHeight="1" x14ac:dyDescent="0.25">
      <c r="A93" s="75">
        <v>4120</v>
      </c>
      <c r="B93" s="76" t="s">
        <v>114</v>
      </c>
      <c r="C93" s="77">
        <v>0</v>
      </c>
      <c r="D93" s="81">
        <v>0</v>
      </c>
      <c r="E93" s="79">
        <v>0</v>
      </c>
      <c r="F93" s="83">
        <v>0</v>
      </c>
      <c r="G93" s="84">
        <v>0</v>
      </c>
      <c r="H93" s="82">
        <v>0</v>
      </c>
      <c r="I93" s="83">
        <v>0</v>
      </c>
      <c r="J93" s="84">
        <v>0</v>
      </c>
      <c r="K93" s="82">
        <v>0</v>
      </c>
      <c r="L93" s="83">
        <v>0</v>
      </c>
      <c r="M93" s="84">
        <v>0</v>
      </c>
      <c r="N93" s="82">
        <v>0</v>
      </c>
      <c r="O93" s="80">
        <f t="shared" si="20"/>
        <v>0</v>
      </c>
      <c r="P93" s="81">
        <f t="shared" si="21"/>
        <v>0</v>
      </c>
      <c r="Q93" s="82">
        <f t="shared" si="22"/>
        <v>0</v>
      </c>
    </row>
    <row r="94" spans="1:17" ht="17.100000000000001" customHeight="1" x14ac:dyDescent="0.25">
      <c r="A94" s="75">
        <v>4121</v>
      </c>
      <c r="B94" s="76" t="s">
        <v>115</v>
      </c>
      <c r="C94" s="77">
        <v>0</v>
      </c>
      <c r="D94" s="81">
        <v>0</v>
      </c>
      <c r="E94" s="79">
        <v>1</v>
      </c>
      <c r="F94" s="83">
        <v>0</v>
      </c>
      <c r="G94" s="84">
        <v>0</v>
      </c>
      <c r="H94" s="82">
        <v>0</v>
      </c>
      <c r="I94" s="83">
        <v>0</v>
      </c>
      <c r="J94" s="84">
        <v>0</v>
      </c>
      <c r="K94" s="82">
        <v>0</v>
      </c>
      <c r="L94" s="83">
        <v>0</v>
      </c>
      <c r="M94" s="84">
        <v>0</v>
      </c>
      <c r="N94" s="82">
        <v>0</v>
      </c>
      <c r="O94" s="80">
        <f t="shared" si="20"/>
        <v>0</v>
      </c>
      <c r="P94" s="81">
        <f t="shared" si="21"/>
        <v>0</v>
      </c>
      <c r="Q94" s="82">
        <f t="shared" si="22"/>
        <v>1</v>
      </c>
    </row>
    <row r="95" spans="1:17" ht="17.100000000000001" customHeight="1" x14ac:dyDescent="0.25">
      <c r="A95" s="75">
        <v>4122</v>
      </c>
      <c r="B95" s="76" t="s">
        <v>116</v>
      </c>
      <c r="C95" s="77">
        <v>0</v>
      </c>
      <c r="D95" s="81">
        <v>0</v>
      </c>
      <c r="E95" s="79">
        <v>0</v>
      </c>
      <c r="F95" s="83">
        <v>0</v>
      </c>
      <c r="G95" s="84">
        <v>0</v>
      </c>
      <c r="H95" s="82">
        <v>0</v>
      </c>
      <c r="I95" s="83">
        <v>0</v>
      </c>
      <c r="J95" s="84">
        <v>0</v>
      </c>
      <c r="K95" s="82">
        <v>0</v>
      </c>
      <c r="L95" s="83">
        <v>0</v>
      </c>
      <c r="M95" s="84">
        <v>0</v>
      </c>
      <c r="N95" s="82">
        <v>0</v>
      </c>
      <c r="O95" s="80">
        <f t="shared" si="20"/>
        <v>0</v>
      </c>
      <c r="P95" s="81">
        <f t="shared" si="21"/>
        <v>0</v>
      </c>
      <c r="Q95" s="82">
        <f t="shared" si="22"/>
        <v>0</v>
      </c>
    </row>
    <row r="96" spans="1:17" ht="17.100000000000001" customHeight="1" x14ac:dyDescent="0.25">
      <c r="A96" s="75">
        <v>4123</v>
      </c>
      <c r="B96" s="76" t="s">
        <v>117</v>
      </c>
      <c r="C96" s="77">
        <v>0</v>
      </c>
      <c r="D96" s="81">
        <v>0</v>
      </c>
      <c r="E96" s="79">
        <v>0</v>
      </c>
      <c r="F96" s="83">
        <v>0</v>
      </c>
      <c r="G96" s="84">
        <v>0</v>
      </c>
      <c r="H96" s="82">
        <v>0</v>
      </c>
      <c r="I96" s="83">
        <v>0</v>
      </c>
      <c r="J96" s="84">
        <v>0</v>
      </c>
      <c r="K96" s="82">
        <v>0</v>
      </c>
      <c r="L96" s="83">
        <v>0</v>
      </c>
      <c r="M96" s="84">
        <v>0</v>
      </c>
      <c r="N96" s="82">
        <v>0</v>
      </c>
      <c r="O96" s="80">
        <f t="shared" si="20"/>
        <v>0</v>
      </c>
      <c r="P96" s="81">
        <f t="shared" si="21"/>
        <v>0</v>
      </c>
      <c r="Q96" s="82">
        <f t="shared" si="22"/>
        <v>0</v>
      </c>
    </row>
    <row r="97" spans="1:17" ht="17.100000000000001" customHeight="1" x14ac:dyDescent="0.25">
      <c r="A97" s="75">
        <v>4124</v>
      </c>
      <c r="B97" s="76" t="s">
        <v>118</v>
      </c>
      <c r="C97" s="77">
        <v>0</v>
      </c>
      <c r="D97" s="81">
        <v>0</v>
      </c>
      <c r="E97" s="79">
        <v>0</v>
      </c>
      <c r="F97" s="83">
        <v>0</v>
      </c>
      <c r="G97" s="84">
        <v>0</v>
      </c>
      <c r="H97" s="82">
        <v>0</v>
      </c>
      <c r="I97" s="83">
        <v>0</v>
      </c>
      <c r="J97" s="84">
        <v>0</v>
      </c>
      <c r="K97" s="82">
        <v>0</v>
      </c>
      <c r="L97" s="83">
        <v>0</v>
      </c>
      <c r="M97" s="84">
        <v>0</v>
      </c>
      <c r="N97" s="82">
        <v>0</v>
      </c>
      <c r="O97" s="80">
        <f t="shared" si="20"/>
        <v>0</v>
      </c>
      <c r="P97" s="81">
        <f t="shared" si="21"/>
        <v>0</v>
      </c>
      <c r="Q97" s="82">
        <f t="shared" si="22"/>
        <v>0</v>
      </c>
    </row>
    <row r="98" spans="1:17" ht="17.100000000000001" customHeight="1" x14ac:dyDescent="0.25">
      <c r="A98" s="75">
        <v>4125</v>
      </c>
      <c r="B98" s="76" t="s">
        <v>55</v>
      </c>
      <c r="C98" s="77">
        <v>0</v>
      </c>
      <c r="D98" s="81">
        <v>0</v>
      </c>
      <c r="E98" s="79">
        <v>0</v>
      </c>
      <c r="F98" s="83">
        <v>0</v>
      </c>
      <c r="G98" s="84">
        <v>0</v>
      </c>
      <c r="H98" s="82">
        <v>0</v>
      </c>
      <c r="I98" s="83">
        <v>0</v>
      </c>
      <c r="J98" s="84">
        <v>0</v>
      </c>
      <c r="K98" s="82">
        <v>0</v>
      </c>
      <c r="L98" s="83">
        <v>0</v>
      </c>
      <c r="M98" s="84">
        <v>0</v>
      </c>
      <c r="N98" s="82">
        <v>0</v>
      </c>
      <c r="O98" s="80">
        <f t="shared" si="20"/>
        <v>0</v>
      </c>
      <c r="P98" s="81">
        <f t="shared" si="21"/>
        <v>0</v>
      </c>
      <c r="Q98" s="82">
        <f t="shared" si="22"/>
        <v>0</v>
      </c>
    </row>
    <row r="99" spans="1:17" ht="17.100000000000001" customHeight="1" x14ac:dyDescent="0.25">
      <c r="A99" s="75">
        <v>4126</v>
      </c>
      <c r="B99" s="76" t="s">
        <v>119</v>
      </c>
      <c r="C99" s="77">
        <v>0</v>
      </c>
      <c r="D99" s="81">
        <v>0</v>
      </c>
      <c r="E99" s="79">
        <v>0</v>
      </c>
      <c r="F99" s="83">
        <v>0</v>
      </c>
      <c r="G99" s="84">
        <v>0</v>
      </c>
      <c r="H99" s="82">
        <v>0</v>
      </c>
      <c r="I99" s="83">
        <v>0</v>
      </c>
      <c r="J99" s="84">
        <v>0</v>
      </c>
      <c r="K99" s="82">
        <v>0</v>
      </c>
      <c r="L99" s="83">
        <v>0</v>
      </c>
      <c r="M99" s="84">
        <v>0</v>
      </c>
      <c r="N99" s="82">
        <v>0</v>
      </c>
      <c r="O99" s="80">
        <f t="shared" si="20"/>
        <v>0</v>
      </c>
      <c r="P99" s="81">
        <f t="shared" si="21"/>
        <v>0</v>
      </c>
      <c r="Q99" s="82">
        <f t="shared" si="22"/>
        <v>0</v>
      </c>
    </row>
    <row r="100" spans="1:17" ht="17.100000000000001" customHeight="1" x14ac:dyDescent="0.25">
      <c r="A100" s="75">
        <v>4127</v>
      </c>
      <c r="B100" s="76" t="s">
        <v>120</v>
      </c>
      <c r="C100" s="77">
        <v>0</v>
      </c>
      <c r="D100" s="81">
        <v>0</v>
      </c>
      <c r="E100" s="79">
        <v>0</v>
      </c>
      <c r="F100" s="83">
        <v>0</v>
      </c>
      <c r="G100" s="84">
        <v>0</v>
      </c>
      <c r="H100" s="82">
        <v>0</v>
      </c>
      <c r="I100" s="83">
        <v>0</v>
      </c>
      <c r="J100" s="84">
        <v>0</v>
      </c>
      <c r="K100" s="82">
        <v>0</v>
      </c>
      <c r="L100" s="83">
        <v>0</v>
      </c>
      <c r="M100" s="84">
        <v>0</v>
      </c>
      <c r="N100" s="82">
        <v>0</v>
      </c>
      <c r="O100" s="80">
        <f t="shared" si="20"/>
        <v>0</v>
      </c>
      <c r="P100" s="81">
        <f t="shared" si="21"/>
        <v>0</v>
      </c>
      <c r="Q100" s="82">
        <f t="shared" si="22"/>
        <v>0</v>
      </c>
    </row>
    <row r="101" spans="1:17" ht="17.100000000000001" customHeight="1" x14ac:dyDescent="0.25">
      <c r="A101" s="75">
        <v>4128</v>
      </c>
      <c r="B101" s="76" t="s">
        <v>121</v>
      </c>
      <c r="C101" s="77">
        <v>0</v>
      </c>
      <c r="D101" s="81">
        <v>0</v>
      </c>
      <c r="E101" s="79">
        <v>0</v>
      </c>
      <c r="F101" s="83">
        <v>0</v>
      </c>
      <c r="G101" s="84">
        <v>0</v>
      </c>
      <c r="H101" s="82">
        <v>0</v>
      </c>
      <c r="I101" s="83">
        <v>0</v>
      </c>
      <c r="J101" s="84">
        <v>0</v>
      </c>
      <c r="K101" s="82">
        <v>0</v>
      </c>
      <c r="L101" s="83">
        <v>0</v>
      </c>
      <c r="M101" s="84">
        <v>0</v>
      </c>
      <c r="N101" s="82">
        <v>0</v>
      </c>
      <c r="O101" s="80">
        <f t="shared" si="20"/>
        <v>0</v>
      </c>
      <c r="P101" s="81">
        <f t="shared" si="21"/>
        <v>0</v>
      </c>
      <c r="Q101" s="82">
        <f t="shared" si="22"/>
        <v>0</v>
      </c>
    </row>
    <row r="102" spans="1:17" ht="17.100000000000001" customHeight="1" x14ac:dyDescent="0.25">
      <c r="A102" s="75">
        <v>4129</v>
      </c>
      <c r="B102" s="76" t="s">
        <v>122</v>
      </c>
      <c r="C102" s="77">
        <v>0</v>
      </c>
      <c r="D102" s="81">
        <v>0</v>
      </c>
      <c r="E102" s="79">
        <v>0</v>
      </c>
      <c r="F102" s="83">
        <v>0</v>
      </c>
      <c r="G102" s="84">
        <v>0</v>
      </c>
      <c r="H102" s="82">
        <v>0</v>
      </c>
      <c r="I102" s="83">
        <v>0</v>
      </c>
      <c r="J102" s="84">
        <v>0</v>
      </c>
      <c r="K102" s="82">
        <v>0</v>
      </c>
      <c r="L102" s="83">
        <v>0</v>
      </c>
      <c r="M102" s="84">
        <v>0</v>
      </c>
      <c r="N102" s="82">
        <v>0</v>
      </c>
      <c r="O102" s="80">
        <f t="shared" si="20"/>
        <v>0</v>
      </c>
      <c r="P102" s="81">
        <f t="shared" si="21"/>
        <v>0</v>
      </c>
      <c r="Q102" s="82">
        <f t="shared" si="22"/>
        <v>0</v>
      </c>
    </row>
    <row r="103" spans="1:17" ht="15.95" customHeight="1" thickBot="1" x14ac:dyDescent="0.3">
      <c r="A103" s="156">
        <v>4130</v>
      </c>
      <c r="B103" s="157" t="s">
        <v>123</v>
      </c>
      <c r="C103" s="38">
        <v>0</v>
      </c>
      <c r="D103" s="39">
        <v>0</v>
      </c>
      <c r="E103" s="40">
        <v>0</v>
      </c>
      <c r="F103" s="145">
        <v>0</v>
      </c>
      <c r="G103" s="137">
        <v>0</v>
      </c>
      <c r="H103" s="113">
        <v>0</v>
      </c>
      <c r="I103" s="145">
        <v>0</v>
      </c>
      <c r="J103" s="137">
        <v>0</v>
      </c>
      <c r="K103" s="113">
        <v>0</v>
      </c>
      <c r="L103" s="145">
        <v>0</v>
      </c>
      <c r="M103" s="137">
        <v>0</v>
      </c>
      <c r="N103" s="113">
        <v>0</v>
      </c>
      <c r="O103" s="112">
        <f t="shared" si="20"/>
        <v>0</v>
      </c>
      <c r="P103" s="39">
        <f t="shared" si="21"/>
        <v>0</v>
      </c>
      <c r="Q103" s="113">
        <f t="shared" si="22"/>
        <v>0</v>
      </c>
    </row>
    <row r="104" spans="1:17" ht="17.100000000000001" customHeight="1" thickBot="1" x14ac:dyDescent="0.3">
      <c r="A104" s="150">
        <v>4200</v>
      </c>
      <c r="B104" s="151" t="s">
        <v>629</v>
      </c>
      <c r="C104" s="152"/>
      <c r="D104" s="152"/>
      <c r="E104" s="153"/>
      <c r="F104" s="154"/>
      <c r="G104" s="155"/>
      <c r="H104" s="155"/>
      <c r="I104" s="154"/>
      <c r="J104" s="155"/>
      <c r="K104" s="155"/>
      <c r="L104" s="154"/>
      <c r="M104" s="155"/>
      <c r="N104" s="155"/>
      <c r="O104" s="118"/>
      <c r="P104" s="119"/>
      <c r="Q104" s="141"/>
    </row>
    <row r="105" spans="1:17" ht="17.100000000000001" customHeight="1" x14ac:dyDescent="0.25">
      <c r="A105" s="36">
        <v>4201</v>
      </c>
      <c r="B105" s="108" t="s">
        <v>95</v>
      </c>
      <c r="C105" s="38">
        <v>0</v>
      </c>
      <c r="D105" s="39">
        <v>0</v>
      </c>
      <c r="E105" s="40">
        <v>0</v>
      </c>
      <c r="F105" s="95">
        <v>0</v>
      </c>
      <c r="G105" s="96">
        <v>0</v>
      </c>
      <c r="H105" s="74">
        <v>0</v>
      </c>
      <c r="I105" s="95">
        <v>0</v>
      </c>
      <c r="J105" s="96">
        <v>0</v>
      </c>
      <c r="K105" s="74">
        <v>0</v>
      </c>
      <c r="L105" s="95">
        <v>0</v>
      </c>
      <c r="M105" s="96">
        <v>0</v>
      </c>
      <c r="N105" s="74">
        <v>0</v>
      </c>
      <c r="O105" s="112">
        <f t="shared" ref="O105:O135" si="23">C105+F105-I105-L105</f>
        <v>0</v>
      </c>
      <c r="P105" s="39">
        <f t="shared" ref="P105:P135" si="24">D105+G105-J105-M105</f>
        <v>0</v>
      </c>
      <c r="Q105" s="113">
        <f t="shared" ref="Q105:Q135" si="25">E105+H105-K105-N105</f>
        <v>0</v>
      </c>
    </row>
    <row r="106" spans="1:17" ht="17.100000000000001" customHeight="1" x14ac:dyDescent="0.25">
      <c r="A106" s="75">
        <v>4202</v>
      </c>
      <c r="B106" s="76" t="s">
        <v>125</v>
      </c>
      <c r="C106" s="77">
        <v>0</v>
      </c>
      <c r="D106" s="81">
        <v>0</v>
      </c>
      <c r="E106" s="79">
        <v>0</v>
      </c>
      <c r="F106" s="83">
        <v>0</v>
      </c>
      <c r="G106" s="84">
        <v>0</v>
      </c>
      <c r="H106" s="82">
        <v>0</v>
      </c>
      <c r="I106" s="83">
        <v>0</v>
      </c>
      <c r="J106" s="84">
        <v>0</v>
      </c>
      <c r="K106" s="82">
        <v>0</v>
      </c>
      <c r="L106" s="83">
        <v>0</v>
      </c>
      <c r="M106" s="84">
        <v>0</v>
      </c>
      <c r="N106" s="82">
        <v>0</v>
      </c>
      <c r="O106" s="80">
        <f t="shared" si="23"/>
        <v>0</v>
      </c>
      <c r="P106" s="81">
        <f t="shared" si="24"/>
        <v>0</v>
      </c>
      <c r="Q106" s="82">
        <f t="shared" si="25"/>
        <v>0</v>
      </c>
    </row>
    <row r="107" spans="1:17" ht="17.100000000000001" customHeight="1" x14ac:dyDescent="0.25">
      <c r="A107" s="75">
        <v>4203</v>
      </c>
      <c r="B107" s="76" t="s">
        <v>96</v>
      </c>
      <c r="C107" s="77">
        <v>0</v>
      </c>
      <c r="D107" s="81">
        <v>0</v>
      </c>
      <c r="E107" s="79">
        <v>0</v>
      </c>
      <c r="F107" s="83">
        <v>0</v>
      </c>
      <c r="G107" s="84">
        <v>0</v>
      </c>
      <c r="H107" s="82">
        <v>0</v>
      </c>
      <c r="I107" s="83">
        <v>0</v>
      </c>
      <c r="J107" s="84">
        <v>0</v>
      </c>
      <c r="K107" s="82">
        <v>0</v>
      </c>
      <c r="L107" s="83">
        <v>0</v>
      </c>
      <c r="M107" s="84">
        <v>0</v>
      </c>
      <c r="N107" s="82">
        <v>0</v>
      </c>
      <c r="O107" s="80">
        <f t="shared" si="23"/>
        <v>0</v>
      </c>
      <c r="P107" s="81">
        <f t="shared" si="24"/>
        <v>0</v>
      </c>
      <c r="Q107" s="82">
        <f t="shared" si="25"/>
        <v>0</v>
      </c>
    </row>
    <row r="108" spans="1:17" ht="17.100000000000001" customHeight="1" x14ac:dyDescent="0.25">
      <c r="A108" s="75">
        <v>4204</v>
      </c>
      <c r="B108" s="76" t="s">
        <v>98</v>
      </c>
      <c r="C108" s="77">
        <v>0</v>
      </c>
      <c r="D108" s="81">
        <v>0</v>
      </c>
      <c r="E108" s="79">
        <v>0</v>
      </c>
      <c r="F108" s="83">
        <v>0</v>
      </c>
      <c r="G108" s="84">
        <v>0</v>
      </c>
      <c r="H108" s="82">
        <v>0</v>
      </c>
      <c r="I108" s="83">
        <v>0</v>
      </c>
      <c r="J108" s="84">
        <v>0</v>
      </c>
      <c r="K108" s="82">
        <v>0</v>
      </c>
      <c r="L108" s="83">
        <v>0</v>
      </c>
      <c r="M108" s="84">
        <v>0</v>
      </c>
      <c r="N108" s="82">
        <v>0</v>
      </c>
      <c r="O108" s="80">
        <f t="shared" si="23"/>
        <v>0</v>
      </c>
      <c r="P108" s="81">
        <f t="shared" si="24"/>
        <v>0</v>
      </c>
      <c r="Q108" s="82">
        <f t="shared" si="25"/>
        <v>0</v>
      </c>
    </row>
    <row r="109" spans="1:17" ht="17.100000000000001" customHeight="1" x14ac:dyDescent="0.25">
      <c r="A109" s="75">
        <v>4205</v>
      </c>
      <c r="B109" s="76" t="s">
        <v>100</v>
      </c>
      <c r="C109" s="77">
        <v>0</v>
      </c>
      <c r="D109" s="81">
        <v>0</v>
      </c>
      <c r="E109" s="79">
        <v>0</v>
      </c>
      <c r="F109" s="83">
        <v>0</v>
      </c>
      <c r="G109" s="84">
        <v>0</v>
      </c>
      <c r="H109" s="82">
        <v>0</v>
      </c>
      <c r="I109" s="83">
        <v>0</v>
      </c>
      <c r="J109" s="84">
        <v>0</v>
      </c>
      <c r="K109" s="82">
        <v>0</v>
      </c>
      <c r="L109" s="83">
        <v>0</v>
      </c>
      <c r="M109" s="84">
        <v>0</v>
      </c>
      <c r="N109" s="82">
        <v>0</v>
      </c>
      <c r="O109" s="80">
        <f t="shared" si="23"/>
        <v>0</v>
      </c>
      <c r="P109" s="81">
        <f t="shared" si="24"/>
        <v>0</v>
      </c>
      <c r="Q109" s="82">
        <f t="shared" si="25"/>
        <v>0</v>
      </c>
    </row>
    <row r="110" spans="1:17" ht="17.100000000000001" customHeight="1" x14ac:dyDescent="0.25">
      <c r="A110" s="75">
        <v>4206</v>
      </c>
      <c r="B110" s="76" t="s">
        <v>102</v>
      </c>
      <c r="C110" s="77">
        <v>0</v>
      </c>
      <c r="D110" s="81">
        <v>0</v>
      </c>
      <c r="E110" s="79">
        <v>0</v>
      </c>
      <c r="F110" s="83">
        <v>0</v>
      </c>
      <c r="G110" s="84">
        <v>0</v>
      </c>
      <c r="H110" s="82">
        <v>0</v>
      </c>
      <c r="I110" s="83">
        <v>0</v>
      </c>
      <c r="J110" s="84">
        <v>0</v>
      </c>
      <c r="K110" s="82">
        <v>0</v>
      </c>
      <c r="L110" s="83">
        <v>0</v>
      </c>
      <c r="M110" s="84">
        <v>0</v>
      </c>
      <c r="N110" s="82">
        <v>0</v>
      </c>
      <c r="O110" s="80">
        <f t="shared" si="23"/>
        <v>0</v>
      </c>
      <c r="P110" s="81">
        <f t="shared" si="24"/>
        <v>0</v>
      </c>
      <c r="Q110" s="82">
        <f t="shared" si="25"/>
        <v>0</v>
      </c>
    </row>
    <row r="111" spans="1:17" ht="17.100000000000001" customHeight="1" x14ac:dyDescent="0.25">
      <c r="A111" s="75">
        <v>4207</v>
      </c>
      <c r="B111" s="76" t="s">
        <v>103</v>
      </c>
      <c r="C111" s="77">
        <v>0</v>
      </c>
      <c r="D111" s="81">
        <v>0</v>
      </c>
      <c r="E111" s="79">
        <v>0</v>
      </c>
      <c r="F111" s="83">
        <v>0</v>
      </c>
      <c r="G111" s="84">
        <v>0</v>
      </c>
      <c r="H111" s="82">
        <v>0</v>
      </c>
      <c r="I111" s="83">
        <v>0</v>
      </c>
      <c r="J111" s="84">
        <v>0</v>
      </c>
      <c r="K111" s="82">
        <v>0</v>
      </c>
      <c r="L111" s="83">
        <v>0</v>
      </c>
      <c r="M111" s="84">
        <v>0</v>
      </c>
      <c r="N111" s="82">
        <v>0</v>
      </c>
      <c r="O111" s="80">
        <f t="shared" si="23"/>
        <v>0</v>
      </c>
      <c r="P111" s="81">
        <f t="shared" si="24"/>
        <v>0</v>
      </c>
      <c r="Q111" s="82">
        <f t="shared" si="25"/>
        <v>0</v>
      </c>
    </row>
    <row r="112" spans="1:17" ht="17.100000000000001" customHeight="1" x14ac:dyDescent="0.25">
      <c r="A112" s="75">
        <v>4208</v>
      </c>
      <c r="B112" s="76" t="s">
        <v>104</v>
      </c>
      <c r="C112" s="77">
        <v>0</v>
      </c>
      <c r="D112" s="81">
        <v>0</v>
      </c>
      <c r="E112" s="79">
        <v>0</v>
      </c>
      <c r="F112" s="83">
        <v>0</v>
      </c>
      <c r="G112" s="84">
        <v>0</v>
      </c>
      <c r="H112" s="82">
        <v>0</v>
      </c>
      <c r="I112" s="83">
        <v>0</v>
      </c>
      <c r="J112" s="84">
        <v>0</v>
      </c>
      <c r="K112" s="82">
        <v>0</v>
      </c>
      <c r="L112" s="83">
        <v>0</v>
      </c>
      <c r="M112" s="84">
        <v>0</v>
      </c>
      <c r="N112" s="82">
        <v>0</v>
      </c>
      <c r="O112" s="80">
        <f t="shared" si="23"/>
        <v>0</v>
      </c>
      <c r="P112" s="81">
        <f t="shared" si="24"/>
        <v>0</v>
      </c>
      <c r="Q112" s="82">
        <f t="shared" si="25"/>
        <v>0</v>
      </c>
    </row>
    <row r="113" spans="1:17" ht="30" customHeight="1" x14ac:dyDescent="0.25">
      <c r="A113" s="75">
        <v>4209</v>
      </c>
      <c r="B113" s="76" t="s">
        <v>126</v>
      </c>
      <c r="C113" s="77">
        <v>0</v>
      </c>
      <c r="D113" s="81">
        <v>0</v>
      </c>
      <c r="E113" s="79">
        <v>0</v>
      </c>
      <c r="F113" s="83">
        <v>0</v>
      </c>
      <c r="G113" s="84">
        <v>0</v>
      </c>
      <c r="H113" s="82">
        <v>0</v>
      </c>
      <c r="I113" s="83">
        <v>0</v>
      </c>
      <c r="J113" s="84">
        <v>0</v>
      </c>
      <c r="K113" s="82">
        <v>0</v>
      </c>
      <c r="L113" s="83">
        <v>0</v>
      </c>
      <c r="M113" s="84">
        <v>0</v>
      </c>
      <c r="N113" s="82">
        <v>0</v>
      </c>
      <c r="O113" s="80">
        <f t="shared" si="23"/>
        <v>0</v>
      </c>
      <c r="P113" s="81">
        <f t="shared" si="24"/>
        <v>0</v>
      </c>
      <c r="Q113" s="82">
        <f t="shared" si="25"/>
        <v>0</v>
      </c>
    </row>
    <row r="114" spans="1:17" ht="17.100000000000001" customHeight="1" x14ac:dyDescent="0.25">
      <c r="A114" s="75">
        <v>4210</v>
      </c>
      <c r="B114" s="76" t="s">
        <v>112</v>
      </c>
      <c r="C114" s="77">
        <v>0</v>
      </c>
      <c r="D114" s="81">
        <v>0</v>
      </c>
      <c r="E114" s="79">
        <v>0</v>
      </c>
      <c r="F114" s="83">
        <v>0</v>
      </c>
      <c r="G114" s="84">
        <v>0</v>
      </c>
      <c r="H114" s="82">
        <v>0</v>
      </c>
      <c r="I114" s="83">
        <v>0</v>
      </c>
      <c r="J114" s="84">
        <v>0</v>
      </c>
      <c r="K114" s="82">
        <v>0</v>
      </c>
      <c r="L114" s="83">
        <v>0</v>
      </c>
      <c r="M114" s="84">
        <v>0</v>
      </c>
      <c r="N114" s="82">
        <v>0</v>
      </c>
      <c r="O114" s="80">
        <f t="shared" si="23"/>
        <v>0</v>
      </c>
      <c r="P114" s="81">
        <f t="shared" si="24"/>
        <v>0</v>
      </c>
      <c r="Q114" s="82">
        <f t="shared" si="25"/>
        <v>0</v>
      </c>
    </row>
    <row r="115" spans="1:17" ht="17.100000000000001" customHeight="1" x14ac:dyDescent="0.25">
      <c r="A115" s="75">
        <v>4211</v>
      </c>
      <c r="B115" s="76" t="s">
        <v>107</v>
      </c>
      <c r="C115" s="77">
        <v>0</v>
      </c>
      <c r="D115" s="81">
        <v>0</v>
      </c>
      <c r="E115" s="79">
        <v>0</v>
      </c>
      <c r="F115" s="83">
        <v>0</v>
      </c>
      <c r="G115" s="84">
        <v>0</v>
      </c>
      <c r="H115" s="82">
        <v>0</v>
      </c>
      <c r="I115" s="83">
        <v>0</v>
      </c>
      <c r="J115" s="84">
        <v>0</v>
      </c>
      <c r="K115" s="82">
        <v>0</v>
      </c>
      <c r="L115" s="83">
        <v>0</v>
      </c>
      <c r="M115" s="84">
        <v>0</v>
      </c>
      <c r="N115" s="82">
        <v>0</v>
      </c>
      <c r="O115" s="80">
        <f t="shared" si="23"/>
        <v>0</v>
      </c>
      <c r="P115" s="81">
        <f t="shared" si="24"/>
        <v>0</v>
      </c>
      <c r="Q115" s="82">
        <f t="shared" si="25"/>
        <v>0</v>
      </c>
    </row>
    <row r="116" spans="1:17" ht="17.100000000000001" customHeight="1" x14ac:dyDescent="0.25">
      <c r="A116" s="75">
        <v>4212</v>
      </c>
      <c r="B116" s="76" t="s">
        <v>105</v>
      </c>
      <c r="C116" s="77">
        <v>0</v>
      </c>
      <c r="D116" s="81">
        <v>0</v>
      </c>
      <c r="E116" s="79">
        <v>0</v>
      </c>
      <c r="F116" s="83">
        <v>0</v>
      </c>
      <c r="G116" s="84">
        <v>0</v>
      </c>
      <c r="H116" s="82">
        <v>0</v>
      </c>
      <c r="I116" s="83">
        <v>0</v>
      </c>
      <c r="J116" s="84">
        <v>0</v>
      </c>
      <c r="K116" s="82">
        <v>0</v>
      </c>
      <c r="L116" s="83">
        <v>0</v>
      </c>
      <c r="M116" s="84">
        <v>0</v>
      </c>
      <c r="N116" s="82">
        <v>0</v>
      </c>
      <c r="O116" s="80">
        <f t="shared" si="23"/>
        <v>0</v>
      </c>
      <c r="P116" s="81">
        <f t="shared" si="24"/>
        <v>0</v>
      </c>
      <c r="Q116" s="82">
        <f t="shared" si="25"/>
        <v>0</v>
      </c>
    </row>
    <row r="117" spans="1:17" ht="17.100000000000001" customHeight="1" x14ac:dyDescent="0.25">
      <c r="A117" s="75">
        <v>4213</v>
      </c>
      <c r="B117" s="76" t="s">
        <v>87</v>
      </c>
      <c r="C117" s="77">
        <v>0</v>
      </c>
      <c r="D117" s="81">
        <v>0</v>
      </c>
      <c r="E117" s="79">
        <v>1</v>
      </c>
      <c r="F117" s="83">
        <v>0</v>
      </c>
      <c r="G117" s="84">
        <v>0</v>
      </c>
      <c r="H117" s="82">
        <v>0</v>
      </c>
      <c r="I117" s="83">
        <v>0</v>
      </c>
      <c r="J117" s="84">
        <v>0</v>
      </c>
      <c r="K117" s="82">
        <v>0</v>
      </c>
      <c r="L117" s="83">
        <v>0</v>
      </c>
      <c r="M117" s="84">
        <v>0</v>
      </c>
      <c r="N117" s="82">
        <v>0</v>
      </c>
      <c r="O117" s="80">
        <f t="shared" si="23"/>
        <v>0</v>
      </c>
      <c r="P117" s="81">
        <f t="shared" si="24"/>
        <v>0</v>
      </c>
      <c r="Q117" s="82">
        <f t="shared" si="25"/>
        <v>1</v>
      </c>
    </row>
    <row r="118" spans="1:17" ht="17.100000000000001" customHeight="1" x14ac:dyDescent="0.25">
      <c r="A118" s="75">
        <v>4214</v>
      </c>
      <c r="B118" s="76" t="s">
        <v>127</v>
      </c>
      <c r="C118" s="77">
        <v>0</v>
      </c>
      <c r="D118" s="81">
        <v>0</v>
      </c>
      <c r="E118" s="79">
        <v>0</v>
      </c>
      <c r="F118" s="83">
        <v>0</v>
      </c>
      <c r="G118" s="84">
        <v>0</v>
      </c>
      <c r="H118" s="82">
        <v>0</v>
      </c>
      <c r="I118" s="83">
        <v>0</v>
      </c>
      <c r="J118" s="84">
        <v>0</v>
      </c>
      <c r="K118" s="82">
        <v>0</v>
      </c>
      <c r="L118" s="83">
        <v>0</v>
      </c>
      <c r="M118" s="84">
        <v>0</v>
      </c>
      <c r="N118" s="82">
        <v>0</v>
      </c>
      <c r="O118" s="80">
        <f t="shared" si="23"/>
        <v>0</v>
      </c>
      <c r="P118" s="81">
        <f t="shared" si="24"/>
        <v>0</v>
      </c>
      <c r="Q118" s="82">
        <f t="shared" si="25"/>
        <v>0</v>
      </c>
    </row>
    <row r="119" spans="1:17" ht="17.100000000000001" customHeight="1" x14ac:dyDescent="0.25">
      <c r="A119" s="75">
        <v>4215</v>
      </c>
      <c r="B119" s="76" t="s">
        <v>128</v>
      </c>
      <c r="C119" s="77">
        <v>0</v>
      </c>
      <c r="D119" s="81">
        <v>0</v>
      </c>
      <c r="E119" s="79">
        <v>0</v>
      </c>
      <c r="F119" s="83">
        <v>0</v>
      </c>
      <c r="G119" s="84">
        <v>0</v>
      </c>
      <c r="H119" s="82">
        <v>0</v>
      </c>
      <c r="I119" s="83">
        <v>0</v>
      </c>
      <c r="J119" s="84">
        <v>0</v>
      </c>
      <c r="K119" s="82">
        <v>0</v>
      </c>
      <c r="L119" s="83">
        <v>0</v>
      </c>
      <c r="M119" s="84">
        <v>0</v>
      </c>
      <c r="N119" s="82">
        <v>0</v>
      </c>
      <c r="O119" s="80">
        <f t="shared" si="23"/>
        <v>0</v>
      </c>
      <c r="P119" s="81">
        <f t="shared" si="24"/>
        <v>0</v>
      </c>
      <c r="Q119" s="82">
        <f t="shared" si="25"/>
        <v>0</v>
      </c>
    </row>
    <row r="120" spans="1:17" ht="17.100000000000001" customHeight="1" x14ac:dyDescent="0.25">
      <c r="A120" s="75">
        <v>4216</v>
      </c>
      <c r="B120" s="76" t="s">
        <v>129</v>
      </c>
      <c r="C120" s="77">
        <v>0</v>
      </c>
      <c r="D120" s="81">
        <v>0</v>
      </c>
      <c r="E120" s="79">
        <v>0</v>
      </c>
      <c r="F120" s="83">
        <v>0</v>
      </c>
      <c r="G120" s="84">
        <v>0</v>
      </c>
      <c r="H120" s="82">
        <v>0</v>
      </c>
      <c r="I120" s="83">
        <v>0</v>
      </c>
      <c r="J120" s="84">
        <v>0</v>
      </c>
      <c r="K120" s="82">
        <v>0</v>
      </c>
      <c r="L120" s="83">
        <v>0</v>
      </c>
      <c r="M120" s="84">
        <v>0</v>
      </c>
      <c r="N120" s="82">
        <v>0</v>
      </c>
      <c r="O120" s="80">
        <f t="shared" si="23"/>
        <v>0</v>
      </c>
      <c r="P120" s="81">
        <f t="shared" si="24"/>
        <v>0</v>
      </c>
      <c r="Q120" s="82">
        <f t="shared" si="25"/>
        <v>0</v>
      </c>
    </row>
    <row r="121" spans="1:17" ht="17.100000000000001" customHeight="1" x14ac:dyDescent="0.25">
      <c r="A121" s="75">
        <v>4217</v>
      </c>
      <c r="B121" s="76" t="s">
        <v>108</v>
      </c>
      <c r="C121" s="77">
        <v>0</v>
      </c>
      <c r="D121" s="81">
        <v>0</v>
      </c>
      <c r="E121" s="79">
        <v>0</v>
      </c>
      <c r="F121" s="83">
        <v>0</v>
      </c>
      <c r="G121" s="84">
        <v>0</v>
      </c>
      <c r="H121" s="82">
        <v>0</v>
      </c>
      <c r="I121" s="83">
        <v>0</v>
      </c>
      <c r="J121" s="84">
        <v>0</v>
      </c>
      <c r="K121" s="82">
        <v>0</v>
      </c>
      <c r="L121" s="83">
        <v>0</v>
      </c>
      <c r="M121" s="84">
        <v>0</v>
      </c>
      <c r="N121" s="82">
        <v>0</v>
      </c>
      <c r="O121" s="80">
        <f t="shared" si="23"/>
        <v>0</v>
      </c>
      <c r="P121" s="81">
        <f t="shared" si="24"/>
        <v>0</v>
      </c>
      <c r="Q121" s="82">
        <f t="shared" si="25"/>
        <v>0</v>
      </c>
    </row>
    <row r="122" spans="1:17" ht="17.100000000000001" customHeight="1" x14ac:dyDescent="0.25">
      <c r="A122" s="75">
        <v>4218</v>
      </c>
      <c r="B122" s="76" t="s">
        <v>109</v>
      </c>
      <c r="C122" s="77">
        <v>0</v>
      </c>
      <c r="D122" s="81">
        <v>0</v>
      </c>
      <c r="E122" s="79">
        <v>0</v>
      </c>
      <c r="F122" s="83">
        <v>0</v>
      </c>
      <c r="G122" s="84">
        <v>0</v>
      </c>
      <c r="H122" s="82">
        <v>0</v>
      </c>
      <c r="I122" s="83">
        <v>0</v>
      </c>
      <c r="J122" s="84">
        <v>0</v>
      </c>
      <c r="K122" s="82">
        <v>0</v>
      </c>
      <c r="L122" s="83">
        <v>0</v>
      </c>
      <c r="M122" s="84">
        <v>0</v>
      </c>
      <c r="N122" s="82">
        <v>0</v>
      </c>
      <c r="O122" s="80">
        <f t="shared" si="23"/>
        <v>0</v>
      </c>
      <c r="P122" s="81">
        <f t="shared" si="24"/>
        <v>0</v>
      </c>
      <c r="Q122" s="82">
        <f t="shared" si="25"/>
        <v>0</v>
      </c>
    </row>
    <row r="123" spans="1:17" ht="17.100000000000001" customHeight="1" x14ac:dyDescent="0.25">
      <c r="A123" s="75">
        <v>4219</v>
      </c>
      <c r="B123" s="76" t="s">
        <v>110</v>
      </c>
      <c r="C123" s="77">
        <v>0</v>
      </c>
      <c r="D123" s="81">
        <v>0</v>
      </c>
      <c r="E123" s="79">
        <v>0</v>
      </c>
      <c r="F123" s="83">
        <v>0</v>
      </c>
      <c r="G123" s="84">
        <v>0</v>
      </c>
      <c r="H123" s="82">
        <v>0</v>
      </c>
      <c r="I123" s="83">
        <v>0</v>
      </c>
      <c r="J123" s="84">
        <v>0</v>
      </c>
      <c r="K123" s="82">
        <v>0</v>
      </c>
      <c r="L123" s="83">
        <v>0</v>
      </c>
      <c r="M123" s="84">
        <v>0</v>
      </c>
      <c r="N123" s="82">
        <v>0</v>
      </c>
      <c r="O123" s="80">
        <f t="shared" si="23"/>
        <v>0</v>
      </c>
      <c r="P123" s="81">
        <f t="shared" si="24"/>
        <v>0</v>
      </c>
      <c r="Q123" s="82">
        <f t="shared" si="25"/>
        <v>0</v>
      </c>
    </row>
    <row r="124" spans="1:17" ht="17.100000000000001" customHeight="1" x14ac:dyDescent="0.25">
      <c r="A124" s="75">
        <v>4220</v>
      </c>
      <c r="B124" s="76" t="s">
        <v>130</v>
      </c>
      <c r="C124" s="77">
        <v>0</v>
      </c>
      <c r="D124" s="81">
        <v>0</v>
      </c>
      <c r="E124" s="79">
        <v>0</v>
      </c>
      <c r="F124" s="83">
        <v>0</v>
      </c>
      <c r="G124" s="84">
        <v>0</v>
      </c>
      <c r="H124" s="82">
        <v>0</v>
      </c>
      <c r="I124" s="83">
        <v>0</v>
      </c>
      <c r="J124" s="84">
        <v>0</v>
      </c>
      <c r="K124" s="82">
        <v>0</v>
      </c>
      <c r="L124" s="83">
        <v>0</v>
      </c>
      <c r="M124" s="84">
        <v>0</v>
      </c>
      <c r="N124" s="82">
        <v>0</v>
      </c>
      <c r="O124" s="80">
        <f t="shared" si="23"/>
        <v>0</v>
      </c>
      <c r="P124" s="81">
        <f t="shared" si="24"/>
        <v>0</v>
      </c>
      <c r="Q124" s="82">
        <f t="shared" si="25"/>
        <v>0</v>
      </c>
    </row>
    <row r="125" spans="1:17" ht="17.100000000000001" customHeight="1" x14ac:dyDescent="0.25">
      <c r="A125" s="75">
        <v>4221</v>
      </c>
      <c r="B125" s="76" t="s">
        <v>121</v>
      </c>
      <c r="C125" s="77">
        <v>0</v>
      </c>
      <c r="D125" s="81">
        <v>0</v>
      </c>
      <c r="E125" s="79">
        <v>0</v>
      </c>
      <c r="F125" s="83">
        <v>0</v>
      </c>
      <c r="G125" s="84">
        <v>0</v>
      </c>
      <c r="H125" s="82">
        <v>0</v>
      </c>
      <c r="I125" s="83">
        <v>0</v>
      </c>
      <c r="J125" s="84">
        <v>0</v>
      </c>
      <c r="K125" s="82">
        <v>0</v>
      </c>
      <c r="L125" s="83">
        <v>0</v>
      </c>
      <c r="M125" s="84">
        <v>0</v>
      </c>
      <c r="N125" s="82">
        <v>0</v>
      </c>
      <c r="O125" s="80">
        <f t="shared" si="23"/>
        <v>0</v>
      </c>
      <c r="P125" s="81">
        <f t="shared" si="24"/>
        <v>0</v>
      </c>
      <c r="Q125" s="82">
        <f t="shared" si="25"/>
        <v>0</v>
      </c>
    </row>
    <row r="126" spans="1:17" ht="17.100000000000001" customHeight="1" x14ac:dyDescent="0.25">
      <c r="A126" s="75">
        <v>4222</v>
      </c>
      <c r="B126" s="76" t="s">
        <v>114</v>
      </c>
      <c r="C126" s="77">
        <v>0</v>
      </c>
      <c r="D126" s="81">
        <v>0</v>
      </c>
      <c r="E126" s="79">
        <v>0</v>
      </c>
      <c r="F126" s="83">
        <v>0</v>
      </c>
      <c r="G126" s="84">
        <v>0</v>
      </c>
      <c r="H126" s="82">
        <v>0</v>
      </c>
      <c r="I126" s="83">
        <v>0</v>
      </c>
      <c r="J126" s="84">
        <v>0</v>
      </c>
      <c r="K126" s="82">
        <v>0</v>
      </c>
      <c r="L126" s="83">
        <v>0</v>
      </c>
      <c r="M126" s="84">
        <v>0</v>
      </c>
      <c r="N126" s="82">
        <v>0</v>
      </c>
      <c r="O126" s="80">
        <f t="shared" si="23"/>
        <v>0</v>
      </c>
      <c r="P126" s="81">
        <f t="shared" si="24"/>
        <v>0</v>
      </c>
      <c r="Q126" s="82">
        <f t="shared" si="25"/>
        <v>0</v>
      </c>
    </row>
    <row r="127" spans="1:17" ht="17.100000000000001" customHeight="1" x14ac:dyDescent="0.25">
      <c r="A127" s="75">
        <v>4223</v>
      </c>
      <c r="B127" s="76" t="s">
        <v>116</v>
      </c>
      <c r="C127" s="77">
        <v>0</v>
      </c>
      <c r="D127" s="81">
        <v>0</v>
      </c>
      <c r="E127" s="79">
        <v>0</v>
      </c>
      <c r="F127" s="83">
        <v>0</v>
      </c>
      <c r="G127" s="84">
        <v>0</v>
      </c>
      <c r="H127" s="82">
        <v>0</v>
      </c>
      <c r="I127" s="83">
        <v>0</v>
      </c>
      <c r="J127" s="84">
        <v>0</v>
      </c>
      <c r="K127" s="82">
        <v>0</v>
      </c>
      <c r="L127" s="83">
        <v>0</v>
      </c>
      <c r="M127" s="84">
        <v>0</v>
      </c>
      <c r="N127" s="82">
        <v>0</v>
      </c>
      <c r="O127" s="80">
        <f t="shared" si="23"/>
        <v>0</v>
      </c>
      <c r="P127" s="81">
        <f t="shared" si="24"/>
        <v>0</v>
      </c>
      <c r="Q127" s="82">
        <f t="shared" si="25"/>
        <v>0</v>
      </c>
    </row>
    <row r="128" spans="1:17" ht="17.100000000000001" customHeight="1" x14ac:dyDescent="0.25">
      <c r="A128" s="75">
        <v>4224</v>
      </c>
      <c r="B128" s="76" t="s">
        <v>111</v>
      </c>
      <c r="C128" s="77">
        <v>0</v>
      </c>
      <c r="D128" s="81">
        <v>0</v>
      </c>
      <c r="E128" s="79">
        <v>0</v>
      </c>
      <c r="F128" s="83">
        <v>0</v>
      </c>
      <c r="G128" s="84">
        <v>0</v>
      </c>
      <c r="H128" s="82">
        <v>0</v>
      </c>
      <c r="I128" s="83">
        <v>0</v>
      </c>
      <c r="J128" s="84">
        <v>0</v>
      </c>
      <c r="K128" s="82">
        <v>0</v>
      </c>
      <c r="L128" s="83">
        <v>0</v>
      </c>
      <c r="M128" s="84">
        <v>0</v>
      </c>
      <c r="N128" s="82">
        <v>0</v>
      </c>
      <c r="O128" s="80">
        <f t="shared" si="23"/>
        <v>0</v>
      </c>
      <c r="P128" s="81">
        <f t="shared" si="24"/>
        <v>0</v>
      </c>
      <c r="Q128" s="82">
        <f t="shared" si="25"/>
        <v>0</v>
      </c>
    </row>
    <row r="129" spans="1:17" ht="17.100000000000001" customHeight="1" x14ac:dyDescent="0.25">
      <c r="A129" s="75">
        <v>4225</v>
      </c>
      <c r="B129" s="76" t="s">
        <v>118</v>
      </c>
      <c r="C129" s="77">
        <v>0</v>
      </c>
      <c r="D129" s="81">
        <v>0</v>
      </c>
      <c r="E129" s="79">
        <v>0</v>
      </c>
      <c r="F129" s="83">
        <v>0</v>
      </c>
      <c r="G129" s="84">
        <v>0</v>
      </c>
      <c r="H129" s="82">
        <v>0</v>
      </c>
      <c r="I129" s="83">
        <v>0</v>
      </c>
      <c r="J129" s="84">
        <v>0</v>
      </c>
      <c r="K129" s="82">
        <v>0</v>
      </c>
      <c r="L129" s="83">
        <v>0</v>
      </c>
      <c r="M129" s="84">
        <v>0</v>
      </c>
      <c r="N129" s="82">
        <v>0</v>
      </c>
      <c r="O129" s="80">
        <f t="shared" si="23"/>
        <v>0</v>
      </c>
      <c r="P129" s="81">
        <f t="shared" si="24"/>
        <v>0</v>
      </c>
      <c r="Q129" s="82">
        <f t="shared" si="25"/>
        <v>0</v>
      </c>
    </row>
    <row r="130" spans="1:17" ht="17.100000000000001" customHeight="1" x14ac:dyDescent="0.25">
      <c r="A130" s="75">
        <v>4226</v>
      </c>
      <c r="B130" s="76" t="s">
        <v>119</v>
      </c>
      <c r="C130" s="77">
        <v>0</v>
      </c>
      <c r="D130" s="81">
        <v>1</v>
      </c>
      <c r="E130" s="79">
        <v>0</v>
      </c>
      <c r="F130" s="83">
        <v>0</v>
      </c>
      <c r="G130" s="84">
        <v>0</v>
      </c>
      <c r="H130" s="82">
        <v>0</v>
      </c>
      <c r="I130" s="83">
        <v>0</v>
      </c>
      <c r="J130" s="84">
        <v>0</v>
      </c>
      <c r="K130" s="82">
        <v>0</v>
      </c>
      <c r="L130" s="83">
        <v>0</v>
      </c>
      <c r="M130" s="84">
        <v>0</v>
      </c>
      <c r="N130" s="82">
        <v>0</v>
      </c>
      <c r="O130" s="80">
        <f t="shared" si="23"/>
        <v>0</v>
      </c>
      <c r="P130" s="81">
        <f t="shared" si="24"/>
        <v>1</v>
      </c>
      <c r="Q130" s="82">
        <f t="shared" si="25"/>
        <v>0</v>
      </c>
    </row>
    <row r="131" spans="1:17" ht="17.100000000000001" customHeight="1" x14ac:dyDescent="0.25">
      <c r="A131" s="75">
        <v>4227</v>
      </c>
      <c r="B131" s="76" t="s">
        <v>55</v>
      </c>
      <c r="C131" s="77">
        <v>1</v>
      </c>
      <c r="D131" s="81">
        <v>5</v>
      </c>
      <c r="E131" s="79">
        <v>2</v>
      </c>
      <c r="F131" s="83">
        <v>0</v>
      </c>
      <c r="G131" s="84">
        <v>0</v>
      </c>
      <c r="H131" s="82">
        <v>0</v>
      </c>
      <c r="I131" s="83">
        <v>0</v>
      </c>
      <c r="J131" s="84">
        <v>0</v>
      </c>
      <c r="K131" s="82">
        <v>0</v>
      </c>
      <c r="L131" s="83">
        <v>0</v>
      </c>
      <c r="M131" s="84">
        <v>0</v>
      </c>
      <c r="N131" s="82">
        <v>0</v>
      </c>
      <c r="O131" s="80">
        <f t="shared" si="23"/>
        <v>1</v>
      </c>
      <c r="P131" s="81">
        <f t="shared" si="24"/>
        <v>5</v>
      </c>
      <c r="Q131" s="82">
        <f t="shared" si="25"/>
        <v>2</v>
      </c>
    </row>
    <row r="132" spans="1:17" ht="17.100000000000001" customHeight="1" x14ac:dyDescent="0.25">
      <c r="A132" s="75">
        <v>4228</v>
      </c>
      <c r="B132" s="76" t="s">
        <v>120</v>
      </c>
      <c r="C132" s="77">
        <v>0</v>
      </c>
      <c r="D132" s="81">
        <v>0</v>
      </c>
      <c r="E132" s="79">
        <v>0</v>
      </c>
      <c r="F132" s="83">
        <v>0</v>
      </c>
      <c r="G132" s="84">
        <v>0</v>
      </c>
      <c r="H132" s="82">
        <v>0</v>
      </c>
      <c r="I132" s="83">
        <v>0</v>
      </c>
      <c r="J132" s="84">
        <v>0</v>
      </c>
      <c r="K132" s="82">
        <v>0</v>
      </c>
      <c r="L132" s="83">
        <v>0</v>
      </c>
      <c r="M132" s="84">
        <v>0</v>
      </c>
      <c r="N132" s="82">
        <v>0</v>
      </c>
      <c r="O132" s="80">
        <f t="shared" si="23"/>
        <v>0</v>
      </c>
      <c r="P132" s="81">
        <f t="shared" si="24"/>
        <v>0</v>
      </c>
      <c r="Q132" s="82">
        <f t="shared" si="25"/>
        <v>0</v>
      </c>
    </row>
    <row r="133" spans="1:17" ht="17.100000000000001" customHeight="1" x14ac:dyDescent="0.25">
      <c r="A133" s="75">
        <v>4229</v>
      </c>
      <c r="B133" s="76" t="s">
        <v>132</v>
      </c>
      <c r="C133" s="77">
        <v>0</v>
      </c>
      <c r="D133" s="81">
        <v>1</v>
      </c>
      <c r="E133" s="79">
        <v>0</v>
      </c>
      <c r="F133" s="83">
        <v>0</v>
      </c>
      <c r="G133" s="84">
        <v>0</v>
      </c>
      <c r="H133" s="82">
        <v>0</v>
      </c>
      <c r="I133" s="83">
        <v>0</v>
      </c>
      <c r="J133" s="84">
        <v>0</v>
      </c>
      <c r="K133" s="82">
        <v>0</v>
      </c>
      <c r="L133" s="83">
        <v>0</v>
      </c>
      <c r="M133" s="84">
        <v>0</v>
      </c>
      <c r="N133" s="82">
        <v>0</v>
      </c>
      <c r="O133" s="80">
        <f t="shared" si="23"/>
        <v>0</v>
      </c>
      <c r="P133" s="81">
        <f t="shared" si="24"/>
        <v>1</v>
      </c>
      <c r="Q133" s="82">
        <f t="shared" si="25"/>
        <v>0</v>
      </c>
    </row>
    <row r="134" spans="1:17" ht="17.100000000000001" customHeight="1" x14ac:dyDescent="0.25">
      <c r="A134" s="75">
        <v>4230</v>
      </c>
      <c r="B134" s="76" t="s">
        <v>133</v>
      </c>
      <c r="C134" s="77">
        <v>0</v>
      </c>
      <c r="D134" s="81">
        <v>0</v>
      </c>
      <c r="E134" s="79">
        <v>0</v>
      </c>
      <c r="F134" s="83">
        <v>0</v>
      </c>
      <c r="G134" s="84">
        <v>0</v>
      </c>
      <c r="H134" s="82">
        <v>0</v>
      </c>
      <c r="I134" s="83">
        <v>0</v>
      </c>
      <c r="J134" s="84">
        <v>0</v>
      </c>
      <c r="K134" s="82">
        <v>0</v>
      </c>
      <c r="L134" s="83">
        <v>0</v>
      </c>
      <c r="M134" s="84">
        <v>0</v>
      </c>
      <c r="N134" s="82">
        <v>0</v>
      </c>
      <c r="O134" s="80">
        <f t="shared" si="23"/>
        <v>0</v>
      </c>
      <c r="P134" s="81">
        <f t="shared" si="24"/>
        <v>0</v>
      </c>
      <c r="Q134" s="82">
        <f t="shared" si="25"/>
        <v>0</v>
      </c>
    </row>
    <row r="135" spans="1:17" ht="15.95" customHeight="1" thickBot="1" x14ac:dyDescent="0.3">
      <c r="A135" s="156">
        <v>4231</v>
      </c>
      <c r="B135" s="157" t="s">
        <v>134</v>
      </c>
      <c r="C135" s="38">
        <v>0</v>
      </c>
      <c r="D135" s="39">
        <v>0</v>
      </c>
      <c r="E135" s="40">
        <v>0</v>
      </c>
      <c r="F135" s="145">
        <v>0</v>
      </c>
      <c r="G135" s="137">
        <v>0</v>
      </c>
      <c r="H135" s="113">
        <v>0</v>
      </c>
      <c r="I135" s="145">
        <v>0</v>
      </c>
      <c r="J135" s="137">
        <v>0</v>
      </c>
      <c r="K135" s="113">
        <v>0</v>
      </c>
      <c r="L135" s="145">
        <v>0</v>
      </c>
      <c r="M135" s="137">
        <v>0</v>
      </c>
      <c r="N135" s="113">
        <v>0</v>
      </c>
      <c r="O135" s="112">
        <f t="shared" si="23"/>
        <v>0</v>
      </c>
      <c r="P135" s="39">
        <f t="shared" si="24"/>
        <v>0</v>
      </c>
      <c r="Q135" s="113">
        <f t="shared" si="25"/>
        <v>0</v>
      </c>
    </row>
    <row r="136" spans="1:17" ht="17.100000000000001" customHeight="1" thickBot="1" x14ac:dyDescent="0.3">
      <c r="A136" s="158"/>
      <c r="B136" s="151" t="s">
        <v>939</v>
      </c>
      <c r="C136" s="34"/>
      <c r="D136" s="34"/>
      <c r="E136" s="42"/>
      <c r="F136" s="159"/>
      <c r="G136" s="160"/>
      <c r="H136" s="160"/>
      <c r="I136" s="159"/>
      <c r="J136" s="160"/>
      <c r="K136" s="160"/>
      <c r="L136" s="159"/>
      <c r="M136" s="160"/>
      <c r="N136" s="160"/>
      <c r="O136" s="118"/>
      <c r="P136" s="119"/>
      <c r="Q136" s="141"/>
    </row>
    <row r="137" spans="1:17" ht="17.100000000000001" customHeight="1" thickBot="1" x14ac:dyDescent="0.3">
      <c r="A137" s="146">
        <v>5100</v>
      </c>
      <c r="B137" s="147" t="s">
        <v>940</v>
      </c>
      <c r="C137" s="63"/>
      <c r="D137" s="63"/>
      <c r="E137" s="64"/>
      <c r="F137" s="148"/>
      <c r="G137" s="149"/>
      <c r="H137" s="149"/>
      <c r="I137" s="148"/>
      <c r="J137" s="149"/>
      <c r="K137" s="149"/>
      <c r="L137" s="148"/>
      <c r="M137" s="149"/>
      <c r="N137" s="149"/>
      <c r="O137" s="125"/>
      <c r="P137" s="126"/>
      <c r="Q137" s="143"/>
    </row>
    <row r="138" spans="1:17" ht="17.100000000000001" customHeight="1" x14ac:dyDescent="0.25">
      <c r="A138" s="36">
        <v>5101</v>
      </c>
      <c r="B138" s="108" t="s">
        <v>136</v>
      </c>
      <c r="C138" s="38">
        <v>0</v>
      </c>
      <c r="D138" s="39">
        <v>0</v>
      </c>
      <c r="E138" s="40">
        <v>0</v>
      </c>
      <c r="F138" s="95">
        <v>0</v>
      </c>
      <c r="G138" s="96">
        <v>0</v>
      </c>
      <c r="H138" s="74">
        <v>0</v>
      </c>
      <c r="I138" s="95">
        <v>0</v>
      </c>
      <c r="J138" s="96">
        <v>0</v>
      </c>
      <c r="K138" s="74">
        <v>0</v>
      </c>
      <c r="L138" s="95">
        <v>0</v>
      </c>
      <c r="M138" s="96">
        <v>0</v>
      </c>
      <c r="N138" s="74">
        <v>0</v>
      </c>
      <c r="O138" s="112">
        <f t="shared" ref="O138:O149" si="26">C138+F138-I138-L138</f>
        <v>0</v>
      </c>
      <c r="P138" s="39">
        <f t="shared" ref="P138:P149" si="27">D138+G138-J138-M138</f>
        <v>0</v>
      </c>
      <c r="Q138" s="113">
        <f t="shared" ref="Q138:Q149" si="28">E138+H138-K138-N138</f>
        <v>0</v>
      </c>
    </row>
    <row r="139" spans="1:17" ht="17.100000000000001" customHeight="1" x14ac:dyDescent="0.25">
      <c r="A139" s="75">
        <v>5102</v>
      </c>
      <c r="B139" s="76" t="s">
        <v>137</v>
      </c>
      <c r="C139" s="77">
        <v>0</v>
      </c>
      <c r="D139" s="81">
        <v>0</v>
      </c>
      <c r="E139" s="79">
        <v>0</v>
      </c>
      <c r="F139" s="83">
        <v>0</v>
      </c>
      <c r="G139" s="84">
        <v>0</v>
      </c>
      <c r="H139" s="82">
        <v>0</v>
      </c>
      <c r="I139" s="83">
        <v>0</v>
      </c>
      <c r="J139" s="84">
        <v>0</v>
      </c>
      <c r="K139" s="82">
        <v>0</v>
      </c>
      <c r="L139" s="83">
        <v>0</v>
      </c>
      <c r="M139" s="84">
        <v>0</v>
      </c>
      <c r="N139" s="82">
        <v>0</v>
      </c>
      <c r="O139" s="80">
        <f t="shared" si="26"/>
        <v>0</v>
      </c>
      <c r="P139" s="81">
        <f t="shared" si="27"/>
        <v>0</v>
      </c>
      <c r="Q139" s="82">
        <f t="shared" si="28"/>
        <v>0</v>
      </c>
    </row>
    <row r="140" spans="1:17" ht="17.100000000000001" customHeight="1" x14ac:dyDescent="0.25">
      <c r="A140" s="75">
        <v>5103</v>
      </c>
      <c r="B140" s="76" t="s">
        <v>116</v>
      </c>
      <c r="C140" s="77">
        <v>0</v>
      </c>
      <c r="D140" s="81">
        <v>0</v>
      </c>
      <c r="E140" s="79">
        <v>0</v>
      </c>
      <c r="F140" s="83">
        <v>0</v>
      </c>
      <c r="G140" s="84">
        <v>0</v>
      </c>
      <c r="H140" s="82">
        <v>0</v>
      </c>
      <c r="I140" s="83">
        <v>0</v>
      </c>
      <c r="J140" s="84">
        <v>0</v>
      </c>
      <c r="K140" s="82">
        <v>0</v>
      </c>
      <c r="L140" s="83">
        <v>0</v>
      </c>
      <c r="M140" s="84">
        <v>0</v>
      </c>
      <c r="N140" s="82">
        <v>0</v>
      </c>
      <c r="O140" s="80">
        <f t="shared" si="26"/>
        <v>0</v>
      </c>
      <c r="P140" s="81">
        <f t="shared" si="27"/>
        <v>0</v>
      </c>
      <c r="Q140" s="82">
        <f t="shared" si="28"/>
        <v>0</v>
      </c>
    </row>
    <row r="141" spans="1:17" ht="17.100000000000001" customHeight="1" x14ac:dyDescent="0.25">
      <c r="A141" s="75">
        <v>5104</v>
      </c>
      <c r="B141" s="76" t="s">
        <v>138</v>
      </c>
      <c r="C141" s="77">
        <v>0</v>
      </c>
      <c r="D141" s="81">
        <v>0</v>
      </c>
      <c r="E141" s="79">
        <v>0</v>
      </c>
      <c r="F141" s="83">
        <v>0</v>
      </c>
      <c r="G141" s="84">
        <v>0</v>
      </c>
      <c r="H141" s="82">
        <v>0</v>
      </c>
      <c r="I141" s="83">
        <v>0</v>
      </c>
      <c r="J141" s="84">
        <v>0</v>
      </c>
      <c r="K141" s="82">
        <v>0</v>
      </c>
      <c r="L141" s="83">
        <v>0</v>
      </c>
      <c r="M141" s="84">
        <v>0</v>
      </c>
      <c r="N141" s="82">
        <v>0</v>
      </c>
      <c r="O141" s="80">
        <f t="shared" si="26"/>
        <v>0</v>
      </c>
      <c r="P141" s="81">
        <f t="shared" si="27"/>
        <v>0</v>
      </c>
      <c r="Q141" s="82">
        <f t="shared" si="28"/>
        <v>0</v>
      </c>
    </row>
    <row r="142" spans="1:17" ht="17.100000000000001" customHeight="1" x14ac:dyDescent="0.25">
      <c r="A142" s="75">
        <v>5105</v>
      </c>
      <c r="B142" s="76" t="s">
        <v>139</v>
      </c>
      <c r="C142" s="77">
        <v>0</v>
      </c>
      <c r="D142" s="81">
        <v>0</v>
      </c>
      <c r="E142" s="79">
        <v>0</v>
      </c>
      <c r="F142" s="83">
        <v>0</v>
      </c>
      <c r="G142" s="84">
        <v>0</v>
      </c>
      <c r="H142" s="82">
        <v>0</v>
      </c>
      <c r="I142" s="83">
        <v>0</v>
      </c>
      <c r="J142" s="84">
        <v>0</v>
      </c>
      <c r="K142" s="82">
        <v>0</v>
      </c>
      <c r="L142" s="83">
        <v>0</v>
      </c>
      <c r="M142" s="84">
        <v>0</v>
      </c>
      <c r="N142" s="82">
        <v>0</v>
      </c>
      <c r="O142" s="80">
        <f t="shared" si="26"/>
        <v>0</v>
      </c>
      <c r="P142" s="81">
        <f t="shared" si="27"/>
        <v>0</v>
      </c>
      <c r="Q142" s="82">
        <f t="shared" si="28"/>
        <v>0</v>
      </c>
    </row>
    <row r="143" spans="1:17" ht="17.100000000000001" customHeight="1" x14ac:dyDescent="0.25">
      <c r="A143" s="75">
        <v>5106</v>
      </c>
      <c r="B143" s="76" t="s">
        <v>121</v>
      </c>
      <c r="C143" s="77">
        <v>0</v>
      </c>
      <c r="D143" s="81">
        <v>0</v>
      </c>
      <c r="E143" s="79">
        <v>0</v>
      </c>
      <c r="F143" s="83">
        <v>0</v>
      </c>
      <c r="G143" s="84">
        <v>0</v>
      </c>
      <c r="H143" s="82">
        <v>0</v>
      </c>
      <c r="I143" s="83">
        <v>0</v>
      </c>
      <c r="J143" s="84">
        <v>0</v>
      </c>
      <c r="K143" s="82">
        <v>0</v>
      </c>
      <c r="L143" s="83">
        <v>0</v>
      </c>
      <c r="M143" s="84">
        <v>0</v>
      </c>
      <c r="N143" s="82">
        <v>0</v>
      </c>
      <c r="O143" s="80">
        <f t="shared" si="26"/>
        <v>0</v>
      </c>
      <c r="P143" s="81">
        <f t="shared" si="27"/>
        <v>0</v>
      </c>
      <c r="Q143" s="82">
        <f t="shared" si="28"/>
        <v>0</v>
      </c>
    </row>
    <row r="144" spans="1:17" ht="17.100000000000001" customHeight="1" x14ac:dyDescent="0.25">
      <c r="A144" s="75">
        <v>5107</v>
      </c>
      <c r="B144" s="76" t="s">
        <v>114</v>
      </c>
      <c r="C144" s="77">
        <v>0</v>
      </c>
      <c r="D144" s="81">
        <v>0</v>
      </c>
      <c r="E144" s="79">
        <v>0</v>
      </c>
      <c r="F144" s="83">
        <v>0</v>
      </c>
      <c r="G144" s="84">
        <v>0</v>
      </c>
      <c r="H144" s="82">
        <v>0</v>
      </c>
      <c r="I144" s="83">
        <v>0</v>
      </c>
      <c r="J144" s="84">
        <v>0</v>
      </c>
      <c r="K144" s="82">
        <v>0</v>
      </c>
      <c r="L144" s="83">
        <v>0</v>
      </c>
      <c r="M144" s="84">
        <v>0</v>
      </c>
      <c r="N144" s="82">
        <v>0</v>
      </c>
      <c r="O144" s="80">
        <f t="shared" si="26"/>
        <v>0</v>
      </c>
      <c r="P144" s="81">
        <f t="shared" si="27"/>
        <v>0</v>
      </c>
      <c r="Q144" s="82">
        <f t="shared" si="28"/>
        <v>0</v>
      </c>
    </row>
    <row r="145" spans="1:17" ht="17.100000000000001" customHeight="1" x14ac:dyDescent="0.25">
      <c r="A145" s="75">
        <v>5108</v>
      </c>
      <c r="B145" s="76" t="s">
        <v>140</v>
      </c>
      <c r="C145" s="77">
        <v>0</v>
      </c>
      <c r="D145" s="81">
        <v>0</v>
      </c>
      <c r="E145" s="79">
        <v>0</v>
      </c>
      <c r="F145" s="83">
        <v>0</v>
      </c>
      <c r="G145" s="84">
        <v>0</v>
      </c>
      <c r="H145" s="82">
        <v>0</v>
      </c>
      <c r="I145" s="83">
        <v>0</v>
      </c>
      <c r="J145" s="84">
        <v>0</v>
      </c>
      <c r="K145" s="82">
        <v>0</v>
      </c>
      <c r="L145" s="83">
        <v>0</v>
      </c>
      <c r="M145" s="84">
        <v>0</v>
      </c>
      <c r="N145" s="82">
        <v>0</v>
      </c>
      <c r="O145" s="80">
        <f t="shared" si="26"/>
        <v>0</v>
      </c>
      <c r="P145" s="81">
        <f t="shared" si="27"/>
        <v>0</v>
      </c>
      <c r="Q145" s="82">
        <f t="shared" si="28"/>
        <v>0</v>
      </c>
    </row>
    <row r="146" spans="1:17" ht="17.100000000000001" customHeight="1" x14ac:dyDescent="0.25">
      <c r="A146" s="75">
        <v>5109</v>
      </c>
      <c r="B146" s="76" t="s">
        <v>141</v>
      </c>
      <c r="C146" s="77">
        <v>0</v>
      </c>
      <c r="D146" s="81">
        <v>0</v>
      </c>
      <c r="E146" s="79">
        <v>0</v>
      </c>
      <c r="F146" s="83">
        <v>0</v>
      </c>
      <c r="G146" s="84">
        <v>0</v>
      </c>
      <c r="H146" s="82">
        <v>0</v>
      </c>
      <c r="I146" s="83">
        <v>0</v>
      </c>
      <c r="J146" s="84">
        <v>0</v>
      </c>
      <c r="K146" s="82">
        <v>0</v>
      </c>
      <c r="L146" s="83">
        <v>0</v>
      </c>
      <c r="M146" s="84">
        <v>0</v>
      </c>
      <c r="N146" s="82">
        <v>0</v>
      </c>
      <c r="O146" s="80">
        <f t="shared" si="26"/>
        <v>0</v>
      </c>
      <c r="P146" s="81">
        <f t="shared" si="27"/>
        <v>0</v>
      </c>
      <c r="Q146" s="82">
        <f t="shared" si="28"/>
        <v>0</v>
      </c>
    </row>
    <row r="147" spans="1:17" ht="17.100000000000001" customHeight="1" x14ac:dyDescent="0.25">
      <c r="A147" s="75">
        <v>5110</v>
      </c>
      <c r="B147" s="76" t="s">
        <v>132</v>
      </c>
      <c r="C147" s="77">
        <v>0</v>
      </c>
      <c r="D147" s="81">
        <v>0</v>
      </c>
      <c r="E147" s="79">
        <v>0</v>
      </c>
      <c r="F147" s="83">
        <v>0</v>
      </c>
      <c r="G147" s="84">
        <v>0</v>
      </c>
      <c r="H147" s="82">
        <v>0</v>
      </c>
      <c r="I147" s="83">
        <v>0</v>
      </c>
      <c r="J147" s="84">
        <v>0</v>
      </c>
      <c r="K147" s="82">
        <v>0</v>
      </c>
      <c r="L147" s="83">
        <v>0</v>
      </c>
      <c r="M147" s="84">
        <v>0</v>
      </c>
      <c r="N147" s="82">
        <v>0</v>
      </c>
      <c r="O147" s="80">
        <f t="shared" si="26"/>
        <v>0</v>
      </c>
      <c r="P147" s="81">
        <f t="shared" si="27"/>
        <v>0</v>
      </c>
      <c r="Q147" s="82">
        <f t="shared" si="28"/>
        <v>0</v>
      </c>
    </row>
    <row r="148" spans="1:17" ht="17.100000000000001" customHeight="1" x14ac:dyDescent="0.25">
      <c r="A148" s="75">
        <v>5111</v>
      </c>
      <c r="B148" s="76" t="s">
        <v>142</v>
      </c>
      <c r="C148" s="77">
        <v>0</v>
      </c>
      <c r="D148" s="81">
        <v>0</v>
      </c>
      <c r="E148" s="79">
        <v>0</v>
      </c>
      <c r="F148" s="83">
        <v>0</v>
      </c>
      <c r="G148" s="84">
        <v>0</v>
      </c>
      <c r="H148" s="82">
        <v>0</v>
      </c>
      <c r="I148" s="83">
        <v>0</v>
      </c>
      <c r="J148" s="84">
        <v>0</v>
      </c>
      <c r="K148" s="82">
        <v>0</v>
      </c>
      <c r="L148" s="83">
        <v>0</v>
      </c>
      <c r="M148" s="84">
        <v>0</v>
      </c>
      <c r="N148" s="82">
        <v>0</v>
      </c>
      <c r="O148" s="80">
        <f t="shared" si="26"/>
        <v>0</v>
      </c>
      <c r="P148" s="81">
        <f t="shared" si="27"/>
        <v>0</v>
      </c>
      <c r="Q148" s="82">
        <f t="shared" si="28"/>
        <v>0</v>
      </c>
    </row>
    <row r="149" spans="1:17" ht="15.95" customHeight="1" thickBot="1" x14ac:dyDescent="0.3">
      <c r="A149" s="156">
        <v>5112</v>
      </c>
      <c r="B149" s="157" t="s">
        <v>143</v>
      </c>
      <c r="C149" s="38">
        <v>0</v>
      </c>
      <c r="D149" s="39">
        <v>0</v>
      </c>
      <c r="E149" s="40">
        <v>0</v>
      </c>
      <c r="F149" s="145">
        <v>0</v>
      </c>
      <c r="G149" s="137">
        <v>0</v>
      </c>
      <c r="H149" s="113">
        <v>0</v>
      </c>
      <c r="I149" s="145">
        <v>0</v>
      </c>
      <c r="J149" s="137">
        <v>0</v>
      </c>
      <c r="K149" s="113">
        <v>0</v>
      </c>
      <c r="L149" s="145">
        <v>0</v>
      </c>
      <c r="M149" s="137">
        <v>0</v>
      </c>
      <c r="N149" s="113">
        <v>0</v>
      </c>
      <c r="O149" s="112">
        <f t="shared" si="26"/>
        <v>0</v>
      </c>
      <c r="P149" s="39">
        <f t="shared" si="27"/>
        <v>0</v>
      </c>
      <c r="Q149" s="113">
        <f t="shared" si="28"/>
        <v>0</v>
      </c>
    </row>
    <row r="150" spans="1:17" ht="17.100000000000001" customHeight="1" thickBot="1" x14ac:dyDescent="0.3">
      <c r="A150" s="146">
        <v>5200</v>
      </c>
      <c r="B150" s="147" t="s">
        <v>941</v>
      </c>
      <c r="C150" s="63"/>
      <c r="D150" s="63"/>
      <c r="E150" s="64"/>
      <c r="F150" s="148"/>
      <c r="G150" s="149"/>
      <c r="H150" s="149"/>
      <c r="I150" s="148"/>
      <c r="J150" s="149"/>
      <c r="K150" s="149"/>
      <c r="L150" s="148"/>
      <c r="M150" s="149"/>
      <c r="N150" s="149"/>
      <c r="O150" s="125"/>
      <c r="P150" s="126"/>
      <c r="Q150" s="143"/>
    </row>
    <row r="151" spans="1:17" ht="17.100000000000001" customHeight="1" x14ac:dyDescent="0.25">
      <c r="A151" s="36">
        <v>5201</v>
      </c>
      <c r="B151" s="108" t="s">
        <v>144</v>
      </c>
      <c r="C151" s="38">
        <v>0</v>
      </c>
      <c r="D151" s="39">
        <v>0</v>
      </c>
      <c r="E151" s="40">
        <v>0</v>
      </c>
      <c r="F151" s="95">
        <v>0</v>
      </c>
      <c r="G151" s="96">
        <v>0</v>
      </c>
      <c r="H151" s="74">
        <v>0</v>
      </c>
      <c r="I151" s="95">
        <v>0</v>
      </c>
      <c r="J151" s="96">
        <v>0</v>
      </c>
      <c r="K151" s="74">
        <v>0</v>
      </c>
      <c r="L151" s="95">
        <v>0</v>
      </c>
      <c r="M151" s="96">
        <v>0</v>
      </c>
      <c r="N151" s="74">
        <v>0</v>
      </c>
      <c r="O151" s="112">
        <f t="shared" ref="O151:O172" si="29">C151+F151-I151-L151</f>
        <v>0</v>
      </c>
      <c r="P151" s="39">
        <f t="shared" ref="P151:P172" si="30">D151+G151-J151-M151</f>
        <v>0</v>
      </c>
      <c r="Q151" s="113">
        <f t="shared" ref="Q151:Q172" si="31">E151+H151-K151-N151</f>
        <v>0</v>
      </c>
    </row>
    <row r="152" spans="1:17" ht="17.100000000000001" customHeight="1" x14ac:dyDescent="0.25">
      <c r="A152" s="75">
        <v>5202</v>
      </c>
      <c r="B152" s="76" t="s">
        <v>63</v>
      </c>
      <c r="C152" s="77">
        <v>4</v>
      </c>
      <c r="D152" s="81">
        <v>0</v>
      </c>
      <c r="E152" s="79">
        <v>0</v>
      </c>
      <c r="F152" s="83">
        <v>0</v>
      </c>
      <c r="G152" s="84">
        <v>0</v>
      </c>
      <c r="H152" s="82">
        <v>0</v>
      </c>
      <c r="I152" s="83">
        <v>0</v>
      </c>
      <c r="J152" s="84">
        <v>0</v>
      </c>
      <c r="K152" s="82">
        <v>0</v>
      </c>
      <c r="L152" s="83">
        <v>0</v>
      </c>
      <c r="M152" s="84">
        <v>0</v>
      </c>
      <c r="N152" s="82">
        <v>0</v>
      </c>
      <c r="O152" s="80">
        <f t="shared" si="29"/>
        <v>4</v>
      </c>
      <c r="P152" s="81">
        <f t="shared" si="30"/>
        <v>0</v>
      </c>
      <c r="Q152" s="82">
        <f t="shared" si="31"/>
        <v>0</v>
      </c>
    </row>
    <row r="153" spans="1:17" ht="17.100000000000001" customHeight="1" x14ac:dyDescent="0.25">
      <c r="A153" s="75">
        <v>5203</v>
      </c>
      <c r="B153" s="76" t="s">
        <v>119</v>
      </c>
      <c r="C153" s="77">
        <v>3</v>
      </c>
      <c r="D153" s="81">
        <v>0</v>
      </c>
      <c r="E153" s="79">
        <v>0</v>
      </c>
      <c r="F153" s="83">
        <v>0</v>
      </c>
      <c r="G153" s="84">
        <v>0</v>
      </c>
      <c r="H153" s="82">
        <v>0</v>
      </c>
      <c r="I153" s="83">
        <v>0</v>
      </c>
      <c r="J153" s="84">
        <v>0</v>
      </c>
      <c r="K153" s="82">
        <v>0</v>
      </c>
      <c r="L153" s="83">
        <v>0</v>
      </c>
      <c r="M153" s="84">
        <v>0</v>
      </c>
      <c r="N153" s="82">
        <v>0</v>
      </c>
      <c r="O153" s="80">
        <f t="shared" si="29"/>
        <v>3</v>
      </c>
      <c r="P153" s="81">
        <f t="shared" si="30"/>
        <v>0</v>
      </c>
      <c r="Q153" s="82">
        <f t="shared" si="31"/>
        <v>0</v>
      </c>
    </row>
    <row r="154" spans="1:17" ht="17.100000000000001" customHeight="1" x14ac:dyDescent="0.25">
      <c r="A154" s="75">
        <v>5204</v>
      </c>
      <c r="B154" s="76" t="s">
        <v>145</v>
      </c>
      <c r="C154" s="77">
        <v>0</v>
      </c>
      <c r="D154" s="81">
        <v>0</v>
      </c>
      <c r="E154" s="79">
        <v>0</v>
      </c>
      <c r="F154" s="83">
        <v>0</v>
      </c>
      <c r="G154" s="84">
        <v>0</v>
      </c>
      <c r="H154" s="82">
        <v>0</v>
      </c>
      <c r="I154" s="83">
        <v>0</v>
      </c>
      <c r="J154" s="84">
        <v>0</v>
      </c>
      <c r="K154" s="82">
        <v>0</v>
      </c>
      <c r="L154" s="83">
        <v>0</v>
      </c>
      <c r="M154" s="84">
        <v>0</v>
      </c>
      <c r="N154" s="82">
        <v>0</v>
      </c>
      <c r="O154" s="80">
        <f t="shared" si="29"/>
        <v>0</v>
      </c>
      <c r="P154" s="81">
        <f t="shared" si="30"/>
        <v>0</v>
      </c>
      <c r="Q154" s="82">
        <f t="shared" si="31"/>
        <v>0</v>
      </c>
    </row>
    <row r="155" spans="1:17" ht="17.100000000000001" customHeight="1" x14ac:dyDescent="0.25">
      <c r="A155" s="75">
        <v>5205</v>
      </c>
      <c r="B155" s="76" t="s">
        <v>120</v>
      </c>
      <c r="C155" s="77">
        <v>1</v>
      </c>
      <c r="D155" s="81">
        <v>0</v>
      </c>
      <c r="E155" s="79">
        <v>0</v>
      </c>
      <c r="F155" s="83">
        <v>0</v>
      </c>
      <c r="G155" s="84">
        <v>0</v>
      </c>
      <c r="H155" s="82">
        <v>0</v>
      </c>
      <c r="I155" s="83">
        <v>0</v>
      </c>
      <c r="J155" s="84">
        <v>0</v>
      </c>
      <c r="K155" s="82">
        <v>0</v>
      </c>
      <c r="L155" s="83">
        <v>0</v>
      </c>
      <c r="M155" s="84">
        <v>0</v>
      </c>
      <c r="N155" s="82">
        <v>0</v>
      </c>
      <c r="O155" s="80">
        <f t="shared" si="29"/>
        <v>1</v>
      </c>
      <c r="P155" s="81">
        <f t="shared" si="30"/>
        <v>0</v>
      </c>
      <c r="Q155" s="82">
        <f t="shared" si="31"/>
        <v>0</v>
      </c>
    </row>
    <row r="156" spans="1:17" ht="17.100000000000001" customHeight="1" x14ac:dyDescent="0.25">
      <c r="A156" s="75">
        <v>5206</v>
      </c>
      <c r="B156" s="76" t="s">
        <v>55</v>
      </c>
      <c r="C156" s="77">
        <v>31</v>
      </c>
      <c r="D156" s="81">
        <v>2</v>
      </c>
      <c r="E156" s="79">
        <v>3</v>
      </c>
      <c r="F156" s="83">
        <v>0</v>
      </c>
      <c r="G156" s="84">
        <v>0</v>
      </c>
      <c r="H156" s="82">
        <v>0</v>
      </c>
      <c r="I156" s="83">
        <v>0</v>
      </c>
      <c r="J156" s="84">
        <v>0</v>
      </c>
      <c r="K156" s="82">
        <v>0</v>
      </c>
      <c r="L156" s="83">
        <v>0</v>
      </c>
      <c r="M156" s="84">
        <v>0</v>
      </c>
      <c r="N156" s="82">
        <v>0</v>
      </c>
      <c r="O156" s="80">
        <f t="shared" si="29"/>
        <v>31</v>
      </c>
      <c r="P156" s="81">
        <f t="shared" si="30"/>
        <v>2</v>
      </c>
      <c r="Q156" s="82">
        <f t="shared" si="31"/>
        <v>3</v>
      </c>
    </row>
    <row r="157" spans="1:17" ht="17.100000000000001" customHeight="1" x14ac:dyDescent="0.25">
      <c r="A157" s="75">
        <v>5207</v>
      </c>
      <c r="B157" s="76" t="s">
        <v>65</v>
      </c>
      <c r="C157" s="77">
        <v>1</v>
      </c>
      <c r="D157" s="81">
        <v>0</v>
      </c>
      <c r="E157" s="79">
        <v>0</v>
      </c>
      <c r="F157" s="83">
        <v>0</v>
      </c>
      <c r="G157" s="84">
        <v>0</v>
      </c>
      <c r="H157" s="82">
        <v>0</v>
      </c>
      <c r="I157" s="83">
        <v>0</v>
      </c>
      <c r="J157" s="84">
        <v>0</v>
      </c>
      <c r="K157" s="82">
        <v>0</v>
      </c>
      <c r="L157" s="83">
        <v>0</v>
      </c>
      <c r="M157" s="84">
        <v>0</v>
      </c>
      <c r="N157" s="82">
        <v>0</v>
      </c>
      <c r="O157" s="80">
        <f t="shared" si="29"/>
        <v>1</v>
      </c>
      <c r="P157" s="81">
        <f t="shared" si="30"/>
        <v>0</v>
      </c>
      <c r="Q157" s="82">
        <f t="shared" si="31"/>
        <v>0</v>
      </c>
    </row>
    <row r="158" spans="1:17" ht="17.100000000000001" customHeight="1" x14ac:dyDescent="0.25">
      <c r="A158" s="75">
        <v>5208</v>
      </c>
      <c r="B158" s="76" t="s">
        <v>146</v>
      </c>
      <c r="C158" s="77">
        <v>0</v>
      </c>
      <c r="D158" s="81">
        <v>0</v>
      </c>
      <c r="E158" s="79">
        <v>0</v>
      </c>
      <c r="F158" s="83">
        <v>0</v>
      </c>
      <c r="G158" s="84">
        <v>0</v>
      </c>
      <c r="H158" s="82">
        <v>0</v>
      </c>
      <c r="I158" s="83">
        <v>0</v>
      </c>
      <c r="J158" s="84">
        <v>0</v>
      </c>
      <c r="K158" s="82">
        <v>0</v>
      </c>
      <c r="L158" s="83">
        <v>0</v>
      </c>
      <c r="M158" s="84">
        <v>0</v>
      </c>
      <c r="N158" s="82">
        <v>0</v>
      </c>
      <c r="O158" s="80">
        <f t="shared" si="29"/>
        <v>0</v>
      </c>
      <c r="P158" s="81">
        <f t="shared" si="30"/>
        <v>0</v>
      </c>
      <c r="Q158" s="82">
        <f t="shared" si="31"/>
        <v>0</v>
      </c>
    </row>
    <row r="159" spans="1:17" ht="17.100000000000001" customHeight="1" x14ac:dyDescent="0.25">
      <c r="A159" s="75">
        <v>5209</v>
      </c>
      <c r="B159" s="76" t="s">
        <v>147</v>
      </c>
      <c r="C159" s="77">
        <v>0</v>
      </c>
      <c r="D159" s="81">
        <v>0</v>
      </c>
      <c r="E159" s="79">
        <v>0</v>
      </c>
      <c r="F159" s="83">
        <v>0</v>
      </c>
      <c r="G159" s="84">
        <v>0</v>
      </c>
      <c r="H159" s="82">
        <v>0</v>
      </c>
      <c r="I159" s="83">
        <v>0</v>
      </c>
      <c r="J159" s="84">
        <v>0</v>
      </c>
      <c r="K159" s="82">
        <v>0</v>
      </c>
      <c r="L159" s="83">
        <v>0</v>
      </c>
      <c r="M159" s="84">
        <v>0</v>
      </c>
      <c r="N159" s="82">
        <v>0</v>
      </c>
      <c r="O159" s="80">
        <f t="shared" si="29"/>
        <v>0</v>
      </c>
      <c r="P159" s="81">
        <f t="shared" si="30"/>
        <v>0</v>
      </c>
      <c r="Q159" s="82">
        <f t="shared" si="31"/>
        <v>0</v>
      </c>
    </row>
    <row r="160" spans="1:17" ht="17.100000000000001" customHeight="1" x14ac:dyDescent="0.25">
      <c r="A160" s="75">
        <v>5210</v>
      </c>
      <c r="B160" s="76" t="s">
        <v>148</v>
      </c>
      <c r="C160" s="77">
        <v>0</v>
      </c>
      <c r="D160" s="81">
        <v>0</v>
      </c>
      <c r="E160" s="79">
        <v>0</v>
      </c>
      <c r="F160" s="83">
        <v>0</v>
      </c>
      <c r="G160" s="84">
        <v>0</v>
      </c>
      <c r="H160" s="82">
        <v>0</v>
      </c>
      <c r="I160" s="83">
        <v>0</v>
      </c>
      <c r="J160" s="84">
        <v>0</v>
      </c>
      <c r="K160" s="82">
        <v>0</v>
      </c>
      <c r="L160" s="83">
        <v>0</v>
      </c>
      <c r="M160" s="84">
        <v>0</v>
      </c>
      <c r="N160" s="82">
        <v>0</v>
      </c>
      <c r="O160" s="80">
        <f t="shared" si="29"/>
        <v>0</v>
      </c>
      <c r="P160" s="81">
        <f t="shared" si="30"/>
        <v>0</v>
      </c>
      <c r="Q160" s="82">
        <f t="shared" si="31"/>
        <v>0</v>
      </c>
    </row>
    <row r="161" spans="1:17" ht="17.100000000000001" customHeight="1" x14ac:dyDescent="0.25">
      <c r="A161" s="75">
        <v>5211</v>
      </c>
      <c r="B161" s="76" t="s">
        <v>149</v>
      </c>
      <c r="C161" s="77">
        <v>0</v>
      </c>
      <c r="D161" s="81">
        <v>0</v>
      </c>
      <c r="E161" s="79">
        <v>0</v>
      </c>
      <c r="F161" s="83">
        <v>0</v>
      </c>
      <c r="G161" s="84">
        <v>0</v>
      </c>
      <c r="H161" s="82">
        <v>0</v>
      </c>
      <c r="I161" s="83">
        <v>0</v>
      </c>
      <c r="J161" s="84">
        <v>0</v>
      </c>
      <c r="K161" s="82">
        <v>0</v>
      </c>
      <c r="L161" s="83">
        <v>0</v>
      </c>
      <c r="M161" s="84">
        <v>0</v>
      </c>
      <c r="N161" s="82">
        <v>0</v>
      </c>
      <c r="O161" s="80">
        <f t="shared" si="29"/>
        <v>0</v>
      </c>
      <c r="P161" s="81">
        <f t="shared" si="30"/>
        <v>0</v>
      </c>
      <c r="Q161" s="82">
        <f t="shared" si="31"/>
        <v>0</v>
      </c>
    </row>
    <row r="162" spans="1:17" ht="17.100000000000001" customHeight="1" x14ac:dyDescent="0.25">
      <c r="A162" s="75">
        <v>5212</v>
      </c>
      <c r="B162" s="76" t="s">
        <v>150</v>
      </c>
      <c r="C162" s="77">
        <v>0</v>
      </c>
      <c r="D162" s="81">
        <v>0</v>
      </c>
      <c r="E162" s="79">
        <v>0</v>
      </c>
      <c r="F162" s="83">
        <v>0</v>
      </c>
      <c r="G162" s="84">
        <v>0</v>
      </c>
      <c r="H162" s="82">
        <v>0</v>
      </c>
      <c r="I162" s="83">
        <v>0</v>
      </c>
      <c r="J162" s="84">
        <v>0</v>
      </c>
      <c r="K162" s="82">
        <v>0</v>
      </c>
      <c r="L162" s="83">
        <v>0</v>
      </c>
      <c r="M162" s="84">
        <v>0</v>
      </c>
      <c r="N162" s="82">
        <v>0</v>
      </c>
      <c r="O162" s="80">
        <f t="shared" si="29"/>
        <v>0</v>
      </c>
      <c r="P162" s="81">
        <f t="shared" si="30"/>
        <v>0</v>
      </c>
      <c r="Q162" s="82">
        <f t="shared" si="31"/>
        <v>0</v>
      </c>
    </row>
    <row r="163" spans="1:17" ht="17.100000000000001" customHeight="1" x14ac:dyDescent="0.25">
      <c r="A163" s="75">
        <v>5213</v>
      </c>
      <c r="B163" s="76" t="s">
        <v>151</v>
      </c>
      <c r="C163" s="77">
        <v>0</v>
      </c>
      <c r="D163" s="81">
        <v>0</v>
      </c>
      <c r="E163" s="79">
        <v>0</v>
      </c>
      <c r="F163" s="83">
        <v>0</v>
      </c>
      <c r="G163" s="84">
        <v>0</v>
      </c>
      <c r="H163" s="82">
        <v>0</v>
      </c>
      <c r="I163" s="83">
        <v>0</v>
      </c>
      <c r="J163" s="84">
        <v>0</v>
      </c>
      <c r="K163" s="82">
        <v>0</v>
      </c>
      <c r="L163" s="83">
        <v>0</v>
      </c>
      <c r="M163" s="84">
        <v>0</v>
      </c>
      <c r="N163" s="82">
        <v>0</v>
      </c>
      <c r="O163" s="80">
        <f t="shared" si="29"/>
        <v>0</v>
      </c>
      <c r="P163" s="81">
        <f t="shared" si="30"/>
        <v>0</v>
      </c>
      <c r="Q163" s="82">
        <f t="shared" si="31"/>
        <v>0</v>
      </c>
    </row>
    <row r="164" spans="1:17" ht="17.100000000000001" customHeight="1" x14ac:dyDescent="0.25">
      <c r="A164" s="75">
        <v>5214</v>
      </c>
      <c r="B164" s="76" t="s">
        <v>59</v>
      </c>
      <c r="C164" s="77">
        <v>0</v>
      </c>
      <c r="D164" s="81">
        <v>0</v>
      </c>
      <c r="E164" s="79">
        <v>0</v>
      </c>
      <c r="F164" s="83">
        <v>0</v>
      </c>
      <c r="G164" s="84">
        <v>0</v>
      </c>
      <c r="H164" s="82">
        <v>0</v>
      </c>
      <c r="I164" s="83">
        <v>0</v>
      </c>
      <c r="J164" s="84">
        <v>0</v>
      </c>
      <c r="K164" s="82">
        <v>0</v>
      </c>
      <c r="L164" s="83">
        <v>0</v>
      </c>
      <c r="M164" s="84">
        <v>0</v>
      </c>
      <c r="N164" s="82">
        <v>0</v>
      </c>
      <c r="O164" s="80">
        <f t="shared" si="29"/>
        <v>0</v>
      </c>
      <c r="P164" s="81">
        <f t="shared" si="30"/>
        <v>0</v>
      </c>
      <c r="Q164" s="82">
        <f t="shared" si="31"/>
        <v>0</v>
      </c>
    </row>
    <row r="165" spans="1:17" ht="17.100000000000001" customHeight="1" x14ac:dyDescent="0.25">
      <c r="A165" s="75">
        <v>5215</v>
      </c>
      <c r="B165" s="76" t="s">
        <v>152</v>
      </c>
      <c r="C165" s="77">
        <v>0</v>
      </c>
      <c r="D165" s="81">
        <v>0</v>
      </c>
      <c r="E165" s="79">
        <v>0</v>
      </c>
      <c r="F165" s="83">
        <v>0</v>
      </c>
      <c r="G165" s="84">
        <v>0</v>
      </c>
      <c r="H165" s="82">
        <v>0</v>
      </c>
      <c r="I165" s="83">
        <v>0</v>
      </c>
      <c r="J165" s="84">
        <v>0</v>
      </c>
      <c r="K165" s="82">
        <v>0</v>
      </c>
      <c r="L165" s="83">
        <v>0</v>
      </c>
      <c r="M165" s="84">
        <v>0</v>
      </c>
      <c r="N165" s="82">
        <v>0</v>
      </c>
      <c r="O165" s="80">
        <f t="shared" si="29"/>
        <v>0</v>
      </c>
      <c r="P165" s="81">
        <f t="shared" si="30"/>
        <v>0</v>
      </c>
      <c r="Q165" s="82">
        <f t="shared" si="31"/>
        <v>0</v>
      </c>
    </row>
    <row r="166" spans="1:17" ht="17.100000000000001" customHeight="1" x14ac:dyDescent="0.25">
      <c r="A166" s="75">
        <v>5216</v>
      </c>
      <c r="B166" s="76" t="s">
        <v>153</v>
      </c>
      <c r="C166" s="77">
        <v>1</v>
      </c>
      <c r="D166" s="81">
        <v>0</v>
      </c>
      <c r="E166" s="79">
        <v>0</v>
      </c>
      <c r="F166" s="83">
        <v>0</v>
      </c>
      <c r="G166" s="84">
        <v>0</v>
      </c>
      <c r="H166" s="82">
        <v>0</v>
      </c>
      <c r="I166" s="83">
        <v>0</v>
      </c>
      <c r="J166" s="84">
        <v>0</v>
      </c>
      <c r="K166" s="82">
        <v>0</v>
      </c>
      <c r="L166" s="83">
        <v>0</v>
      </c>
      <c r="M166" s="84">
        <v>0</v>
      </c>
      <c r="N166" s="82">
        <v>0</v>
      </c>
      <c r="O166" s="80">
        <f t="shared" si="29"/>
        <v>1</v>
      </c>
      <c r="P166" s="81">
        <f t="shared" si="30"/>
        <v>0</v>
      </c>
      <c r="Q166" s="82">
        <f t="shared" si="31"/>
        <v>0</v>
      </c>
    </row>
    <row r="167" spans="1:17" ht="17.100000000000001" customHeight="1" x14ac:dyDescent="0.25">
      <c r="A167" s="75">
        <v>5217</v>
      </c>
      <c r="B167" s="76" t="s">
        <v>154</v>
      </c>
      <c r="C167" s="77">
        <v>0</v>
      </c>
      <c r="D167" s="81">
        <v>0</v>
      </c>
      <c r="E167" s="79">
        <v>0</v>
      </c>
      <c r="F167" s="83">
        <v>0</v>
      </c>
      <c r="G167" s="84">
        <v>0</v>
      </c>
      <c r="H167" s="82">
        <v>0</v>
      </c>
      <c r="I167" s="83">
        <v>0</v>
      </c>
      <c r="J167" s="84">
        <v>0</v>
      </c>
      <c r="K167" s="82">
        <v>0</v>
      </c>
      <c r="L167" s="83">
        <v>0</v>
      </c>
      <c r="M167" s="84">
        <v>0</v>
      </c>
      <c r="N167" s="82">
        <v>0</v>
      </c>
      <c r="O167" s="80">
        <f t="shared" si="29"/>
        <v>0</v>
      </c>
      <c r="P167" s="81">
        <f t="shared" si="30"/>
        <v>0</v>
      </c>
      <c r="Q167" s="82">
        <f t="shared" si="31"/>
        <v>0</v>
      </c>
    </row>
    <row r="168" spans="1:17" ht="17.100000000000001" customHeight="1" x14ac:dyDescent="0.25">
      <c r="A168" s="75">
        <v>5218</v>
      </c>
      <c r="B168" s="76" t="s">
        <v>155</v>
      </c>
      <c r="C168" s="77">
        <v>0</v>
      </c>
      <c r="D168" s="81">
        <v>0</v>
      </c>
      <c r="E168" s="79">
        <v>0</v>
      </c>
      <c r="F168" s="83">
        <v>0</v>
      </c>
      <c r="G168" s="84">
        <v>0</v>
      </c>
      <c r="H168" s="82">
        <v>0</v>
      </c>
      <c r="I168" s="83">
        <v>0</v>
      </c>
      <c r="J168" s="84">
        <v>0</v>
      </c>
      <c r="K168" s="82">
        <v>0</v>
      </c>
      <c r="L168" s="83">
        <v>0</v>
      </c>
      <c r="M168" s="84">
        <v>0</v>
      </c>
      <c r="N168" s="82">
        <v>0</v>
      </c>
      <c r="O168" s="80">
        <f t="shared" si="29"/>
        <v>0</v>
      </c>
      <c r="P168" s="81">
        <f t="shared" si="30"/>
        <v>0</v>
      </c>
      <c r="Q168" s="82">
        <f t="shared" si="31"/>
        <v>0</v>
      </c>
    </row>
    <row r="169" spans="1:17" ht="17.100000000000001" customHeight="1" x14ac:dyDescent="0.25">
      <c r="A169" s="75">
        <v>5219</v>
      </c>
      <c r="B169" s="76" t="s">
        <v>942</v>
      </c>
      <c r="C169" s="77">
        <v>0</v>
      </c>
      <c r="D169" s="81">
        <v>0</v>
      </c>
      <c r="E169" s="79">
        <v>0</v>
      </c>
      <c r="F169" s="83">
        <v>0</v>
      </c>
      <c r="G169" s="84">
        <v>0</v>
      </c>
      <c r="H169" s="82">
        <v>0</v>
      </c>
      <c r="I169" s="83">
        <v>0</v>
      </c>
      <c r="J169" s="84">
        <v>0</v>
      </c>
      <c r="K169" s="82">
        <v>0</v>
      </c>
      <c r="L169" s="83">
        <v>0</v>
      </c>
      <c r="M169" s="84">
        <v>0</v>
      </c>
      <c r="N169" s="82">
        <v>0</v>
      </c>
      <c r="O169" s="80">
        <f t="shared" si="29"/>
        <v>0</v>
      </c>
      <c r="P169" s="81">
        <f t="shared" si="30"/>
        <v>0</v>
      </c>
      <c r="Q169" s="82">
        <f t="shared" si="31"/>
        <v>0</v>
      </c>
    </row>
    <row r="170" spans="1:17" ht="17.100000000000001" customHeight="1" x14ac:dyDescent="0.25">
      <c r="A170" s="75">
        <v>5220</v>
      </c>
      <c r="B170" s="76" t="s">
        <v>943</v>
      </c>
      <c r="C170" s="77">
        <v>0</v>
      </c>
      <c r="D170" s="81">
        <v>0</v>
      </c>
      <c r="E170" s="79">
        <v>0</v>
      </c>
      <c r="F170" s="83">
        <v>0</v>
      </c>
      <c r="G170" s="84">
        <v>0</v>
      </c>
      <c r="H170" s="82">
        <v>0</v>
      </c>
      <c r="I170" s="83">
        <v>0</v>
      </c>
      <c r="J170" s="84">
        <v>0</v>
      </c>
      <c r="K170" s="82">
        <v>0</v>
      </c>
      <c r="L170" s="83">
        <v>0</v>
      </c>
      <c r="M170" s="84">
        <v>0</v>
      </c>
      <c r="N170" s="82">
        <v>0</v>
      </c>
      <c r="O170" s="80">
        <f t="shared" si="29"/>
        <v>0</v>
      </c>
      <c r="P170" s="81">
        <f t="shared" si="30"/>
        <v>0</v>
      </c>
      <c r="Q170" s="82">
        <f t="shared" si="31"/>
        <v>0</v>
      </c>
    </row>
    <row r="171" spans="1:17" ht="17.100000000000001" customHeight="1" x14ac:dyDescent="0.25">
      <c r="A171" s="75">
        <v>5221</v>
      </c>
      <c r="B171" s="76" t="s">
        <v>944</v>
      </c>
      <c r="C171" s="77">
        <v>0</v>
      </c>
      <c r="D171" s="81">
        <v>1</v>
      </c>
      <c r="E171" s="79">
        <v>0</v>
      </c>
      <c r="F171" s="83">
        <v>0</v>
      </c>
      <c r="G171" s="84">
        <v>0</v>
      </c>
      <c r="H171" s="82">
        <v>0</v>
      </c>
      <c r="I171" s="83">
        <v>0</v>
      </c>
      <c r="J171" s="84">
        <v>0</v>
      </c>
      <c r="K171" s="82">
        <v>0</v>
      </c>
      <c r="L171" s="83">
        <v>0</v>
      </c>
      <c r="M171" s="84">
        <v>0</v>
      </c>
      <c r="N171" s="82">
        <v>0</v>
      </c>
      <c r="O171" s="80">
        <f t="shared" si="29"/>
        <v>0</v>
      </c>
      <c r="P171" s="81">
        <f t="shared" si="30"/>
        <v>1</v>
      </c>
      <c r="Q171" s="82">
        <f t="shared" si="31"/>
        <v>0</v>
      </c>
    </row>
    <row r="172" spans="1:17" ht="17.100000000000001" customHeight="1" thickBot="1" x14ac:dyDescent="0.3">
      <c r="A172" s="36">
        <v>5222</v>
      </c>
      <c r="B172" s="108" t="s">
        <v>945</v>
      </c>
      <c r="C172" s="38">
        <v>0</v>
      </c>
      <c r="D172" s="39">
        <v>0</v>
      </c>
      <c r="E172" s="40">
        <v>0</v>
      </c>
      <c r="F172" s="145">
        <v>0</v>
      </c>
      <c r="G172" s="137">
        <v>0</v>
      </c>
      <c r="H172" s="113">
        <v>0</v>
      </c>
      <c r="I172" s="145">
        <v>0</v>
      </c>
      <c r="J172" s="137">
        <v>0</v>
      </c>
      <c r="K172" s="113">
        <v>0</v>
      </c>
      <c r="L172" s="145">
        <v>0</v>
      </c>
      <c r="M172" s="137">
        <v>0</v>
      </c>
      <c r="N172" s="113">
        <v>0</v>
      </c>
      <c r="O172" s="112">
        <f t="shared" si="29"/>
        <v>0</v>
      </c>
      <c r="P172" s="39">
        <f t="shared" si="30"/>
        <v>0</v>
      </c>
      <c r="Q172" s="113">
        <f t="shared" si="31"/>
        <v>0</v>
      </c>
    </row>
    <row r="173" spans="1:17" ht="17.100000000000001" customHeight="1" thickBot="1" x14ac:dyDescent="0.3">
      <c r="A173" s="146">
        <v>5300</v>
      </c>
      <c r="B173" s="147" t="s">
        <v>946</v>
      </c>
      <c r="C173" s="63"/>
      <c r="D173" s="63"/>
      <c r="E173" s="64"/>
      <c r="F173" s="148"/>
      <c r="G173" s="149"/>
      <c r="H173" s="149"/>
      <c r="I173" s="148"/>
      <c r="J173" s="149"/>
      <c r="K173" s="149"/>
      <c r="L173" s="148"/>
      <c r="M173" s="149"/>
      <c r="N173" s="149"/>
      <c r="O173" s="125"/>
      <c r="P173" s="126"/>
      <c r="Q173" s="143"/>
    </row>
    <row r="174" spans="1:17" ht="17.100000000000001" customHeight="1" x14ac:dyDescent="0.25">
      <c r="A174" s="36">
        <v>5301</v>
      </c>
      <c r="B174" s="108" t="s">
        <v>156</v>
      </c>
      <c r="C174" s="38">
        <v>0</v>
      </c>
      <c r="D174" s="39">
        <v>0</v>
      </c>
      <c r="E174" s="40">
        <v>0</v>
      </c>
      <c r="F174" s="95">
        <v>0</v>
      </c>
      <c r="G174" s="96">
        <v>0</v>
      </c>
      <c r="H174" s="74">
        <v>0</v>
      </c>
      <c r="I174" s="95">
        <v>0</v>
      </c>
      <c r="J174" s="96">
        <v>0</v>
      </c>
      <c r="K174" s="74">
        <v>0</v>
      </c>
      <c r="L174" s="95">
        <v>0</v>
      </c>
      <c r="M174" s="96">
        <v>0</v>
      </c>
      <c r="N174" s="74">
        <v>0</v>
      </c>
      <c r="O174" s="112">
        <f t="shared" ref="O174:O185" si="32">C174+F174-I174-L174</f>
        <v>0</v>
      </c>
      <c r="P174" s="39">
        <f t="shared" ref="P174:P185" si="33">D174+G174-J174-M174</f>
        <v>0</v>
      </c>
      <c r="Q174" s="113">
        <f t="shared" ref="Q174:Q185" si="34">E174+H174-K174-N174</f>
        <v>0</v>
      </c>
    </row>
    <row r="175" spans="1:17" ht="17.100000000000001" customHeight="1" x14ac:dyDescent="0.25">
      <c r="A175" s="75">
        <v>5302</v>
      </c>
      <c r="B175" s="76" t="s">
        <v>157</v>
      </c>
      <c r="C175" s="77">
        <v>0</v>
      </c>
      <c r="D175" s="81">
        <v>0</v>
      </c>
      <c r="E175" s="79">
        <v>0</v>
      </c>
      <c r="F175" s="83">
        <v>0</v>
      </c>
      <c r="G175" s="84">
        <v>0</v>
      </c>
      <c r="H175" s="82">
        <v>0</v>
      </c>
      <c r="I175" s="83">
        <v>0</v>
      </c>
      <c r="J175" s="84">
        <v>0</v>
      </c>
      <c r="K175" s="82">
        <v>0</v>
      </c>
      <c r="L175" s="83">
        <v>0</v>
      </c>
      <c r="M175" s="84">
        <v>0</v>
      </c>
      <c r="N175" s="82">
        <v>0</v>
      </c>
      <c r="O175" s="80">
        <f t="shared" si="32"/>
        <v>0</v>
      </c>
      <c r="P175" s="81">
        <f t="shared" si="33"/>
        <v>0</v>
      </c>
      <c r="Q175" s="82">
        <f t="shared" si="34"/>
        <v>0</v>
      </c>
    </row>
    <row r="176" spans="1:17" ht="17.100000000000001" customHeight="1" x14ac:dyDescent="0.25">
      <c r="A176" s="75">
        <v>5303</v>
      </c>
      <c r="B176" s="76" t="s">
        <v>158</v>
      </c>
      <c r="C176" s="77">
        <v>0</v>
      </c>
      <c r="D176" s="81">
        <v>0</v>
      </c>
      <c r="E176" s="79">
        <v>0</v>
      </c>
      <c r="F176" s="83">
        <v>0</v>
      </c>
      <c r="G176" s="84">
        <v>0</v>
      </c>
      <c r="H176" s="82">
        <v>0</v>
      </c>
      <c r="I176" s="83">
        <v>0</v>
      </c>
      <c r="J176" s="84">
        <v>0</v>
      </c>
      <c r="K176" s="82">
        <v>0</v>
      </c>
      <c r="L176" s="83">
        <v>0</v>
      </c>
      <c r="M176" s="84">
        <v>0</v>
      </c>
      <c r="N176" s="82">
        <v>0</v>
      </c>
      <c r="O176" s="80">
        <f t="shared" si="32"/>
        <v>0</v>
      </c>
      <c r="P176" s="81">
        <f t="shared" si="33"/>
        <v>0</v>
      </c>
      <c r="Q176" s="82">
        <f t="shared" si="34"/>
        <v>0</v>
      </c>
    </row>
    <row r="177" spans="1:17" ht="17.100000000000001" customHeight="1" x14ac:dyDescent="0.25">
      <c r="A177" s="75">
        <v>5304</v>
      </c>
      <c r="B177" s="76" t="s">
        <v>159</v>
      </c>
      <c r="C177" s="77">
        <v>0</v>
      </c>
      <c r="D177" s="81">
        <v>0</v>
      </c>
      <c r="E177" s="79">
        <v>0</v>
      </c>
      <c r="F177" s="83">
        <v>0</v>
      </c>
      <c r="G177" s="84">
        <v>0</v>
      </c>
      <c r="H177" s="82">
        <v>0</v>
      </c>
      <c r="I177" s="83">
        <v>0</v>
      </c>
      <c r="J177" s="84">
        <v>0</v>
      </c>
      <c r="K177" s="82">
        <v>0</v>
      </c>
      <c r="L177" s="83">
        <v>0</v>
      </c>
      <c r="M177" s="84">
        <v>0</v>
      </c>
      <c r="N177" s="82">
        <v>0</v>
      </c>
      <c r="O177" s="80">
        <f t="shared" si="32"/>
        <v>0</v>
      </c>
      <c r="P177" s="81">
        <f t="shared" si="33"/>
        <v>0</v>
      </c>
      <c r="Q177" s="82">
        <f t="shared" si="34"/>
        <v>0</v>
      </c>
    </row>
    <row r="178" spans="1:17" ht="17.100000000000001" customHeight="1" x14ac:dyDescent="0.25">
      <c r="A178" s="75">
        <v>5305</v>
      </c>
      <c r="B178" s="76" t="s">
        <v>160</v>
      </c>
      <c r="C178" s="77">
        <v>0</v>
      </c>
      <c r="D178" s="81">
        <v>0</v>
      </c>
      <c r="E178" s="79">
        <v>0</v>
      </c>
      <c r="F178" s="83">
        <v>0</v>
      </c>
      <c r="G178" s="84">
        <v>0</v>
      </c>
      <c r="H178" s="82">
        <v>0</v>
      </c>
      <c r="I178" s="83">
        <v>0</v>
      </c>
      <c r="J178" s="84">
        <v>0</v>
      </c>
      <c r="K178" s="82">
        <v>0</v>
      </c>
      <c r="L178" s="83">
        <v>0</v>
      </c>
      <c r="M178" s="84">
        <v>0</v>
      </c>
      <c r="N178" s="82">
        <v>0</v>
      </c>
      <c r="O178" s="80">
        <f t="shared" si="32"/>
        <v>0</v>
      </c>
      <c r="P178" s="81">
        <f t="shared" si="33"/>
        <v>0</v>
      </c>
      <c r="Q178" s="82">
        <f t="shared" si="34"/>
        <v>0</v>
      </c>
    </row>
    <row r="179" spans="1:17" ht="17.100000000000001" customHeight="1" x14ac:dyDescent="0.25">
      <c r="A179" s="75">
        <v>5306</v>
      </c>
      <c r="B179" s="76" t="s">
        <v>161</v>
      </c>
      <c r="C179" s="77">
        <v>0</v>
      </c>
      <c r="D179" s="81">
        <v>0</v>
      </c>
      <c r="E179" s="79">
        <v>0</v>
      </c>
      <c r="F179" s="83">
        <v>0</v>
      </c>
      <c r="G179" s="84">
        <v>0</v>
      </c>
      <c r="H179" s="82">
        <v>0</v>
      </c>
      <c r="I179" s="83">
        <v>0</v>
      </c>
      <c r="J179" s="84">
        <v>0</v>
      </c>
      <c r="K179" s="82">
        <v>0</v>
      </c>
      <c r="L179" s="83">
        <v>0</v>
      </c>
      <c r="M179" s="84">
        <v>0</v>
      </c>
      <c r="N179" s="82">
        <v>0</v>
      </c>
      <c r="O179" s="80">
        <f t="shared" si="32"/>
        <v>0</v>
      </c>
      <c r="P179" s="81">
        <f t="shared" si="33"/>
        <v>0</v>
      </c>
      <c r="Q179" s="82">
        <f t="shared" si="34"/>
        <v>0</v>
      </c>
    </row>
    <row r="180" spans="1:17" ht="17.100000000000001" customHeight="1" x14ac:dyDescent="0.25">
      <c r="A180" s="75">
        <v>5307</v>
      </c>
      <c r="B180" s="76" t="s">
        <v>162</v>
      </c>
      <c r="C180" s="77">
        <v>0</v>
      </c>
      <c r="D180" s="81">
        <v>0</v>
      </c>
      <c r="E180" s="79">
        <v>0</v>
      </c>
      <c r="F180" s="83">
        <v>0</v>
      </c>
      <c r="G180" s="84">
        <v>0</v>
      </c>
      <c r="H180" s="82">
        <v>0</v>
      </c>
      <c r="I180" s="83">
        <v>0</v>
      </c>
      <c r="J180" s="84">
        <v>0</v>
      </c>
      <c r="K180" s="82">
        <v>0</v>
      </c>
      <c r="L180" s="83">
        <v>0</v>
      </c>
      <c r="M180" s="84">
        <v>0</v>
      </c>
      <c r="N180" s="82">
        <v>0</v>
      </c>
      <c r="O180" s="80">
        <f t="shared" si="32"/>
        <v>0</v>
      </c>
      <c r="P180" s="81">
        <f t="shared" si="33"/>
        <v>0</v>
      </c>
      <c r="Q180" s="82">
        <f t="shared" si="34"/>
        <v>0</v>
      </c>
    </row>
    <row r="181" spans="1:17" ht="17.100000000000001" customHeight="1" x14ac:dyDescent="0.25">
      <c r="A181" s="75">
        <v>5308</v>
      </c>
      <c r="B181" s="76" t="s">
        <v>163</v>
      </c>
      <c r="C181" s="77">
        <v>0</v>
      </c>
      <c r="D181" s="81">
        <v>0</v>
      </c>
      <c r="E181" s="79">
        <v>0</v>
      </c>
      <c r="F181" s="83">
        <v>0</v>
      </c>
      <c r="G181" s="84">
        <v>0</v>
      </c>
      <c r="H181" s="82">
        <v>0</v>
      </c>
      <c r="I181" s="83">
        <v>0</v>
      </c>
      <c r="J181" s="84">
        <v>0</v>
      </c>
      <c r="K181" s="82">
        <v>0</v>
      </c>
      <c r="L181" s="83">
        <v>0</v>
      </c>
      <c r="M181" s="84">
        <v>0</v>
      </c>
      <c r="N181" s="82">
        <v>0</v>
      </c>
      <c r="O181" s="80">
        <f t="shared" si="32"/>
        <v>0</v>
      </c>
      <c r="P181" s="81">
        <f t="shared" si="33"/>
        <v>0</v>
      </c>
      <c r="Q181" s="82">
        <f t="shared" si="34"/>
        <v>0</v>
      </c>
    </row>
    <row r="182" spans="1:17" ht="17.100000000000001" customHeight="1" x14ac:dyDescent="0.25">
      <c r="A182" s="75">
        <v>5309</v>
      </c>
      <c r="B182" s="76" t="s">
        <v>164</v>
      </c>
      <c r="C182" s="77">
        <v>0</v>
      </c>
      <c r="D182" s="81">
        <v>0</v>
      </c>
      <c r="E182" s="79">
        <v>0</v>
      </c>
      <c r="F182" s="83">
        <v>0</v>
      </c>
      <c r="G182" s="84">
        <v>0</v>
      </c>
      <c r="H182" s="82">
        <v>0</v>
      </c>
      <c r="I182" s="83">
        <v>0</v>
      </c>
      <c r="J182" s="84">
        <v>0</v>
      </c>
      <c r="K182" s="82">
        <v>0</v>
      </c>
      <c r="L182" s="83">
        <v>0</v>
      </c>
      <c r="M182" s="84">
        <v>0</v>
      </c>
      <c r="N182" s="82">
        <v>0</v>
      </c>
      <c r="O182" s="80">
        <f t="shared" si="32"/>
        <v>0</v>
      </c>
      <c r="P182" s="81">
        <f t="shared" si="33"/>
        <v>0</v>
      </c>
      <c r="Q182" s="82">
        <f t="shared" si="34"/>
        <v>0</v>
      </c>
    </row>
    <row r="183" spans="1:17" ht="17.100000000000001" customHeight="1" x14ac:dyDescent="0.25">
      <c r="A183" s="75">
        <v>5310</v>
      </c>
      <c r="B183" s="76" t="s">
        <v>86</v>
      </c>
      <c r="C183" s="77">
        <v>0</v>
      </c>
      <c r="D183" s="81">
        <v>0</v>
      </c>
      <c r="E183" s="79">
        <v>0</v>
      </c>
      <c r="F183" s="83">
        <v>0</v>
      </c>
      <c r="G183" s="84">
        <v>0</v>
      </c>
      <c r="H183" s="82">
        <v>0</v>
      </c>
      <c r="I183" s="83">
        <v>0</v>
      </c>
      <c r="J183" s="84">
        <v>0</v>
      </c>
      <c r="K183" s="82">
        <v>0</v>
      </c>
      <c r="L183" s="83">
        <v>0</v>
      </c>
      <c r="M183" s="84">
        <v>0</v>
      </c>
      <c r="N183" s="82">
        <v>0</v>
      </c>
      <c r="O183" s="80">
        <f t="shared" si="32"/>
        <v>0</v>
      </c>
      <c r="P183" s="81">
        <f t="shared" si="33"/>
        <v>0</v>
      </c>
      <c r="Q183" s="82">
        <f t="shared" si="34"/>
        <v>0</v>
      </c>
    </row>
    <row r="184" spans="1:17" ht="15.95" customHeight="1" x14ac:dyDescent="0.25">
      <c r="A184" s="75">
        <v>5311</v>
      </c>
      <c r="B184" s="76" t="s">
        <v>165</v>
      </c>
      <c r="C184" s="77">
        <v>0</v>
      </c>
      <c r="D184" s="81">
        <v>0</v>
      </c>
      <c r="E184" s="79">
        <v>0</v>
      </c>
      <c r="F184" s="83">
        <v>0</v>
      </c>
      <c r="G184" s="84">
        <v>0</v>
      </c>
      <c r="H184" s="82">
        <v>0</v>
      </c>
      <c r="I184" s="83">
        <v>0</v>
      </c>
      <c r="J184" s="84">
        <v>0</v>
      </c>
      <c r="K184" s="82">
        <v>0</v>
      </c>
      <c r="L184" s="83">
        <v>0</v>
      </c>
      <c r="M184" s="84">
        <v>0</v>
      </c>
      <c r="N184" s="82">
        <v>0</v>
      </c>
      <c r="O184" s="80">
        <f t="shared" si="32"/>
        <v>0</v>
      </c>
      <c r="P184" s="81">
        <f t="shared" si="33"/>
        <v>0</v>
      </c>
      <c r="Q184" s="82">
        <f t="shared" si="34"/>
        <v>0</v>
      </c>
    </row>
    <row r="185" spans="1:17" ht="15.95" customHeight="1" thickBot="1" x14ac:dyDescent="0.3">
      <c r="A185" s="156">
        <v>5312</v>
      </c>
      <c r="B185" s="157" t="s">
        <v>166</v>
      </c>
      <c r="C185" s="38">
        <v>0</v>
      </c>
      <c r="D185" s="39">
        <v>0</v>
      </c>
      <c r="E185" s="40">
        <v>0</v>
      </c>
      <c r="F185" s="145">
        <v>0</v>
      </c>
      <c r="G185" s="137">
        <v>0</v>
      </c>
      <c r="H185" s="113">
        <v>0</v>
      </c>
      <c r="I185" s="145">
        <v>0</v>
      </c>
      <c r="J185" s="137">
        <v>0</v>
      </c>
      <c r="K185" s="113">
        <v>0</v>
      </c>
      <c r="L185" s="145">
        <v>0</v>
      </c>
      <c r="M185" s="137">
        <v>0</v>
      </c>
      <c r="N185" s="113">
        <v>0</v>
      </c>
      <c r="O185" s="112">
        <f t="shared" si="32"/>
        <v>0</v>
      </c>
      <c r="P185" s="39">
        <f t="shared" si="33"/>
        <v>0</v>
      </c>
      <c r="Q185" s="113">
        <f t="shared" si="34"/>
        <v>0</v>
      </c>
    </row>
    <row r="186" spans="1:17" ht="17.100000000000001" customHeight="1" thickBot="1" x14ac:dyDescent="0.3">
      <c r="A186" s="146">
        <v>5400</v>
      </c>
      <c r="B186" s="147" t="s">
        <v>947</v>
      </c>
      <c r="C186" s="63"/>
      <c r="D186" s="63"/>
      <c r="E186" s="64"/>
      <c r="F186" s="148"/>
      <c r="G186" s="149"/>
      <c r="H186" s="149"/>
      <c r="I186" s="148"/>
      <c r="J186" s="149"/>
      <c r="K186" s="149"/>
      <c r="L186" s="148"/>
      <c r="M186" s="149"/>
      <c r="N186" s="149"/>
      <c r="O186" s="125"/>
      <c r="P186" s="126"/>
      <c r="Q186" s="143"/>
    </row>
    <row r="187" spans="1:17" ht="17.100000000000001" customHeight="1" x14ac:dyDescent="0.25">
      <c r="A187" s="36">
        <v>5401</v>
      </c>
      <c r="B187" s="108" t="s">
        <v>167</v>
      </c>
      <c r="C187" s="38">
        <v>0</v>
      </c>
      <c r="D187" s="39">
        <v>0</v>
      </c>
      <c r="E187" s="40">
        <v>0</v>
      </c>
      <c r="F187" s="95">
        <v>0</v>
      </c>
      <c r="G187" s="96">
        <v>0</v>
      </c>
      <c r="H187" s="74">
        <v>0</v>
      </c>
      <c r="I187" s="95">
        <v>0</v>
      </c>
      <c r="J187" s="96">
        <v>0</v>
      </c>
      <c r="K187" s="74">
        <v>0</v>
      </c>
      <c r="L187" s="95">
        <v>0</v>
      </c>
      <c r="M187" s="96">
        <v>0</v>
      </c>
      <c r="N187" s="74">
        <v>0</v>
      </c>
      <c r="O187" s="112">
        <f t="shared" ref="O187:O197" si="35">C187+F187-I187-L187</f>
        <v>0</v>
      </c>
      <c r="P187" s="39">
        <f t="shared" ref="P187:P197" si="36">D187+G187-J187-M187</f>
        <v>0</v>
      </c>
      <c r="Q187" s="113">
        <f t="shared" ref="Q187:Q197" si="37">E187+H187-K187-N187</f>
        <v>0</v>
      </c>
    </row>
    <row r="188" spans="1:17" ht="17.100000000000001" customHeight="1" x14ac:dyDescent="0.25">
      <c r="A188" s="75">
        <v>5402</v>
      </c>
      <c r="B188" s="76" t="s">
        <v>168</v>
      </c>
      <c r="C188" s="77">
        <v>0</v>
      </c>
      <c r="D188" s="81">
        <v>0</v>
      </c>
      <c r="E188" s="79">
        <v>0</v>
      </c>
      <c r="F188" s="83">
        <v>0</v>
      </c>
      <c r="G188" s="84">
        <v>0</v>
      </c>
      <c r="H188" s="82">
        <v>0</v>
      </c>
      <c r="I188" s="83">
        <v>0</v>
      </c>
      <c r="J188" s="84">
        <v>0</v>
      </c>
      <c r="K188" s="82">
        <v>0</v>
      </c>
      <c r="L188" s="83">
        <v>0</v>
      </c>
      <c r="M188" s="84">
        <v>0</v>
      </c>
      <c r="N188" s="82">
        <v>0</v>
      </c>
      <c r="O188" s="80">
        <f t="shared" si="35"/>
        <v>0</v>
      </c>
      <c r="P188" s="81">
        <f t="shared" si="36"/>
        <v>0</v>
      </c>
      <c r="Q188" s="82">
        <f t="shared" si="37"/>
        <v>0</v>
      </c>
    </row>
    <row r="189" spans="1:17" ht="17.100000000000001" customHeight="1" x14ac:dyDescent="0.25">
      <c r="A189" s="75">
        <v>5403</v>
      </c>
      <c r="B189" s="76" t="s">
        <v>169</v>
      </c>
      <c r="C189" s="77">
        <v>0</v>
      </c>
      <c r="D189" s="81">
        <v>0</v>
      </c>
      <c r="E189" s="79">
        <v>0</v>
      </c>
      <c r="F189" s="83">
        <v>0</v>
      </c>
      <c r="G189" s="84">
        <v>0</v>
      </c>
      <c r="H189" s="82">
        <v>0</v>
      </c>
      <c r="I189" s="83">
        <v>0</v>
      </c>
      <c r="J189" s="84">
        <v>0</v>
      </c>
      <c r="K189" s="82">
        <v>0</v>
      </c>
      <c r="L189" s="83">
        <v>0</v>
      </c>
      <c r="M189" s="84">
        <v>0</v>
      </c>
      <c r="N189" s="82">
        <v>0</v>
      </c>
      <c r="O189" s="80">
        <f t="shared" si="35"/>
        <v>0</v>
      </c>
      <c r="P189" s="81">
        <f t="shared" si="36"/>
        <v>0</v>
      </c>
      <c r="Q189" s="82">
        <f t="shared" si="37"/>
        <v>0</v>
      </c>
    </row>
    <row r="190" spans="1:17" ht="17.100000000000001" customHeight="1" x14ac:dyDescent="0.25">
      <c r="A190" s="75">
        <v>5404</v>
      </c>
      <c r="B190" s="76" t="s">
        <v>170</v>
      </c>
      <c r="C190" s="77">
        <v>0</v>
      </c>
      <c r="D190" s="81">
        <v>0</v>
      </c>
      <c r="E190" s="79">
        <v>0</v>
      </c>
      <c r="F190" s="83">
        <v>0</v>
      </c>
      <c r="G190" s="84">
        <v>0</v>
      </c>
      <c r="H190" s="82">
        <v>0</v>
      </c>
      <c r="I190" s="83">
        <v>0</v>
      </c>
      <c r="J190" s="84">
        <v>0</v>
      </c>
      <c r="K190" s="82">
        <v>0</v>
      </c>
      <c r="L190" s="83">
        <v>0</v>
      </c>
      <c r="M190" s="84">
        <v>0</v>
      </c>
      <c r="N190" s="82">
        <v>0</v>
      </c>
      <c r="O190" s="80">
        <f t="shared" si="35"/>
        <v>0</v>
      </c>
      <c r="P190" s="81">
        <f t="shared" si="36"/>
        <v>0</v>
      </c>
      <c r="Q190" s="82">
        <f t="shared" si="37"/>
        <v>0</v>
      </c>
    </row>
    <row r="191" spans="1:17" ht="17.100000000000001" customHeight="1" x14ac:dyDescent="0.25">
      <c r="A191" s="75">
        <v>5405</v>
      </c>
      <c r="B191" s="76" t="s">
        <v>171</v>
      </c>
      <c r="C191" s="77">
        <v>0</v>
      </c>
      <c r="D191" s="81">
        <v>0</v>
      </c>
      <c r="E191" s="79">
        <v>0</v>
      </c>
      <c r="F191" s="83">
        <v>0</v>
      </c>
      <c r="G191" s="84">
        <v>0</v>
      </c>
      <c r="H191" s="82">
        <v>0</v>
      </c>
      <c r="I191" s="83">
        <v>0</v>
      </c>
      <c r="J191" s="84">
        <v>0</v>
      </c>
      <c r="K191" s="82">
        <v>0</v>
      </c>
      <c r="L191" s="83">
        <v>0</v>
      </c>
      <c r="M191" s="84">
        <v>0</v>
      </c>
      <c r="N191" s="82">
        <v>0</v>
      </c>
      <c r="O191" s="80">
        <f t="shared" si="35"/>
        <v>0</v>
      </c>
      <c r="P191" s="81">
        <f t="shared" si="36"/>
        <v>0</v>
      </c>
      <c r="Q191" s="82">
        <f t="shared" si="37"/>
        <v>0</v>
      </c>
    </row>
    <row r="192" spans="1:17" ht="17.100000000000001" customHeight="1" x14ac:dyDescent="0.25">
      <c r="A192" s="75">
        <v>5406</v>
      </c>
      <c r="B192" s="76" t="s">
        <v>172</v>
      </c>
      <c r="C192" s="77">
        <v>0</v>
      </c>
      <c r="D192" s="81">
        <v>1</v>
      </c>
      <c r="E192" s="79">
        <v>0</v>
      </c>
      <c r="F192" s="83">
        <v>0</v>
      </c>
      <c r="G192" s="84">
        <v>0</v>
      </c>
      <c r="H192" s="82">
        <v>0</v>
      </c>
      <c r="I192" s="83">
        <v>0</v>
      </c>
      <c r="J192" s="84">
        <v>0</v>
      </c>
      <c r="K192" s="82">
        <v>0</v>
      </c>
      <c r="L192" s="83">
        <v>0</v>
      </c>
      <c r="M192" s="84">
        <v>0</v>
      </c>
      <c r="N192" s="82">
        <v>0</v>
      </c>
      <c r="O192" s="80">
        <f t="shared" si="35"/>
        <v>0</v>
      </c>
      <c r="P192" s="81">
        <f t="shared" si="36"/>
        <v>1</v>
      </c>
      <c r="Q192" s="82">
        <f t="shared" si="37"/>
        <v>0</v>
      </c>
    </row>
    <row r="193" spans="1:17" ht="17.100000000000001" customHeight="1" x14ac:dyDescent="0.25">
      <c r="A193" s="75">
        <v>5407</v>
      </c>
      <c r="B193" s="76" t="s">
        <v>173</v>
      </c>
      <c r="C193" s="77">
        <v>0</v>
      </c>
      <c r="D193" s="81">
        <v>1</v>
      </c>
      <c r="E193" s="79">
        <v>0</v>
      </c>
      <c r="F193" s="83">
        <v>0</v>
      </c>
      <c r="G193" s="84">
        <v>0</v>
      </c>
      <c r="H193" s="82">
        <v>0</v>
      </c>
      <c r="I193" s="83">
        <v>0</v>
      </c>
      <c r="J193" s="84">
        <v>0</v>
      </c>
      <c r="K193" s="82">
        <v>0</v>
      </c>
      <c r="L193" s="83">
        <v>0</v>
      </c>
      <c r="M193" s="84">
        <v>0</v>
      </c>
      <c r="N193" s="82">
        <v>0</v>
      </c>
      <c r="O193" s="80">
        <f t="shared" si="35"/>
        <v>0</v>
      </c>
      <c r="P193" s="81">
        <f t="shared" si="36"/>
        <v>1</v>
      </c>
      <c r="Q193" s="82">
        <f t="shared" si="37"/>
        <v>0</v>
      </c>
    </row>
    <row r="194" spans="1:17" ht="17.100000000000001" customHeight="1" x14ac:dyDescent="0.25">
      <c r="A194" s="75">
        <v>5408</v>
      </c>
      <c r="B194" s="76" t="s">
        <v>174</v>
      </c>
      <c r="C194" s="77">
        <v>2</v>
      </c>
      <c r="D194" s="81">
        <v>0</v>
      </c>
      <c r="E194" s="79">
        <v>0</v>
      </c>
      <c r="F194" s="83">
        <v>0</v>
      </c>
      <c r="G194" s="84">
        <v>0</v>
      </c>
      <c r="H194" s="82">
        <v>0</v>
      </c>
      <c r="I194" s="83">
        <v>0</v>
      </c>
      <c r="J194" s="84">
        <v>0</v>
      </c>
      <c r="K194" s="82">
        <v>0</v>
      </c>
      <c r="L194" s="83">
        <v>0</v>
      </c>
      <c r="M194" s="84">
        <v>0</v>
      </c>
      <c r="N194" s="82">
        <v>0</v>
      </c>
      <c r="O194" s="80">
        <f t="shared" si="35"/>
        <v>2</v>
      </c>
      <c r="P194" s="81">
        <f t="shared" si="36"/>
        <v>0</v>
      </c>
      <c r="Q194" s="82">
        <f t="shared" si="37"/>
        <v>0</v>
      </c>
    </row>
    <row r="195" spans="1:17" ht="17.100000000000001" customHeight="1" x14ac:dyDescent="0.25">
      <c r="A195" s="75">
        <v>5409</v>
      </c>
      <c r="B195" s="76" t="s">
        <v>175</v>
      </c>
      <c r="C195" s="77">
        <v>3</v>
      </c>
      <c r="D195" s="81">
        <v>2</v>
      </c>
      <c r="E195" s="79">
        <v>1</v>
      </c>
      <c r="F195" s="83">
        <v>0</v>
      </c>
      <c r="G195" s="84">
        <v>0</v>
      </c>
      <c r="H195" s="82">
        <v>0</v>
      </c>
      <c r="I195" s="83">
        <v>0</v>
      </c>
      <c r="J195" s="84">
        <v>0</v>
      </c>
      <c r="K195" s="82">
        <v>0</v>
      </c>
      <c r="L195" s="83">
        <v>0</v>
      </c>
      <c r="M195" s="84">
        <v>0</v>
      </c>
      <c r="N195" s="82">
        <v>0</v>
      </c>
      <c r="O195" s="80">
        <f t="shared" si="35"/>
        <v>3</v>
      </c>
      <c r="P195" s="81">
        <f t="shared" si="36"/>
        <v>2</v>
      </c>
      <c r="Q195" s="82">
        <f t="shared" si="37"/>
        <v>1</v>
      </c>
    </row>
    <row r="196" spans="1:17" ht="17.100000000000001" customHeight="1" x14ac:dyDescent="0.25">
      <c r="A196" s="75">
        <v>5410</v>
      </c>
      <c r="B196" s="76" t="s">
        <v>176</v>
      </c>
      <c r="C196" s="77">
        <v>2</v>
      </c>
      <c r="D196" s="81">
        <v>0</v>
      </c>
      <c r="E196" s="79">
        <v>0</v>
      </c>
      <c r="F196" s="83">
        <v>0</v>
      </c>
      <c r="G196" s="84">
        <v>0</v>
      </c>
      <c r="H196" s="82">
        <v>0</v>
      </c>
      <c r="I196" s="83">
        <v>0</v>
      </c>
      <c r="J196" s="84">
        <v>0</v>
      </c>
      <c r="K196" s="82">
        <v>0</v>
      </c>
      <c r="L196" s="83">
        <v>0</v>
      </c>
      <c r="M196" s="84">
        <v>0</v>
      </c>
      <c r="N196" s="82">
        <v>0</v>
      </c>
      <c r="O196" s="80">
        <f t="shared" si="35"/>
        <v>2</v>
      </c>
      <c r="P196" s="81">
        <f t="shared" si="36"/>
        <v>0</v>
      </c>
      <c r="Q196" s="82">
        <f t="shared" si="37"/>
        <v>0</v>
      </c>
    </row>
    <row r="197" spans="1:17" ht="17.100000000000001" customHeight="1" thickBot="1" x14ac:dyDescent="0.3">
      <c r="A197" s="36">
        <v>5411</v>
      </c>
      <c r="B197" s="108" t="s">
        <v>948</v>
      </c>
      <c r="C197" s="38">
        <v>0</v>
      </c>
      <c r="D197" s="39">
        <v>0</v>
      </c>
      <c r="E197" s="40">
        <v>0</v>
      </c>
      <c r="F197" s="83">
        <v>0</v>
      </c>
      <c r="G197" s="84">
        <v>0</v>
      </c>
      <c r="H197" s="82">
        <v>0</v>
      </c>
      <c r="I197" s="83">
        <v>0</v>
      </c>
      <c r="J197" s="84">
        <v>0</v>
      </c>
      <c r="K197" s="82">
        <v>0</v>
      </c>
      <c r="L197" s="83">
        <v>0</v>
      </c>
      <c r="M197" s="84">
        <v>0</v>
      </c>
      <c r="N197" s="82">
        <v>0</v>
      </c>
      <c r="O197" s="112">
        <f t="shared" si="35"/>
        <v>0</v>
      </c>
      <c r="P197" s="39">
        <f t="shared" si="36"/>
        <v>0</v>
      </c>
      <c r="Q197" s="113">
        <f t="shared" si="37"/>
        <v>0</v>
      </c>
    </row>
    <row r="198" spans="1:17" ht="27" customHeight="1" thickBot="1" x14ac:dyDescent="0.3">
      <c r="A198" s="106">
        <v>5500</v>
      </c>
      <c r="B198" s="107" t="s">
        <v>949</v>
      </c>
      <c r="C198" s="63"/>
      <c r="D198" s="63"/>
      <c r="E198" s="64"/>
      <c r="F198" s="148"/>
      <c r="G198" s="149"/>
      <c r="H198" s="149"/>
      <c r="I198" s="148"/>
      <c r="J198" s="149"/>
      <c r="K198" s="149"/>
      <c r="L198" s="148"/>
      <c r="M198" s="149"/>
      <c r="N198" s="149"/>
      <c r="O198" s="125"/>
      <c r="P198" s="126"/>
      <c r="Q198" s="143"/>
    </row>
    <row r="199" spans="1:17" ht="17.100000000000001" customHeight="1" x14ac:dyDescent="0.25">
      <c r="A199" s="36">
        <v>5501</v>
      </c>
      <c r="B199" s="108" t="s">
        <v>112</v>
      </c>
      <c r="C199" s="38">
        <v>1</v>
      </c>
      <c r="D199" s="161">
        <v>0</v>
      </c>
      <c r="E199" s="40">
        <v>0</v>
      </c>
      <c r="F199" s="95">
        <v>0</v>
      </c>
      <c r="G199" s="96">
        <v>0</v>
      </c>
      <c r="H199" s="74">
        <v>0</v>
      </c>
      <c r="I199" s="95">
        <v>0</v>
      </c>
      <c r="J199" s="96">
        <v>0</v>
      </c>
      <c r="K199" s="74">
        <v>0</v>
      </c>
      <c r="L199" s="95">
        <v>0</v>
      </c>
      <c r="M199" s="96">
        <v>0</v>
      </c>
      <c r="N199" s="74">
        <v>0</v>
      </c>
      <c r="O199" s="112">
        <f t="shared" ref="O199:O234" si="38">C199+F199-I199-L199</f>
        <v>1</v>
      </c>
      <c r="P199" s="39">
        <f t="shared" ref="P199:P234" si="39">D199+G199-J199-M199</f>
        <v>0</v>
      </c>
      <c r="Q199" s="113">
        <f t="shared" ref="Q199:Q234" si="40">E199+H199-K199-N199</f>
        <v>0</v>
      </c>
    </row>
    <row r="200" spans="1:17" ht="17.100000000000001" customHeight="1" x14ac:dyDescent="0.25">
      <c r="A200" s="75">
        <v>5502</v>
      </c>
      <c r="B200" s="76" t="s">
        <v>177</v>
      </c>
      <c r="C200" s="77">
        <v>3</v>
      </c>
      <c r="D200" s="162">
        <v>0</v>
      </c>
      <c r="E200" s="79">
        <v>0</v>
      </c>
      <c r="F200" s="83">
        <v>0</v>
      </c>
      <c r="G200" s="84">
        <v>0</v>
      </c>
      <c r="H200" s="82">
        <v>0</v>
      </c>
      <c r="I200" s="83">
        <v>0</v>
      </c>
      <c r="J200" s="84">
        <v>0</v>
      </c>
      <c r="K200" s="82">
        <v>0</v>
      </c>
      <c r="L200" s="83">
        <v>0</v>
      </c>
      <c r="M200" s="84">
        <v>0</v>
      </c>
      <c r="N200" s="82">
        <v>0</v>
      </c>
      <c r="O200" s="80">
        <f t="shared" si="38"/>
        <v>3</v>
      </c>
      <c r="P200" s="81">
        <f t="shared" si="39"/>
        <v>0</v>
      </c>
      <c r="Q200" s="82">
        <f t="shared" si="40"/>
        <v>0</v>
      </c>
    </row>
    <row r="201" spans="1:17" ht="17.100000000000001" customHeight="1" x14ac:dyDescent="0.25">
      <c r="A201" s="75">
        <v>5503</v>
      </c>
      <c r="B201" s="76" t="s">
        <v>178</v>
      </c>
      <c r="C201" s="77">
        <v>0</v>
      </c>
      <c r="D201" s="162">
        <v>0</v>
      </c>
      <c r="E201" s="79">
        <v>0</v>
      </c>
      <c r="F201" s="83">
        <v>0</v>
      </c>
      <c r="G201" s="84">
        <v>0</v>
      </c>
      <c r="H201" s="82">
        <v>0</v>
      </c>
      <c r="I201" s="83">
        <v>0</v>
      </c>
      <c r="J201" s="84">
        <v>0</v>
      </c>
      <c r="K201" s="82">
        <v>0</v>
      </c>
      <c r="L201" s="83">
        <v>0</v>
      </c>
      <c r="M201" s="84">
        <v>0</v>
      </c>
      <c r="N201" s="82">
        <v>0</v>
      </c>
      <c r="O201" s="80">
        <f t="shared" si="38"/>
        <v>0</v>
      </c>
      <c r="P201" s="81">
        <f t="shared" si="39"/>
        <v>0</v>
      </c>
      <c r="Q201" s="82">
        <f t="shared" si="40"/>
        <v>0</v>
      </c>
    </row>
    <row r="202" spans="1:17" ht="17.100000000000001" customHeight="1" x14ac:dyDescent="0.25">
      <c r="A202" s="75">
        <v>5504</v>
      </c>
      <c r="B202" s="76" t="s">
        <v>104</v>
      </c>
      <c r="C202" s="77">
        <v>0</v>
      </c>
      <c r="D202" s="162">
        <v>0</v>
      </c>
      <c r="E202" s="79">
        <v>0</v>
      </c>
      <c r="F202" s="83">
        <v>0</v>
      </c>
      <c r="G202" s="84">
        <v>0</v>
      </c>
      <c r="H202" s="82">
        <v>0</v>
      </c>
      <c r="I202" s="83">
        <v>0</v>
      </c>
      <c r="J202" s="84">
        <v>0</v>
      </c>
      <c r="K202" s="82">
        <v>0</v>
      </c>
      <c r="L202" s="83">
        <v>0</v>
      </c>
      <c r="M202" s="84">
        <v>0</v>
      </c>
      <c r="N202" s="82">
        <v>0</v>
      </c>
      <c r="O202" s="80">
        <f t="shared" si="38"/>
        <v>0</v>
      </c>
      <c r="P202" s="81">
        <f t="shared" si="39"/>
        <v>0</v>
      </c>
      <c r="Q202" s="82">
        <f t="shared" si="40"/>
        <v>0</v>
      </c>
    </row>
    <row r="203" spans="1:17" ht="17.100000000000001" customHeight="1" x14ac:dyDescent="0.25">
      <c r="A203" s="75">
        <v>5505</v>
      </c>
      <c r="B203" s="76" t="s">
        <v>179</v>
      </c>
      <c r="C203" s="77">
        <v>0</v>
      </c>
      <c r="D203" s="162">
        <v>0</v>
      </c>
      <c r="E203" s="79">
        <v>0</v>
      </c>
      <c r="F203" s="83">
        <v>0</v>
      </c>
      <c r="G203" s="84">
        <v>0</v>
      </c>
      <c r="H203" s="82">
        <v>0</v>
      </c>
      <c r="I203" s="83">
        <v>0</v>
      </c>
      <c r="J203" s="84">
        <v>0</v>
      </c>
      <c r="K203" s="82">
        <v>0</v>
      </c>
      <c r="L203" s="83">
        <v>0</v>
      </c>
      <c r="M203" s="84">
        <v>0</v>
      </c>
      <c r="N203" s="82">
        <v>0</v>
      </c>
      <c r="O203" s="80">
        <f t="shared" si="38"/>
        <v>0</v>
      </c>
      <c r="P203" s="81">
        <f t="shared" si="39"/>
        <v>0</v>
      </c>
      <c r="Q203" s="82">
        <f t="shared" si="40"/>
        <v>0</v>
      </c>
    </row>
    <row r="204" spans="1:17" ht="17.100000000000001" customHeight="1" x14ac:dyDescent="0.25">
      <c r="A204" s="75">
        <v>5506</v>
      </c>
      <c r="B204" s="76" t="s">
        <v>180</v>
      </c>
      <c r="C204" s="77">
        <v>0</v>
      </c>
      <c r="D204" s="162">
        <v>0</v>
      </c>
      <c r="E204" s="79">
        <v>0</v>
      </c>
      <c r="F204" s="83">
        <v>0</v>
      </c>
      <c r="G204" s="84">
        <v>0</v>
      </c>
      <c r="H204" s="82">
        <v>0</v>
      </c>
      <c r="I204" s="83">
        <v>0</v>
      </c>
      <c r="J204" s="84">
        <v>0</v>
      </c>
      <c r="K204" s="82">
        <v>0</v>
      </c>
      <c r="L204" s="83">
        <v>0</v>
      </c>
      <c r="M204" s="84">
        <v>0</v>
      </c>
      <c r="N204" s="82">
        <v>0</v>
      </c>
      <c r="O204" s="80">
        <f t="shared" si="38"/>
        <v>0</v>
      </c>
      <c r="P204" s="81">
        <f t="shared" si="39"/>
        <v>0</v>
      </c>
      <c r="Q204" s="82">
        <f t="shared" si="40"/>
        <v>0</v>
      </c>
    </row>
    <row r="205" spans="1:17" ht="17.100000000000001" customHeight="1" x14ac:dyDescent="0.25">
      <c r="A205" s="75">
        <v>5507</v>
      </c>
      <c r="B205" s="76" t="s">
        <v>102</v>
      </c>
      <c r="C205" s="77">
        <v>0</v>
      </c>
      <c r="D205" s="162">
        <v>0</v>
      </c>
      <c r="E205" s="79">
        <v>0</v>
      </c>
      <c r="F205" s="83">
        <v>0</v>
      </c>
      <c r="G205" s="84">
        <v>0</v>
      </c>
      <c r="H205" s="82">
        <v>0</v>
      </c>
      <c r="I205" s="83">
        <v>0</v>
      </c>
      <c r="J205" s="84">
        <v>0</v>
      </c>
      <c r="K205" s="82">
        <v>0</v>
      </c>
      <c r="L205" s="83">
        <v>0</v>
      </c>
      <c r="M205" s="84">
        <v>0</v>
      </c>
      <c r="N205" s="82">
        <v>0</v>
      </c>
      <c r="O205" s="80">
        <f t="shared" si="38"/>
        <v>0</v>
      </c>
      <c r="P205" s="81">
        <f t="shared" si="39"/>
        <v>0</v>
      </c>
      <c r="Q205" s="82">
        <f t="shared" si="40"/>
        <v>0</v>
      </c>
    </row>
    <row r="206" spans="1:17" ht="17.100000000000001" customHeight="1" x14ac:dyDescent="0.25">
      <c r="A206" s="75">
        <v>5508</v>
      </c>
      <c r="B206" s="76" t="s">
        <v>121</v>
      </c>
      <c r="C206" s="77">
        <v>0</v>
      </c>
      <c r="D206" s="162">
        <v>0</v>
      </c>
      <c r="E206" s="79">
        <v>0</v>
      </c>
      <c r="F206" s="83">
        <v>0</v>
      </c>
      <c r="G206" s="84">
        <v>0</v>
      </c>
      <c r="H206" s="82">
        <v>0</v>
      </c>
      <c r="I206" s="83">
        <v>0</v>
      </c>
      <c r="J206" s="84">
        <v>0</v>
      </c>
      <c r="K206" s="82">
        <v>0</v>
      </c>
      <c r="L206" s="83">
        <v>0</v>
      </c>
      <c r="M206" s="84">
        <v>0</v>
      </c>
      <c r="N206" s="82">
        <v>0</v>
      </c>
      <c r="O206" s="80">
        <f t="shared" si="38"/>
        <v>0</v>
      </c>
      <c r="P206" s="81">
        <f t="shared" si="39"/>
        <v>0</v>
      </c>
      <c r="Q206" s="82">
        <f t="shared" si="40"/>
        <v>0</v>
      </c>
    </row>
    <row r="207" spans="1:17" ht="17.100000000000001" customHeight="1" x14ac:dyDescent="0.25">
      <c r="A207" s="75">
        <v>5509</v>
      </c>
      <c r="B207" s="76" t="s">
        <v>87</v>
      </c>
      <c r="C207" s="77">
        <v>0</v>
      </c>
      <c r="D207" s="162">
        <v>0</v>
      </c>
      <c r="E207" s="79">
        <v>0</v>
      </c>
      <c r="F207" s="83">
        <v>0</v>
      </c>
      <c r="G207" s="84">
        <v>0</v>
      </c>
      <c r="H207" s="82">
        <v>0</v>
      </c>
      <c r="I207" s="83">
        <v>0</v>
      </c>
      <c r="J207" s="84">
        <v>0</v>
      </c>
      <c r="K207" s="82">
        <v>0</v>
      </c>
      <c r="L207" s="83">
        <v>0</v>
      </c>
      <c r="M207" s="84">
        <v>0</v>
      </c>
      <c r="N207" s="82">
        <v>0</v>
      </c>
      <c r="O207" s="80">
        <f t="shared" si="38"/>
        <v>0</v>
      </c>
      <c r="P207" s="81">
        <f t="shared" si="39"/>
        <v>0</v>
      </c>
      <c r="Q207" s="82">
        <f t="shared" si="40"/>
        <v>0</v>
      </c>
    </row>
    <row r="208" spans="1:17" ht="17.100000000000001" customHeight="1" x14ac:dyDescent="0.25">
      <c r="A208" s="75">
        <v>5510</v>
      </c>
      <c r="B208" s="76" t="s">
        <v>181</v>
      </c>
      <c r="C208" s="77">
        <v>0</v>
      </c>
      <c r="D208" s="162">
        <v>0</v>
      </c>
      <c r="E208" s="79">
        <v>0</v>
      </c>
      <c r="F208" s="83">
        <v>0</v>
      </c>
      <c r="G208" s="84">
        <v>0</v>
      </c>
      <c r="H208" s="82">
        <v>0</v>
      </c>
      <c r="I208" s="83">
        <v>0</v>
      </c>
      <c r="J208" s="84">
        <v>0</v>
      </c>
      <c r="K208" s="82">
        <v>0</v>
      </c>
      <c r="L208" s="83">
        <v>0</v>
      </c>
      <c r="M208" s="84">
        <v>0</v>
      </c>
      <c r="N208" s="82">
        <v>0</v>
      </c>
      <c r="O208" s="80">
        <f t="shared" si="38"/>
        <v>0</v>
      </c>
      <c r="P208" s="81">
        <f t="shared" si="39"/>
        <v>0</v>
      </c>
      <c r="Q208" s="82">
        <f t="shared" si="40"/>
        <v>0</v>
      </c>
    </row>
    <row r="209" spans="1:17" ht="17.100000000000001" customHeight="1" x14ac:dyDescent="0.25">
      <c r="A209" s="75">
        <v>5511</v>
      </c>
      <c r="B209" s="76" t="s">
        <v>182</v>
      </c>
      <c r="C209" s="77">
        <v>0</v>
      </c>
      <c r="D209" s="162">
        <v>0</v>
      </c>
      <c r="E209" s="79">
        <v>0</v>
      </c>
      <c r="F209" s="83">
        <v>0</v>
      </c>
      <c r="G209" s="84">
        <v>0</v>
      </c>
      <c r="H209" s="82">
        <v>0</v>
      </c>
      <c r="I209" s="83">
        <v>0</v>
      </c>
      <c r="J209" s="84">
        <v>0</v>
      </c>
      <c r="K209" s="82">
        <v>0</v>
      </c>
      <c r="L209" s="83">
        <v>0</v>
      </c>
      <c r="M209" s="84">
        <v>0</v>
      </c>
      <c r="N209" s="82">
        <v>0</v>
      </c>
      <c r="O209" s="80">
        <f t="shared" si="38"/>
        <v>0</v>
      </c>
      <c r="P209" s="81">
        <f t="shared" si="39"/>
        <v>0</v>
      </c>
      <c r="Q209" s="82">
        <f t="shared" si="40"/>
        <v>0</v>
      </c>
    </row>
    <row r="210" spans="1:17" ht="17.100000000000001" customHeight="1" x14ac:dyDescent="0.25">
      <c r="A210" s="75">
        <v>5512</v>
      </c>
      <c r="B210" s="76" t="s">
        <v>98</v>
      </c>
      <c r="C210" s="77">
        <v>0</v>
      </c>
      <c r="D210" s="162">
        <v>0</v>
      </c>
      <c r="E210" s="79">
        <v>0</v>
      </c>
      <c r="F210" s="83">
        <v>0</v>
      </c>
      <c r="G210" s="84">
        <v>0</v>
      </c>
      <c r="H210" s="82">
        <v>0</v>
      </c>
      <c r="I210" s="83">
        <v>0</v>
      </c>
      <c r="J210" s="84">
        <v>0</v>
      </c>
      <c r="K210" s="82">
        <v>0</v>
      </c>
      <c r="L210" s="83">
        <v>0</v>
      </c>
      <c r="M210" s="84">
        <v>0</v>
      </c>
      <c r="N210" s="82">
        <v>0</v>
      </c>
      <c r="O210" s="80">
        <f t="shared" si="38"/>
        <v>0</v>
      </c>
      <c r="P210" s="81">
        <f t="shared" si="39"/>
        <v>0</v>
      </c>
      <c r="Q210" s="82">
        <f t="shared" si="40"/>
        <v>0</v>
      </c>
    </row>
    <row r="211" spans="1:17" ht="17.100000000000001" customHeight="1" x14ac:dyDescent="0.25">
      <c r="A211" s="75">
        <v>5513</v>
      </c>
      <c r="B211" s="76" t="s">
        <v>103</v>
      </c>
      <c r="C211" s="77">
        <v>0</v>
      </c>
      <c r="D211" s="162">
        <v>0</v>
      </c>
      <c r="E211" s="79">
        <v>0</v>
      </c>
      <c r="F211" s="83">
        <v>0</v>
      </c>
      <c r="G211" s="84">
        <v>0</v>
      </c>
      <c r="H211" s="82">
        <v>0</v>
      </c>
      <c r="I211" s="83">
        <v>0</v>
      </c>
      <c r="J211" s="84">
        <v>0</v>
      </c>
      <c r="K211" s="82">
        <v>0</v>
      </c>
      <c r="L211" s="83">
        <v>0</v>
      </c>
      <c r="M211" s="84">
        <v>0</v>
      </c>
      <c r="N211" s="82">
        <v>0</v>
      </c>
      <c r="O211" s="80">
        <f t="shared" si="38"/>
        <v>0</v>
      </c>
      <c r="P211" s="81">
        <f t="shared" si="39"/>
        <v>0</v>
      </c>
      <c r="Q211" s="82">
        <f t="shared" si="40"/>
        <v>0</v>
      </c>
    </row>
    <row r="212" spans="1:17" ht="17.100000000000001" customHeight="1" x14ac:dyDescent="0.25">
      <c r="A212" s="75">
        <v>5514</v>
      </c>
      <c r="B212" s="76" t="s">
        <v>183</v>
      </c>
      <c r="C212" s="77">
        <v>0</v>
      </c>
      <c r="D212" s="162">
        <v>0</v>
      </c>
      <c r="E212" s="79">
        <v>0</v>
      </c>
      <c r="F212" s="83">
        <v>0</v>
      </c>
      <c r="G212" s="84">
        <v>0</v>
      </c>
      <c r="H212" s="82">
        <v>0</v>
      </c>
      <c r="I212" s="83">
        <v>0</v>
      </c>
      <c r="J212" s="84">
        <v>0</v>
      </c>
      <c r="K212" s="82">
        <v>0</v>
      </c>
      <c r="L212" s="83">
        <v>0</v>
      </c>
      <c r="M212" s="84">
        <v>0</v>
      </c>
      <c r="N212" s="82">
        <v>0</v>
      </c>
      <c r="O212" s="80">
        <f t="shared" si="38"/>
        <v>0</v>
      </c>
      <c r="P212" s="81">
        <f t="shared" si="39"/>
        <v>0</v>
      </c>
      <c r="Q212" s="82">
        <f t="shared" si="40"/>
        <v>0</v>
      </c>
    </row>
    <row r="213" spans="1:17" ht="17.100000000000001" customHeight="1" x14ac:dyDescent="0.25">
      <c r="A213" s="75">
        <v>5515</v>
      </c>
      <c r="B213" s="76" t="s">
        <v>184</v>
      </c>
      <c r="C213" s="77">
        <v>0</v>
      </c>
      <c r="D213" s="162">
        <v>0</v>
      </c>
      <c r="E213" s="79">
        <v>0</v>
      </c>
      <c r="F213" s="83">
        <v>0</v>
      </c>
      <c r="G213" s="84">
        <v>0</v>
      </c>
      <c r="H213" s="82">
        <v>0</v>
      </c>
      <c r="I213" s="83">
        <v>0</v>
      </c>
      <c r="J213" s="84">
        <v>0</v>
      </c>
      <c r="K213" s="82">
        <v>0</v>
      </c>
      <c r="L213" s="83">
        <v>0</v>
      </c>
      <c r="M213" s="84">
        <v>0</v>
      </c>
      <c r="N213" s="82">
        <v>0</v>
      </c>
      <c r="O213" s="80">
        <f t="shared" si="38"/>
        <v>0</v>
      </c>
      <c r="P213" s="81">
        <f t="shared" si="39"/>
        <v>0</v>
      </c>
      <c r="Q213" s="82">
        <f t="shared" si="40"/>
        <v>0</v>
      </c>
    </row>
    <row r="214" spans="1:17" ht="17.100000000000001" customHeight="1" x14ac:dyDescent="0.25">
      <c r="A214" s="75">
        <v>5516</v>
      </c>
      <c r="B214" s="76" t="s">
        <v>108</v>
      </c>
      <c r="C214" s="77">
        <v>0</v>
      </c>
      <c r="D214" s="162">
        <v>0</v>
      </c>
      <c r="E214" s="79">
        <v>0</v>
      </c>
      <c r="F214" s="83">
        <v>0</v>
      </c>
      <c r="G214" s="84">
        <v>0</v>
      </c>
      <c r="H214" s="82">
        <v>0</v>
      </c>
      <c r="I214" s="83">
        <v>0</v>
      </c>
      <c r="J214" s="84">
        <v>0</v>
      </c>
      <c r="K214" s="82">
        <v>0</v>
      </c>
      <c r="L214" s="83">
        <v>0</v>
      </c>
      <c r="M214" s="84">
        <v>0</v>
      </c>
      <c r="N214" s="82">
        <v>0</v>
      </c>
      <c r="O214" s="80">
        <f t="shared" si="38"/>
        <v>0</v>
      </c>
      <c r="P214" s="81">
        <f t="shared" si="39"/>
        <v>0</v>
      </c>
      <c r="Q214" s="82">
        <f t="shared" si="40"/>
        <v>0</v>
      </c>
    </row>
    <row r="215" spans="1:17" ht="17.100000000000001" customHeight="1" x14ac:dyDescent="0.25">
      <c r="A215" s="75">
        <v>5517</v>
      </c>
      <c r="B215" s="76" t="s">
        <v>185</v>
      </c>
      <c r="C215" s="77">
        <v>0</v>
      </c>
      <c r="D215" s="162">
        <v>0</v>
      </c>
      <c r="E215" s="79">
        <v>0</v>
      </c>
      <c r="F215" s="83">
        <v>0</v>
      </c>
      <c r="G215" s="84">
        <v>0</v>
      </c>
      <c r="H215" s="82">
        <v>0</v>
      </c>
      <c r="I215" s="83">
        <v>0</v>
      </c>
      <c r="J215" s="84">
        <v>0</v>
      </c>
      <c r="K215" s="82">
        <v>0</v>
      </c>
      <c r="L215" s="83">
        <v>0</v>
      </c>
      <c r="M215" s="84">
        <v>0</v>
      </c>
      <c r="N215" s="82">
        <v>0</v>
      </c>
      <c r="O215" s="80">
        <f t="shared" si="38"/>
        <v>0</v>
      </c>
      <c r="P215" s="81">
        <f t="shared" si="39"/>
        <v>0</v>
      </c>
      <c r="Q215" s="82">
        <f t="shared" si="40"/>
        <v>0</v>
      </c>
    </row>
    <row r="216" spans="1:17" ht="17.100000000000001" customHeight="1" x14ac:dyDescent="0.25">
      <c r="A216" s="75">
        <v>5518</v>
      </c>
      <c r="B216" s="76" t="s">
        <v>109</v>
      </c>
      <c r="C216" s="77">
        <v>0</v>
      </c>
      <c r="D216" s="162">
        <v>0</v>
      </c>
      <c r="E216" s="79">
        <v>0</v>
      </c>
      <c r="F216" s="83">
        <v>0</v>
      </c>
      <c r="G216" s="84">
        <v>0</v>
      </c>
      <c r="H216" s="82">
        <v>0</v>
      </c>
      <c r="I216" s="83">
        <v>0</v>
      </c>
      <c r="J216" s="84">
        <v>0</v>
      </c>
      <c r="K216" s="82">
        <v>0</v>
      </c>
      <c r="L216" s="83">
        <v>0</v>
      </c>
      <c r="M216" s="84">
        <v>0</v>
      </c>
      <c r="N216" s="82">
        <v>0</v>
      </c>
      <c r="O216" s="80">
        <f t="shared" si="38"/>
        <v>0</v>
      </c>
      <c r="P216" s="81">
        <f t="shared" si="39"/>
        <v>0</v>
      </c>
      <c r="Q216" s="82">
        <f t="shared" si="40"/>
        <v>0</v>
      </c>
    </row>
    <row r="217" spans="1:17" ht="17.100000000000001" customHeight="1" x14ac:dyDescent="0.25">
      <c r="A217" s="75">
        <v>5519</v>
      </c>
      <c r="B217" s="76" t="s">
        <v>186</v>
      </c>
      <c r="C217" s="77">
        <v>0</v>
      </c>
      <c r="D217" s="162">
        <v>0</v>
      </c>
      <c r="E217" s="79">
        <v>0</v>
      </c>
      <c r="F217" s="83">
        <v>0</v>
      </c>
      <c r="G217" s="84">
        <v>0</v>
      </c>
      <c r="H217" s="82">
        <v>0</v>
      </c>
      <c r="I217" s="83">
        <v>0</v>
      </c>
      <c r="J217" s="84">
        <v>0</v>
      </c>
      <c r="K217" s="82">
        <v>0</v>
      </c>
      <c r="L217" s="83">
        <v>0</v>
      </c>
      <c r="M217" s="84">
        <v>0</v>
      </c>
      <c r="N217" s="82">
        <v>0</v>
      </c>
      <c r="O217" s="80">
        <f t="shared" si="38"/>
        <v>0</v>
      </c>
      <c r="P217" s="81">
        <f t="shared" si="39"/>
        <v>0</v>
      </c>
      <c r="Q217" s="82">
        <f t="shared" si="40"/>
        <v>0</v>
      </c>
    </row>
    <row r="218" spans="1:17" ht="17.100000000000001" customHeight="1" x14ac:dyDescent="0.25">
      <c r="A218" s="75">
        <v>5520</v>
      </c>
      <c r="B218" s="76" t="s">
        <v>187</v>
      </c>
      <c r="C218" s="77">
        <v>0</v>
      </c>
      <c r="D218" s="162">
        <v>0</v>
      </c>
      <c r="E218" s="79">
        <v>0</v>
      </c>
      <c r="F218" s="83">
        <v>0</v>
      </c>
      <c r="G218" s="84">
        <v>0</v>
      </c>
      <c r="H218" s="82">
        <v>0</v>
      </c>
      <c r="I218" s="83">
        <v>0</v>
      </c>
      <c r="J218" s="84">
        <v>0</v>
      </c>
      <c r="K218" s="82">
        <v>0</v>
      </c>
      <c r="L218" s="83">
        <v>0</v>
      </c>
      <c r="M218" s="84">
        <v>0</v>
      </c>
      <c r="N218" s="82">
        <v>0</v>
      </c>
      <c r="O218" s="80">
        <f t="shared" si="38"/>
        <v>0</v>
      </c>
      <c r="P218" s="81">
        <f t="shared" si="39"/>
        <v>0</v>
      </c>
      <c r="Q218" s="82">
        <f t="shared" si="40"/>
        <v>0</v>
      </c>
    </row>
    <row r="219" spans="1:17" ht="17.100000000000001" customHeight="1" x14ac:dyDescent="0.25">
      <c r="A219" s="75">
        <v>5521</v>
      </c>
      <c r="B219" s="76" t="s">
        <v>188</v>
      </c>
      <c r="C219" s="77">
        <v>0</v>
      </c>
      <c r="D219" s="162">
        <v>0</v>
      </c>
      <c r="E219" s="79">
        <v>0</v>
      </c>
      <c r="F219" s="83">
        <v>0</v>
      </c>
      <c r="G219" s="84">
        <v>0</v>
      </c>
      <c r="H219" s="82">
        <v>0</v>
      </c>
      <c r="I219" s="83">
        <v>0</v>
      </c>
      <c r="J219" s="84">
        <v>0</v>
      </c>
      <c r="K219" s="82">
        <v>0</v>
      </c>
      <c r="L219" s="83">
        <v>0</v>
      </c>
      <c r="M219" s="84">
        <v>0</v>
      </c>
      <c r="N219" s="82">
        <v>0</v>
      </c>
      <c r="O219" s="80">
        <f t="shared" si="38"/>
        <v>0</v>
      </c>
      <c r="P219" s="81">
        <f t="shared" si="39"/>
        <v>0</v>
      </c>
      <c r="Q219" s="82">
        <f t="shared" si="40"/>
        <v>0</v>
      </c>
    </row>
    <row r="220" spans="1:17" ht="17.100000000000001" customHeight="1" x14ac:dyDescent="0.25">
      <c r="A220" s="75">
        <v>5522</v>
      </c>
      <c r="B220" s="76" t="s">
        <v>110</v>
      </c>
      <c r="C220" s="77">
        <v>0</v>
      </c>
      <c r="D220" s="162">
        <v>0</v>
      </c>
      <c r="E220" s="79">
        <v>0</v>
      </c>
      <c r="F220" s="83">
        <v>0</v>
      </c>
      <c r="G220" s="84">
        <v>0</v>
      </c>
      <c r="H220" s="82">
        <v>0</v>
      </c>
      <c r="I220" s="83">
        <v>0</v>
      </c>
      <c r="J220" s="84">
        <v>0</v>
      </c>
      <c r="K220" s="82">
        <v>0</v>
      </c>
      <c r="L220" s="83">
        <v>0</v>
      </c>
      <c r="M220" s="84">
        <v>0</v>
      </c>
      <c r="N220" s="82">
        <v>0</v>
      </c>
      <c r="O220" s="80">
        <f t="shared" si="38"/>
        <v>0</v>
      </c>
      <c r="P220" s="81">
        <f t="shared" si="39"/>
        <v>0</v>
      </c>
      <c r="Q220" s="82">
        <f t="shared" si="40"/>
        <v>0</v>
      </c>
    </row>
    <row r="221" spans="1:17" ht="17.100000000000001" customHeight="1" x14ac:dyDescent="0.25">
      <c r="A221" s="75">
        <v>5523</v>
      </c>
      <c r="B221" s="76" t="s">
        <v>189</v>
      </c>
      <c r="C221" s="77">
        <v>0</v>
      </c>
      <c r="D221" s="162">
        <v>0</v>
      </c>
      <c r="E221" s="79">
        <v>0</v>
      </c>
      <c r="F221" s="83">
        <v>0</v>
      </c>
      <c r="G221" s="84">
        <v>0</v>
      </c>
      <c r="H221" s="82">
        <v>0</v>
      </c>
      <c r="I221" s="83">
        <v>0</v>
      </c>
      <c r="J221" s="84">
        <v>0</v>
      </c>
      <c r="K221" s="82">
        <v>0</v>
      </c>
      <c r="L221" s="83">
        <v>0</v>
      </c>
      <c r="M221" s="84">
        <v>0</v>
      </c>
      <c r="N221" s="82">
        <v>0</v>
      </c>
      <c r="O221" s="80">
        <f t="shared" si="38"/>
        <v>0</v>
      </c>
      <c r="P221" s="81">
        <f t="shared" si="39"/>
        <v>0</v>
      </c>
      <c r="Q221" s="82">
        <f t="shared" si="40"/>
        <v>0</v>
      </c>
    </row>
    <row r="222" spans="1:17" ht="17.100000000000001" customHeight="1" x14ac:dyDescent="0.25">
      <c r="A222" s="75">
        <v>5524</v>
      </c>
      <c r="B222" s="76" t="s">
        <v>190</v>
      </c>
      <c r="C222" s="77">
        <v>0</v>
      </c>
      <c r="D222" s="162">
        <v>0</v>
      </c>
      <c r="E222" s="79">
        <v>0</v>
      </c>
      <c r="F222" s="83">
        <v>0</v>
      </c>
      <c r="G222" s="84">
        <v>0</v>
      </c>
      <c r="H222" s="82">
        <v>0</v>
      </c>
      <c r="I222" s="83">
        <v>0</v>
      </c>
      <c r="J222" s="84">
        <v>0</v>
      </c>
      <c r="K222" s="82">
        <v>0</v>
      </c>
      <c r="L222" s="83">
        <v>0</v>
      </c>
      <c r="M222" s="84">
        <v>0</v>
      </c>
      <c r="N222" s="82">
        <v>0</v>
      </c>
      <c r="O222" s="80">
        <f t="shared" si="38"/>
        <v>0</v>
      </c>
      <c r="P222" s="81">
        <f t="shared" si="39"/>
        <v>0</v>
      </c>
      <c r="Q222" s="82">
        <f t="shared" si="40"/>
        <v>0</v>
      </c>
    </row>
    <row r="223" spans="1:17" ht="17.100000000000001" customHeight="1" x14ac:dyDescent="0.25">
      <c r="A223" s="75">
        <v>5525</v>
      </c>
      <c r="B223" s="76" t="s">
        <v>191</v>
      </c>
      <c r="C223" s="77">
        <v>0</v>
      </c>
      <c r="D223" s="162">
        <v>0</v>
      </c>
      <c r="E223" s="79">
        <v>0</v>
      </c>
      <c r="F223" s="83">
        <v>0</v>
      </c>
      <c r="G223" s="84">
        <v>0</v>
      </c>
      <c r="H223" s="82">
        <v>0</v>
      </c>
      <c r="I223" s="83">
        <v>0</v>
      </c>
      <c r="J223" s="84">
        <v>0</v>
      </c>
      <c r="K223" s="82">
        <v>0</v>
      </c>
      <c r="L223" s="83">
        <v>0</v>
      </c>
      <c r="M223" s="84">
        <v>0</v>
      </c>
      <c r="N223" s="82">
        <v>0</v>
      </c>
      <c r="O223" s="80">
        <f t="shared" si="38"/>
        <v>0</v>
      </c>
      <c r="P223" s="81">
        <f t="shared" si="39"/>
        <v>0</v>
      </c>
      <c r="Q223" s="82">
        <f t="shared" si="40"/>
        <v>0</v>
      </c>
    </row>
    <row r="224" spans="1:17" ht="17.100000000000001" customHeight="1" x14ac:dyDescent="0.25">
      <c r="A224" s="75">
        <v>5526</v>
      </c>
      <c r="B224" s="76" t="s">
        <v>192</v>
      </c>
      <c r="C224" s="77">
        <v>0</v>
      </c>
      <c r="D224" s="162">
        <v>0</v>
      </c>
      <c r="E224" s="79">
        <v>0</v>
      </c>
      <c r="F224" s="83">
        <v>0</v>
      </c>
      <c r="G224" s="84">
        <v>0</v>
      </c>
      <c r="H224" s="82">
        <v>0</v>
      </c>
      <c r="I224" s="83">
        <v>0</v>
      </c>
      <c r="J224" s="84">
        <v>0</v>
      </c>
      <c r="K224" s="82">
        <v>0</v>
      </c>
      <c r="L224" s="83">
        <v>0</v>
      </c>
      <c r="M224" s="84">
        <v>0</v>
      </c>
      <c r="N224" s="82">
        <v>0</v>
      </c>
      <c r="O224" s="80">
        <f t="shared" si="38"/>
        <v>0</v>
      </c>
      <c r="P224" s="81">
        <f t="shared" si="39"/>
        <v>0</v>
      </c>
      <c r="Q224" s="82">
        <f t="shared" si="40"/>
        <v>0</v>
      </c>
    </row>
    <row r="225" spans="1:17" ht="17.100000000000001" customHeight="1" x14ac:dyDescent="0.25">
      <c r="A225" s="75">
        <v>5527</v>
      </c>
      <c r="B225" s="76" t="s">
        <v>193</v>
      </c>
      <c r="C225" s="77">
        <v>0</v>
      </c>
      <c r="D225" s="162">
        <v>0</v>
      </c>
      <c r="E225" s="79">
        <v>0</v>
      </c>
      <c r="F225" s="83">
        <v>0</v>
      </c>
      <c r="G225" s="84">
        <v>0</v>
      </c>
      <c r="H225" s="82">
        <v>0</v>
      </c>
      <c r="I225" s="83">
        <v>0</v>
      </c>
      <c r="J225" s="84">
        <v>0</v>
      </c>
      <c r="K225" s="82">
        <v>0</v>
      </c>
      <c r="L225" s="83">
        <v>0</v>
      </c>
      <c r="M225" s="84">
        <v>0</v>
      </c>
      <c r="N225" s="82">
        <v>0</v>
      </c>
      <c r="O225" s="80">
        <f t="shared" si="38"/>
        <v>0</v>
      </c>
      <c r="P225" s="81">
        <f t="shared" si="39"/>
        <v>0</v>
      </c>
      <c r="Q225" s="82">
        <f t="shared" si="40"/>
        <v>0</v>
      </c>
    </row>
    <row r="226" spans="1:17" ht="17.100000000000001" customHeight="1" x14ac:dyDescent="0.25">
      <c r="A226" s="75">
        <v>5528</v>
      </c>
      <c r="B226" s="76" t="s">
        <v>194</v>
      </c>
      <c r="C226" s="77">
        <v>0</v>
      </c>
      <c r="D226" s="162">
        <v>0</v>
      </c>
      <c r="E226" s="79">
        <v>0</v>
      </c>
      <c r="F226" s="83">
        <v>0</v>
      </c>
      <c r="G226" s="84">
        <v>0</v>
      </c>
      <c r="H226" s="82">
        <v>0</v>
      </c>
      <c r="I226" s="83">
        <v>0</v>
      </c>
      <c r="J226" s="84">
        <v>0</v>
      </c>
      <c r="K226" s="82">
        <v>0</v>
      </c>
      <c r="L226" s="83">
        <v>0</v>
      </c>
      <c r="M226" s="84">
        <v>0</v>
      </c>
      <c r="N226" s="82">
        <v>0</v>
      </c>
      <c r="O226" s="80">
        <f t="shared" si="38"/>
        <v>0</v>
      </c>
      <c r="P226" s="81">
        <f t="shared" si="39"/>
        <v>0</v>
      </c>
      <c r="Q226" s="82">
        <f t="shared" si="40"/>
        <v>0</v>
      </c>
    </row>
    <row r="227" spans="1:17" ht="17.100000000000001" customHeight="1" x14ac:dyDescent="0.25">
      <c r="A227" s="75">
        <v>5529</v>
      </c>
      <c r="B227" s="76" t="s">
        <v>195</v>
      </c>
      <c r="C227" s="77">
        <v>0</v>
      </c>
      <c r="D227" s="162">
        <v>0</v>
      </c>
      <c r="E227" s="79">
        <v>0</v>
      </c>
      <c r="F227" s="83">
        <v>0</v>
      </c>
      <c r="G227" s="84">
        <v>0</v>
      </c>
      <c r="H227" s="82">
        <v>0</v>
      </c>
      <c r="I227" s="83">
        <v>0</v>
      </c>
      <c r="J227" s="84">
        <v>0</v>
      </c>
      <c r="K227" s="82">
        <v>0</v>
      </c>
      <c r="L227" s="83">
        <v>0</v>
      </c>
      <c r="M227" s="84">
        <v>0</v>
      </c>
      <c r="N227" s="82">
        <v>0</v>
      </c>
      <c r="O227" s="80">
        <f t="shared" si="38"/>
        <v>0</v>
      </c>
      <c r="P227" s="81">
        <f t="shared" si="39"/>
        <v>0</v>
      </c>
      <c r="Q227" s="82">
        <f t="shared" si="40"/>
        <v>0</v>
      </c>
    </row>
    <row r="228" spans="1:17" ht="17.100000000000001" customHeight="1" x14ac:dyDescent="0.25">
      <c r="A228" s="75">
        <v>5530</v>
      </c>
      <c r="B228" s="76" t="s">
        <v>196</v>
      </c>
      <c r="C228" s="77">
        <v>0</v>
      </c>
      <c r="D228" s="162">
        <v>0</v>
      </c>
      <c r="E228" s="79">
        <v>0</v>
      </c>
      <c r="F228" s="83">
        <v>0</v>
      </c>
      <c r="G228" s="84">
        <v>0</v>
      </c>
      <c r="H228" s="82">
        <v>0</v>
      </c>
      <c r="I228" s="83">
        <v>0</v>
      </c>
      <c r="J228" s="84">
        <v>0</v>
      </c>
      <c r="K228" s="82">
        <v>0</v>
      </c>
      <c r="L228" s="83">
        <v>0</v>
      </c>
      <c r="M228" s="84">
        <v>0</v>
      </c>
      <c r="N228" s="82">
        <v>0</v>
      </c>
      <c r="O228" s="80">
        <f t="shared" si="38"/>
        <v>0</v>
      </c>
      <c r="P228" s="81">
        <f t="shared" si="39"/>
        <v>0</v>
      </c>
      <c r="Q228" s="82">
        <f t="shared" si="40"/>
        <v>0</v>
      </c>
    </row>
    <row r="229" spans="1:17" ht="17.100000000000001" customHeight="1" x14ac:dyDescent="0.25">
      <c r="A229" s="75">
        <v>5531</v>
      </c>
      <c r="B229" s="76" t="s">
        <v>197</v>
      </c>
      <c r="C229" s="77">
        <v>0</v>
      </c>
      <c r="D229" s="162">
        <v>0</v>
      </c>
      <c r="E229" s="79">
        <v>0</v>
      </c>
      <c r="F229" s="83">
        <v>0</v>
      </c>
      <c r="G229" s="84">
        <v>0</v>
      </c>
      <c r="H229" s="82">
        <v>0</v>
      </c>
      <c r="I229" s="83">
        <v>0</v>
      </c>
      <c r="J229" s="84">
        <v>0</v>
      </c>
      <c r="K229" s="82">
        <v>0</v>
      </c>
      <c r="L229" s="83">
        <v>0</v>
      </c>
      <c r="M229" s="84">
        <v>0</v>
      </c>
      <c r="N229" s="82">
        <v>0</v>
      </c>
      <c r="O229" s="80">
        <f t="shared" si="38"/>
        <v>0</v>
      </c>
      <c r="P229" s="81">
        <f t="shared" si="39"/>
        <v>0</v>
      </c>
      <c r="Q229" s="82">
        <f t="shared" si="40"/>
        <v>0</v>
      </c>
    </row>
    <row r="230" spans="1:17" ht="17.100000000000001" customHeight="1" x14ac:dyDescent="0.25">
      <c r="A230" s="75">
        <v>5532</v>
      </c>
      <c r="B230" s="76" t="s">
        <v>198</v>
      </c>
      <c r="C230" s="77">
        <v>0</v>
      </c>
      <c r="D230" s="162">
        <v>1</v>
      </c>
      <c r="E230" s="79">
        <v>0</v>
      </c>
      <c r="F230" s="83">
        <v>0</v>
      </c>
      <c r="G230" s="84">
        <v>0</v>
      </c>
      <c r="H230" s="82">
        <v>0</v>
      </c>
      <c r="I230" s="83">
        <v>0</v>
      </c>
      <c r="J230" s="84">
        <v>0</v>
      </c>
      <c r="K230" s="82">
        <v>0</v>
      </c>
      <c r="L230" s="83">
        <v>0</v>
      </c>
      <c r="M230" s="84">
        <v>0</v>
      </c>
      <c r="N230" s="82">
        <v>0</v>
      </c>
      <c r="O230" s="80">
        <f t="shared" si="38"/>
        <v>0</v>
      </c>
      <c r="P230" s="81">
        <f t="shared" si="39"/>
        <v>1</v>
      </c>
      <c r="Q230" s="82">
        <f t="shared" si="40"/>
        <v>0</v>
      </c>
    </row>
    <row r="231" spans="1:17" ht="17.100000000000001" customHeight="1" x14ac:dyDescent="0.25">
      <c r="A231" s="75">
        <v>5533</v>
      </c>
      <c r="B231" s="76" t="s">
        <v>199</v>
      </c>
      <c r="C231" s="77">
        <v>0</v>
      </c>
      <c r="D231" s="162">
        <v>0</v>
      </c>
      <c r="E231" s="79">
        <v>0</v>
      </c>
      <c r="F231" s="83">
        <v>0</v>
      </c>
      <c r="G231" s="84">
        <v>0</v>
      </c>
      <c r="H231" s="82">
        <v>0</v>
      </c>
      <c r="I231" s="83">
        <v>0</v>
      </c>
      <c r="J231" s="84">
        <v>0</v>
      </c>
      <c r="K231" s="82">
        <v>0</v>
      </c>
      <c r="L231" s="83">
        <v>0</v>
      </c>
      <c r="M231" s="84">
        <v>0</v>
      </c>
      <c r="N231" s="82">
        <v>0</v>
      </c>
      <c r="O231" s="80">
        <f t="shared" si="38"/>
        <v>0</v>
      </c>
      <c r="P231" s="81">
        <f t="shared" si="39"/>
        <v>0</v>
      </c>
      <c r="Q231" s="82">
        <f t="shared" si="40"/>
        <v>0</v>
      </c>
    </row>
    <row r="232" spans="1:17" ht="17.100000000000001" customHeight="1" x14ac:dyDescent="0.25">
      <c r="A232" s="75">
        <v>5534</v>
      </c>
      <c r="B232" s="76" t="s">
        <v>200</v>
      </c>
      <c r="C232" s="77">
        <v>1</v>
      </c>
      <c r="D232" s="162">
        <v>0</v>
      </c>
      <c r="E232" s="79">
        <v>0</v>
      </c>
      <c r="F232" s="83">
        <v>0</v>
      </c>
      <c r="G232" s="84">
        <v>0</v>
      </c>
      <c r="H232" s="82">
        <v>0</v>
      </c>
      <c r="I232" s="83">
        <v>0</v>
      </c>
      <c r="J232" s="84">
        <v>0</v>
      </c>
      <c r="K232" s="82">
        <v>0</v>
      </c>
      <c r="L232" s="83">
        <v>0</v>
      </c>
      <c r="M232" s="84">
        <v>0</v>
      </c>
      <c r="N232" s="82">
        <v>0</v>
      </c>
      <c r="O232" s="80">
        <f t="shared" si="38"/>
        <v>1</v>
      </c>
      <c r="P232" s="81">
        <f t="shared" si="39"/>
        <v>0</v>
      </c>
      <c r="Q232" s="82">
        <f t="shared" si="40"/>
        <v>0</v>
      </c>
    </row>
    <row r="233" spans="1:17" ht="17.100000000000001" customHeight="1" x14ac:dyDescent="0.25">
      <c r="A233" s="75">
        <v>5535</v>
      </c>
      <c r="B233" s="76" t="s">
        <v>201</v>
      </c>
      <c r="C233" s="77">
        <v>2</v>
      </c>
      <c r="D233" s="162">
        <v>0</v>
      </c>
      <c r="E233" s="79">
        <v>0</v>
      </c>
      <c r="F233" s="80">
        <v>0</v>
      </c>
      <c r="G233" s="81">
        <v>0</v>
      </c>
      <c r="H233" s="82">
        <v>0</v>
      </c>
      <c r="I233" s="80">
        <v>0</v>
      </c>
      <c r="J233" s="81">
        <v>0</v>
      </c>
      <c r="K233" s="82">
        <v>0</v>
      </c>
      <c r="L233" s="80">
        <v>0</v>
      </c>
      <c r="M233" s="81">
        <v>0</v>
      </c>
      <c r="N233" s="82">
        <v>0</v>
      </c>
      <c r="O233" s="80">
        <f t="shared" si="38"/>
        <v>2</v>
      </c>
      <c r="P233" s="81">
        <f t="shared" si="39"/>
        <v>0</v>
      </c>
      <c r="Q233" s="82">
        <f t="shared" si="40"/>
        <v>0</v>
      </c>
    </row>
    <row r="234" spans="1:17" ht="30" customHeight="1" thickBot="1" x14ac:dyDescent="0.3">
      <c r="A234" s="36">
        <v>5536</v>
      </c>
      <c r="B234" s="108" t="s">
        <v>202</v>
      </c>
      <c r="C234" s="163">
        <v>0</v>
      </c>
      <c r="D234" s="164">
        <v>0</v>
      </c>
      <c r="E234" s="165">
        <v>0</v>
      </c>
      <c r="F234" s="166">
        <v>0</v>
      </c>
      <c r="G234" s="167">
        <v>0</v>
      </c>
      <c r="H234" s="168">
        <v>0</v>
      </c>
      <c r="I234" s="166">
        <v>0</v>
      </c>
      <c r="J234" s="167">
        <v>0</v>
      </c>
      <c r="K234" s="168">
        <v>0</v>
      </c>
      <c r="L234" s="166">
        <v>0</v>
      </c>
      <c r="M234" s="167">
        <v>0</v>
      </c>
      <c r="N234" s="168">
        <v>0</v>
      </c>
      <c r="O234" s="166">
        <f t="shared" si="38"/>
        <v>0</v>
      </c>
      <c r="P234" s="167">
        <f t="shared" si="39"/>
        <v>0</v>
      </c>
      <c r="Q234" s="168">
        <f t="shared" si="40"/>
        <v>0</v>
      </c>
    </row>
    <row r="235" spans="1:17" ht="27" customHeight="1" thickBot="1" x14ac:dyDescent="0.3">
      <c r="A235" s="106">
        <v>5600</v>
      </c>
      <c r="B235" s="107" t="s">
        <v>950</v>
      </c>
      <c r="C235" s="63"/>
      <c r="D235" s="63"/>
      <c r="E235" s="64"/>
      <c r="F235" s="169"/>
      <c r="G235" s="149"/>
      <c r="H235" s="170"/>
      <c r="I235" s="169"/>
      <c r="J235" s="149"/>
      <c r="K235" s="170"/>
      <c r="L235" s="169"/>
      <c r="M235" s="149"/>
      <c r="N235" s="170"/>
      <c r="O235" s="125"/>
      <c r="P235" s="126"/>
      <c r="Q235" s="143"/>
    </row>
    <row r="236" spans="1:17" ht="17.100000000000001" customHeight="1" x14ac:dyDescent="0.25">
      <c r="A236" s="36">
        <v>5601</v>
      </c>
      <c r="B236" s="108" t="s">
        <v>95</v>
      </c>
      <c r="C236" s="38">
        <v>0</v>
      </c>
      <c r="D236" s="39">
        <v>0</v>
      </c>
      <c r="E236" s="40">
        <v>0</v>
      </c>
      <c r="F236" s="73">
        <v>0</v>
      </c>
      <c r="G236" s="46">
        <v>0</v>
      </c>
      <c r="H236" s="74">
        <v>0</v>
      </c>
      <c r="I236" s="73">
        <v>0</v>
      </c>
      <c r="J236" s="46">
        <v>0</v>
      </c>
      <c r="K236" s="74">
        <v>0</v>
      </c>
      <c r="L236" s="73">
        <v>0</v>
      </c>
      <c r="M236" s="46">
        <v>0</v>
      </c>
      <c r="N236" s="74">
        <v>0</v>
      </c>
      <c r="O236" s="112">
        <f t="shared" ref="O236:O281" si="41">C236+F236-I236-L236</f>
        <v>0</v>
      </c>
      <c r="P236" s="39">
        <f t="shared" ref="P236:P281" si="42">D236+G236-J236-M236</f>
        <v>0</v>
      </c>
      <c r="Q236" s="113">
        <f t="shared" ref="Q236:Q281" si="43">E236+H236-K236-N236</f>
        <v>0</v>
      </c>
    </row>
    <row r="237" spans="1:17" ht="17.100000000000001" customHeight="1" x14ac:dyDescent="0.25">
      <c r="A237" s="75">
        <v>5602</v>
      </c>
      <c r="B237" s="76" t="s">
        <v>203</v>
      </c>
      <c r="C237" s="77">
        <v>0</v>
      </c>
      <c r="D237" s="81">
        <v>0</v>
      </c>
      <c r="E237" s="79">
        <v>0</v>
      </c>
      <c r="F237" s="80">
        <v>0</v>
      </c>
      <c r="G237" s="81">
        <v>0</v>
      </c>
      <c r="H237" s="82">
        <v>0</v>
      </c>
      <c r="I237" s="80">
        <v>0</v>
      </c>
      <c r="J237" s="81">
        <v>0</v>
      </c>
      <c r="K237" s="82">
        <v>0</v>
      </c>
      <c r="L237" s="80">
        <v>0</v>
      </c>
      <c r="M237" s="81">
        <v>0</v>
      </c>
      <c r="N237" s="82">
        <v>0</v>
      </c>
      <c r="O237" s="80">
        <f t="shared" si="41"/>
        <v>0</v>
      </c>
      <c r="P237" s="81">
        <f t="shared" si="42"/>
        <v>0</v>
      </c>
      <c r="Q237" s="82">
        <f t="shared" si="43"/>
        <v>0</v>
      </c>
    </row>
    <row r="238" spans="1:17" ht="17.100000000000001" customHeight="1" x14ac:dyDescent="0.25">
      <c r="A238" s="75">
        <v>5603</v>
      </c>
      <c r="B238" s="76" t="s">
        <v>204</v>
      </c>
      <c r="C238" s="77">
        <v>0</v>
      </c>
      <c r="D238" s="81">
        <v>0</v>
      </c>
      <c r="E238" s="79">
        <v>0</v>
      </c>
      <c r="F238" s="80">
        <v>0</v>
      </c>
      <c r="G238" s="81">
        <v>0</v>
      </c>
      <c r="H238" s="82">
        <v>0</v>
      </c>
      <c r="I238" s="80">
        <v>0</v>
      </c>
      <c r="J238" s="81">
        <v>0</v>
      </c>
      <c r="K238" s="82">
        <v>0</v>
      </c>
      <c r="L238" s="80">
        <v>0</v>
      </c>
      <c r="M238" s="81">
        <v>0</v>
      </c>
      <c r="N238" s="82">
        <v>0</v>
      </c>
      <c r="O238" s="80">
        <f t="shared" si="41"/>
        <v>0</v>
      </c>
      <c r="P238" s="81">
        <f t="shared" si="42"/>
        <v>0</v>
      </c>
      <c r="Q238" s="82">
        <f t="shared" si="43"/>
        <v>0</v>
      </c>
    </row>
    <row r="239" spans="1:17" ht="17.100000000000001" customHeight="1" x14ac:dyDescent="0.25">
      <c r="A239" s="75">
        <v>5604</v>
      </c>
      <c r="B239" s="76" t="s">
        <v>96</v>
      </c>
      <c r="C239" s="77">
        <v>0</v>
      </c>
      <c r="D239" s="81">
        <v>0</v>
      </c>
      <c r="E239" s="79">
        <v>0</v>
      </c>
      <c r="F239" s="80">
        <v>0</v>
      </c>
      <c r="G239" s="81">
        <v>0</v>
      </c>
      <c r="H239" s="82">
        <v>0</v>
      </c>
      <c r="I239" s="80">
        <v>0</v>
      </c>
      <c r="J239" s="81">
        <v>0</v>
      </c>
      <c r="K239" s="82">
        <v>0</v>
      </c>
      <c r="L239" s="80">
        <v>0</v>
      </c>
      <c r="M239" s="81">
        <v>0</v>
      </c>
      <c r="N239" s="82">
        <v>0</v>
      </c>
      <c r="O239" s="80">
        <f t="shared" si="41"/>
        <v>0</v>
      </c>
      <c r="P239" s="81">
        <f t="shared" si="42"/>
        <v>0</v>
      </c>
      <c r="Q239" s="82">
        <f t="shared" si="43"/>
        <v>0</v>
      </c>
    </row>
    <row r="240" spans="1:17" ht="17.100000000000001" customHeight="1" x14ac:dyDescent="0.25">
      <c r="A240" s="75">
        <v>5605</v>
      </c>
      <c r="B240" s="76" t="s">
        <v>98</v>
      </c>
      <c r="C240" s="77">
        <v>0</v>
      </c>
      <c r="D240" s="81">
        <v>0</v>
      </c>
      <c r="E240" s="79">
        <v>0</v>
      </c>
      <c r="F240" s="80">
        <v>0</v>
      </c>
      <c r="G240" s="81">
        <v>0</v>
      </c>
      <c r="H240" s="82">
        <v>0</v>
      </c>
      <c r="I240" s="80">
        <v>0</v>
      </c>
      <c r="J240" s="81">
        <v>0</v>
      </c>
      <c r="K240" s="82">
        <v>0</v>
      </c>
      <c r="L240" s="80">
        <v>0</v>
      </c>
      <c r="M240" s="81">
        <v>0</v>
      </c>
      <c r="N240" s="82">
        <v>0</v>
      </c>
      <c r="O240" s="80">
        <f t="shared" si="41"/>
        <v>0</v>
      </c>
      <c r="P240" s="81">
        <f t="shared" si="42"/>
        <v>0</v>
      </c>
      <c r="Q240" s="82">
        <f t="shared" si="43"/>
        <v>0</v>
      </c>
    </row>
    <row r="241" spans="1:17" ht="17.100000000000001" customHeight="1" x14ac:dyDescent="0.25">
      <c r="A241" s="75">
        <v>5606</v>
      </c>
      <c r="B241" s="76" t="s">
        <v>125</v>
      </c>
      <c r="C241" s="77">
        <v>0</v>
      </c>
      <c r="D241" s="81">
        <v>0</v>
      </c>
      <c r="E241" s="79">
        <v>0</v>
      </c>
      <c r="F241" s="80">
        <v>0</v>
      </c>
      <c r="G241" s="81">
        <v>0</v>
      </c>
      <c r="H241" s="82">
        <v>0</v>
      </c>
      <c r="I241" s="80">
        <v>0</v>
      </c>
      <c r="J241" s="81">
        <v>0</v>
      </c>
      <c r="K241" s="82">
        <v>0</v>
      </c>
      <c r="L241" s="80">
        <v>0</v>
      </c>
      <c r="M241" s="81">
        <v>0</v>
      </c>
      <c r="N241" s="82">
        <v>0</v>
      </c>
      <c r="O241" s="80">
        <f t="shared" si="41"/>
        <v>0</v>
      </c>
      <c r="P241" s="81">
        <f t="shared" si="42"/>
        <v>0</v>
      </c>
      <c r="Q241" s="82">
        <f t="shared" si="43"/>
        <v>0</v>
      </c>
    </row>
    <row r="242" spans="1:17" ht="17.100000000000001" customHeight="1" x14ac:dyDescent="0.25">
      <c r="A242" s="75">
        <v>5607</v>
      </c>
      <c r="B242" s="76" t="s">
        <v>97</v>
      </c>
      <c r="C242" s="77">
        <v>0</v>
      </c>
      <c r="D242" s="81">
        <v>0</v>
      </c>
      <c r="E242" s="79">
        <v>0</v>
      </c>
      <c r="F242" s="80">
        <v>0</v>
      </c>
      <c r="G242" s="81">
        <v>0</v>
      </c>
      <c r="H242" s="82">
        <v>0</v>
      </c>
      <c r="I242" s="80">
        <v>0</v>
      </c>
      <c r="J242" s="81">
        <v>0</v>
      </c>
      <c r="K242" s="82">
        <v>0</v>
      </c>
      <c r="L242" s="80">
        <v>0</v>
      </c>
      <c r="M242" s="81">
        <v>0</v>
      </c>
      <c r="N242" s="82">
        <v>0</v>
      </c>
      <c r="O242" s="80">
        <f t="shared" si="41"/>
        <v>0</v>
      </c>
      <c r="P242" s="81">
        <f t="shared" si="42"/>
        <v>0</v>
      </c>
      <c r="Q242" s="82">
        <f t="shared" si="43"/>
        <v>0</v>
      </c>
    </row>
    <row r="243" spans="1:17" ht="17.100000000000001" customHeight="1" x14ac:dyDescent="0.25">
      <c r="A243" s="75">
        <v>5608</v>
      </c>
      <c r="B243" s="76" t="s">
        <v>100</v>
      </c>
      <c r="C243" s="77">
        <v>0</v>
      </c>
      <c r="D243" s="81">
        <v>0</v>
      </c>
      <c r="E243" s="79">
        <v>0</v>
      </c>
      <c r="F243" s="80">
        <v>0</v>
      </c>
      <c r="G243" s="81">
        <v>0</v>
      </c>
      <c r="H243" s="82">
        <v>0</v>
      </c>
      <c r="I243" s="80">
        <v>0</v>
      </c>
      <c r="J243" s="81">
        <v>0</v>
      </c>
      <c r="K243" s="82">
        <v>0</v>
      </c>
      <c r="L243" s="80">
        <v>0</v>
      </c>
      <c r="M243" s="81">
        <v>0</v>
      </c>
      <c r="N243" s="82">
        <v>0</v>
      </c>
      <c r="O243" s="80">
        <f t="shared" si="41"/>
        <v>0</v>
      </c>
      <c r="P243" s="81">
        <f t="shared" si="42"/>
        <v>0</v>
      </c>
      <c r="Q243" s="82">
        <f t="shared" si="43"/>
        <v>0</v>
      </c>
    </row>
    <row r="244" spans="1:17" ht="17.100000000000001" customHeight="1" x14ac:dyDescent="0.25">
      <c r="A244" s="75">
        <v>5609</v>
      </c>
      <c r="B244" s="76" t="s">
        <v>197</v>
      </c>
      <c r="C244" s="77">
        <v>0</v>
      </c>
      <c r="D244" s="81">
        <v>0</v>
      </c>
      <c r="E244" s="79">
        <v>0</v>
      </c>
      <c r="F244" s="80">
        <v>0</v>
      </c>
      <c r="G244" s="81">
        <v>0</v>
      </c>
      <c r="H244" s="82">
        <v>0</v>
      </c>
      <c r="I244" s="80">
        <v>0</v>
      </c>
      <c r="J244" s="81">
        <v>0</v>
      </c>
      <c r="K244" s="82">
        <v>0</v>
      </c>
      <c r="L244" s="80">
        <v>0</v>
      </c>
      <c r="M244" s="81">
        <v>0</v>
      </c>
      <c r="N244" s="82">
        <v>0</v>
      </c>
      <c r="O244" s="80">
        <f t="shared" si="41"/>
        <v>0</v>
      </c>
      <c r="P244" s="81">
        <f t="shared" si="42"/>
        <v>0</v>
      </c>
      <c r="Q244" s="82">
        <f t="shared" si="43"/>
        <v>0</v>
      </c>
    </row>
    <row r="245" spans="1:17" ht="17.100000000000001" customHeight="1" x14ac:dyDescent="0.25">
      <c r="A245" s="75">
        <v>5610</v>
      </c>
      <c r="B245" s="76" t="s">
        <v>205</v>
      </c>
      <c r="C245" s="77">
        <v>0</v>
      </c>
      <c r="D245" s="81">
        <v>0</v>
      </c>
      <c r="E245" s="79">
        <v>0</v>
      </c>
      <c r="F245" s="80">
        <v>0</v>
      </c>
      <c r="G245" s="81">
        <v>0</v>
      </c>
      <c r="H245" s="82">
        <v>0</v>
      </c>
      <c r="I245" s="80">
        <v>0</v>
      </c>
      <c r="J245" s="81">
        <v>0</v>
      </c>
      <c r="K245" s="82">
        <v>0</v>
      </c>
      <c r="L245" s="80">
        <v>0</v>
      </c>
      <c r="M245" s="81">
        <v>0</v>
      </c>
      <c r="N245" s="82">
        <v>0</v>
      </c>
      <c r="O245" s="80">
        <f t="shared" si="41"/>
        <v>0</v>
      </c>
      <c r="P245" s="81">
        <f t="shared" si="42"/>
        <v>0</v>
      </c>
      <c r="Q245" s="82">
        <f t="shared" si="43"/>
        <v>0</v>
      </c>
    </row>
    <row r="246" spans="1:17" ht="17.100000000000001" customHeight="1" x14ac:dyDescent="0.25">
      <c r="A246" s="75">
        <v>5611</v>
      </c>
      <c r="B246" s="76" t="s">
        <v>101</v>
      </c>
      <c r="C246" s="77">
        <v>0</v>
      </c>
      <c r="D246" s="81">
        <v>0</v>
      </c>
      <c r="E246" s="79">
        <v>0</v>
      </c>
      <c r="F246" s="80">
        <v>0</v>
      </c>
      <c r="G246" s="81">
        <v>0</v>
      </c>
      <c r="H246" s="82">
        <v>0</v>
      </c>
      <c r="I246" s="80">
        <v>0</v>
      </c>
      <c r="J246" s="81">
        <v>0</v>
      </c>
      <c r="K246" s="82">
        <v>0</v>
      </c>
      <c r="L246" s="80">
        <v>0</v>
      </c>
      <c r="M246" s="81">
        <v>0</v>
      </c>
      <c r="N246" s="82">
        <v>0</v>
      </c>
      <c r="O246" s="80">
        <f t="shared" si="41"/>
        <v>0</v>
      </c>
      <c r="P246" s="81">
        <f t="shared" si="42"/>
        <v>0</v>
      </c>
      <c r="Q246" s="82">
        <f t="shared" si="43"/>
        <v>0</v>
      </c>
    </row>
    <row r="247" spans="1:17" ht="17.100000000000001" customHeight="1" x14ac:dyDescent="0.25">
      <c r="A247" s="75">
        <v>5612</v>
      </c>
      <c r="B247" s="76" t="s">
        <v>105</v>
      </c>
      <c r="C247" s="77">
        <v>0</v>
      </c>
      <c r="D247" s="81">
        <v>0</v>
      </c>
      <c r="E247" s="79">
        <v>0</v>
      </c>
      <c r="F247" s="80">
        <v>0</v>
      </c>
      <c r="G247" s="81">
        <v>0</v>
      </c>
      <c r="H247" s="82">
        <v>0</v>
      </c>
      <c r="I247" s="80">
        <v>0</v>
      </c>
      <c r="J247" s="81">
        <v>0</v>
      </c>
      <c r="K247" s="82">
        <v>0</v>
      </c>
      <c r="L247" s="80">
        <v>0</v>
      </c>
      <c r="M247" s="81">
        <v>0</v>
      </c>
      <c r="N247" s="82">
        <v>0</v>
      </c>
      <c r="O247" s="80">
        <f t="shared" si="41"/>
        <v>0</v>
      </c>
      <c r="P247" s="81">
        <f t="shared" si="42"/>
        <v>0</v>
      </c>
      <c r="Q247" s="82">
        <f t="shared" si="43"/>
        <v>0</v>
      </c>
    </row>
    <row r="248" spans="1:17" ht="17.100000000000001" customHeight="1" x14ac:dyDescent="0.25">
      <c r="A248" s="75">
        <v>5613</v>
      </c>
      <c r="B248" s="76" t="s">
        <v>107</v>
      </c>
      <c r="C248" s="77">
        <v>0</v>
      </c>
      <c r="D248" s="81">
        <v>0</v>
      </c>
      <c r="E248" s="79">
        <v>0</v>
      </c>
      <c r="F248" s="80">
        <v>0</v>
      </c>
      <c r="G248" s="81">
        <v>0</v>
      </c>
      <c r="H248" s="82">
        <v>0</v>
      </c>
      <c r="I248" s="80">
        <v>0</v>
      </c>
      <c r="J248" s="81">
        <v>0</v>
      </c>
      <c r="K248" s="82">
        <v>0</v>
      </c>
      <c r="L248" s="80">
        <v>0</v>
      </c>
      <c r="M248" s="81">
        <v>0</v>
      </c>
      <c r="N248" s="82">
        <v>0</v>
      </c>
      <c r="O248" s="80">
        <f t="shared" si="41"/>
        <v>0</v>
      </c>
      <c r="P248" s="81">
        <f t="shared" si="42"/>
        <v>0</v>
      </c>
      <c r="Q248" s="82">
        <f t="shared" si="43"/>
        <v>0</v>
      </c>
    </row>
    <row r="249" spans="1:17" ht="17.100000000000001" customHeight="1" x14ac:dyDescent="0.25">
      <c r="A249" s="75">
        <v>5614</v>
      </c>
      <c r="B249" s="76" t="s">
        <v>185</v>
      </c>
      <c r="C249" s="77">
        <v>0</v>
      </c>
      <c r="D249" s="81">
        <v>0</v>
      </c>
      <c r="E249" s="79">
        <v>0</v>
      </c>
      <c r="F249" s="80">
        <v>0</v>
      </c>
      <c r="G249" s="81">
        <v>0</v>
      </c>
      <c r="H249" s="82">
        <v>0</v>
      </c>
      <c r="I249" s="80">
        <v>0</v>
      </c>
      <c r="J249" s="81">
        <v>0</v>
      </c>
      <c r="K249" s="82">
        <v>0</v>
      </c>
      <c r="L249" s="80">
        <v>0</v>
      </c>
      <c r="M249" s="81">
        <v>0</v>
      </c>
      <c r="N249" s="82">
        <v>0</v>
      </c>
      <c r="O249" s="80">
        <f t="shared" si="41"/>
        <v>0</v>
      </c>
      <c r="P249" s="81">
        <f t="shared" si="42"/>
        <v>0</v>
      </c>
      <c r="Q249" s="82">
        <f t="shared" si="43"/>
        <v>0</v>
      </c>
    </row>
    <row r="250" spans="1:17" ht="17.100000000000001" customHeight="1" x14ac:dyDescent="0.25">
      <c r="A250" s="75">
        <v>5615</v>
      </c>
      <c r="B250" s="76" t="s">
        <v>630</v>
      </c>
      <c r="C250" s="77">
        <v>0</v>
      </c>
      <c r="D250" s="81">
        <v>0</v>
      </c>
      <c r="E250" s="79">
        <v>0</v>
      </c>
      <c r="F250" s="80">
        <v>0</v>
      </c>
      <c r="G250" s="81">
        <v>0</v>
      </c>
      <c r="H250" s="82">
        <v>0</v>
      </c>
      <c r="I250" s="80">
        <v>0</v>
      </c>
      <c r="J250" s="81">
        <v>0</v>
      </c>
      <c r="K250" s="82">
        <v>0</v>
      </c>
      <c r="L250" s="80">
        <v>0</v>
      </c>
      <c r="M250" s="81">
        <v>0</v>
      </c>
      <c r="N250" s="82">
        <v>0</v>
      </c>
      <c r="O250" s="80">
        <f t="shared" si="41"/>
        <v>0</v>
      </c>
      <c r="P250" s="81">
        <f t="shared" si="42"/>
        <v>0</v>
      </c>
      <c r="Q250" s="82">
        <f t="shared" si="43"/>
        <v>0</v>
      </c>
    </row>
    <row r="251" spans="1:17" ht="17.100000000000001" customHeight="1" x14ac:dyDescent="0.25">
      <c r="A251" s="75">
        <v>5616</v>
      </c>
      <c r="B251" s="76" t="s">
        <v>109</v>
      </c>
      <c r="C251" s="77">
        <v>0</v>
      </c>
      <c r="D251" s="81">
        <v>0</v>
      </c>
      <c r="E251" s="79">
        <v>0</v>
      </c>
      <c r="F251" s="80">
        <v>0</v>
      </c>
      <c r="G251" s="81">
        <v>0</v>
      </c>
      <c r="H251" s="82">
        <v>0</v>
      </c>
      <c r="I251" s="80">
        <v>0</v>
      </c>
      <c r="J251" s="81">
        <v>0</v>
      </c>
      <c r="K251" s="82">
        <v>0</v>
      </c>
      <c r="L251" s="80">
        <v>0</v>
      </c>
      <c r="M251" s="81">
        <v>0</v>
      </c>
      <c r="N251" s="82">
        <v>0</v>
      </c>
      <c r="O251" s="80">
        <f t="shared" si="41"/>
        <v>0</v>
      </c>
      <c r="P251" s="81">
        <f t="shared" si="42"/>
        <v>0</v>
      </c>
      <c r="Q251" s="82">
        <f t="shared" si="43"/>
        <v>0</v>
      </c>
    </row>
    <row r="252" spans="1:17" ht="17.100000000000001" customHeight="1" x14ac:dyDescent="0.25">
      <c r="A252" s="75">
        <v>5617</v>
      </c>
      <c r="B252" s="76" t="s">
        <v>186</v>
      </c>
      <c r="C252" s="77">
        <v>0</v>
      </c>
      <c r="D252" s="81">
        <v>0</v>
      </c>
      <c r="E252" s="79">
        <v>0</v>
      </c>
      <c r="F252" s="80">
        <v>0</v>
      </c>
      <c r="G252" s="81">
        <v>0</v>
      </c>
      <c r="H252" s="82">
        <v>0</v>
      </c>
      <c r="I252" s="80">
        <v>0</v>
      </c>
      <c r="J252" s="81">
        <v>0</v>
      </c>
      <c r="K252" s="82">
        <v>0</v>
      </c>
      <c r="L252" s="80">
        <v>0</v>
      </c>
      <c r="M252" s="81">
        <v>0</v>
      </c>
      <c r="N252" s="82">
        <v>0</v>
      </c>
      <c r="O252" s="80">
        <f t="shared" si="41"/>
        <v>0</v>
      </c>
      <c r="P252" s="81">
        <f t="shared" si="42"/>
        <v>0</v>
      </c>
      <c r="Q252" s="82">
        <f t="shared" si="43"/>
        <v>0</v>
      </c>
    </row>
    <row r="253" spans="1:17" ht="17.100000000000001" customHeight="1" x14ac:dyDescent="0.25">
      <c r="A253" s="75">
        <v>5618</v>
      </c>
      <c r="B253" s="76" t="s">
        <v>187</v>
      </c>
      <c r="C253" s="77">
        <v>0</v>
      </c>
      <c r="D253" s="81">
        <v>0</v>
      </c>
      <c r="E253" s="79">
        <v>0</v>
      </c>
      <c r="F253" s="80">
        <v>0</v>
      </c>
      <c r="G253" s="81">
        <v>0</v>
      </c>
      <c r="H253" s="82">
        <v>0</v>
      </c>
      <c r="I253" s="80">
        <v>0</v>
      </c>
      <c r="J253" s="81">
        <v>0</v>
      </c>
      <c r="K253" s="82">
        <v>0</v>
      </c>
      <c r="L253" s="80">
        <v>0</v>
      </c>
      <c r="M253" s="81">
        <v>0</v>
      </c>
      <c r="N253" s="82">
        <v>0</v>
      </c>
      <c r="O253" s="80">
        <f t="shared" si="41"/>
        <v>0</v>
      </c>
      <c r="P253" s="81">
        <f t="shared" si="42"/>
        <v>0</v>
      </c>
      <c r="Q253" s="82">
        <f t="shared" si="43"/>
        <v>0</v>
      </c>
    </row>
    <row r="254" spans="1:17" ht="17.100000000000001" customHeight="1" x14ac:dyDescent="0.25">
      <c r="A254" s="75">
        <v>5619</v>
      </c>
      <c r="B254" s="76" t="s">
        <v>206</v>
      </c>
      <c r="C254" s="77">
        <v>0</v>
      </c>
      <c r="D254" s="81">
        <v>0</v>
      </c>
      <c r="E254" s="79">
        <v>0</v>
      </c>
      <c r="F254" s="80">
        <v>0</v>
      </c>
      <c r="G254" s="81">
        <v>0</v>
      </c>
      <c r="H254" s="82">
        <v>0</v>
      </c>
      <c r="I254" s="80">
        <v>0</v>
      </c>
      <c r="J254" s="81">
        <v>0</v>
      </c>
      <c r="K254" s="82">
        <v>0</v>
      </c>
      <c r="L254" s="80">
        <v>0</v>
      </c>
      <c r="M254" s="81">
        <v>0</v>
      </c>
      <c r="N254" s="82">
        <v>0</v>
      </c>
      <c r="O254" s="80">
        <f t="shared" si="41"/>
        <v>0</v>
      </c>
      <c r="P254" s="81">
        <f t="shared" si="42"/>
        <v>0</v>
      </c>
      <c r="Q254" s="82">
        <f t="shared" si="43"/>
        <v>0</v>
      </c>
    </row>
    <row r="255" spans="1:17" ht="17.100000000000001" customHeight="1" x14ac:dyDescent="0.25">
      <c r="A255" s="75">
        <v>5620</v>
      </c>
      <c r="B255" s="76" t="s">
        <v>207</v>
      </c>
      <c r="C255" s="77">
        <v>0</v>
      </c>
      <c r="D255" s="81">
        <v>0</v>
      </c>
      <c r="E255" s="79">
        <v>0</v>
      </c>
      <c r="F255" s="80">
        <v>0</v>
      </c>
      <c r="G255" s="81">
        <v>0</v>
      </c>
      <c r="H255" s="82">
        <v>0</v>
      </c>
      <c r="I255" s="80">
        <v>0</v>
      </c>
      <c r="J255" s="81">
        <v>0</v>
      </c>
      <c r="K255" s="82">
        <v>0</v>
      </c>
      <c r="L255" s="80">
        <v>0</v>
      </c>
      <c r="M255" s="81">
        <v>0</v>
      </c>
      <c r="N255" s="82">
        <v>0</v>
      </c>
      <c r="O255" s="80">
        <f t="shared" si="41"/>
        <v>0</v>
      </c>
      <c r="P255" s="81">
        <f t="shared" si="42"/>
        <v>0</v>
      </c>
      <c r="Q255" s="82">
        <f t="shared" si="43"/>
        <v>0</v>
      </c>
    </row>
    <row r="256" spans="1:17" ht="17.100000000000001" customHeight="1" x14ac:dyDescent="0.25">
      <c r="A256" s="75">
        <v>5621</v>
      </c>
      <c r="B256" s="76" t="s">
        <v>110</v>
      </c>
      <c r="C256" s="77">
        <v>0</v>
      </c>
      <c r="D256" s="81">
        <v>0</v>
      </c>
      <c r="E256" s="79">
        <v>0</v>
      </c>
      <c r="F256" s="80">
        <v>0</v>
      </c>
      <c r="G256" s="81">
        <v>0</v>
      </c>
      <c r="H256" s="82">
        <v>0</v>
      </c>
      <c r="I256" s="80">
        <v>0</v>
      </c>
      <c r="J256" s="81">
        <v>0</v>
      </c>
      <c r="K256" s="82">
        <v>0</v>
      </c>
      <c r="L256" s="80">
        <v>0</v>
      </c>
      <c r="M256" s="81">
        <v>0</v>
      </c>
      <c r="N256" s="82">
        <v>0</v>
      </c>
      <c r="O256" s="80">
        <f t="shared" si="41"/>
        <v>0</v>
      </c>
      <c r="P256" s="81">
        <f t="shared" si="42"/>
        <v>0</v>
      </c>
      <c r="Q256" s="82">
        <f t="shared" si="43"/>
        <v>0</v>
      </c>
    </row>
    <row r="257" spans="1:17" ht="17.100000000000001" customHeight="1" x14ac:dyDescent="0.25">
      <c r="A257" s="75">
        <v>5622</v>
      </c>
      <c r="B257" s="76" t="s">
        <v>102</v>
      </c>
      <c r="C257" s="77">
        <v>0</v>
      </c>
      <c r="D257" s="81">
        <v>0</v>
      </c>
      <c r="E257" s="79">
        <v>0</v>
      </c>
      <c r="F257" s="80">
        <v>0</v>
      </c>
      <c r="G257" s="81">
        <v>0</v>
      </c>
      <c r="H257" s="82">
        <v>0</v>
      </c>
      <c r="I257" s="80">
        <v>0</v>
      </c>
      <c r="J257" s="81">
        <v>0</v>
      </c>
      <c r="K257" s="82">
        <v>0</v>
      </c>
      <c r="L257" s="80">
        <v>0</v>
      </c>
      <c r="M257" s="81">
        <v>0</v>
      </c>
      <c r="N257" s="82">
        <v>0</v>
      </c>
      <c r="O257" s="80">
        <f t="shared" si="41"/>
        <v>0</v>
      </c>
      <c r="P257" s="81">
        <f t="shared" si="42"/>
        <v>0</v>
      </c>
      <c r="Q257" s="82">
        <f t="shared" si="43"/>
        <v>0</v>
      </c>
    </row>
    <row r="258" spans="1:17" ht="17.100000000000001" customHeight="1" x14ac:dyDescent="0.25">
      <c r="A258" s="75">
        <v>5623</v>
      </c>
      <c r="B258" s="76" t="s">
        <v>103</v>
      </c>
      <c r="C258" s="77">
        <v>0</v>
      </c>
      <c r="D258" s="81">
        <v>0</v>
      </c>
      <c r="E258" s="79">
        <v>0</v>
      </c>
      <c r="F258" s="80">
        <v>0</v>
      </c>
      <c r="G258" s="81">
        <v>0</v>
      </c>
      <c r="H258" s="82">
        <v>0</v>
      </c>
      <c r="I258" s="80">
        <v>0</v>
      </c>
      <c r="J258" s="81">
        <v>0</v>
      </c>
      <c r="K258" s="82">
        <v>0</v>
      </c>
      <c r="L258" s="80">
        <v>0</v>
      </c>
      <c r="M258" s="81">
        <v>0</v>
      </c>
      <c r="N258" s="82">
        <v>0</v>
      </c>
      <c r="O258" s="80">
        <f t="shared" si="41"/>
        <v>0</v>
      </c>
      <c r="P258" s="81">
        <f t="shared" si="42"/>
        <v>0</v>
      </c>
      <c r="Q258" s="82">
        <f t="shared" si="43"/>
        <v>0</v>
      </c>
    </row>
    <row r="259" spans="1:17" ht="17.100000000000001" customHeight="1" x14ac:dyDescent="0.25">
      <c r="A259" s="75">
        <v>5624</v>
      </c>
      <c r="B259" s="76" t="s">
        <v>112</v>
      </c>
      <c r="C259" s="77">
        <v>0</v>
      </c>
      <c r="D259" s="81">
        <v>0</v>
      </c>
      <c r="E259" s="79">
        <v>0</v>
      </c>
      <c r="F259" s="80">
        <v>0</v>
      </c>
      <c r="G259" s="81">
        <v>0</v>
      </c>
      <c r="H259" s="82">
        <v>0</v>
      </c>
      <c r="I259" s="80">
        <v>0</v>
      </c>
      <c r="J259" s="81">
        <v>0</v>
      </c>
      <c r="K259" s="82">
        <v>0</v>
      </c>
      <c r="L259" s="80">
        <v>0</v>
      </c>
      <c r="M259" s="81">
        <v>0</v>
      </c>
      <c r="N259" s="82">
        <v>0</v>
      </c>
      <c r="O259" s="80">
        <f t="shared" si="41"/>
        <v>0</v>
      </c>
      <c r="P259" s="81">
        <f t="shared" si="42"/>
        <v>0</v>
      </c>
      <c r="Q259" s="82">
        <f t="shared" si="43"/>
        <v>0</v>
      </c>
    </row>
    <row r="260" spans="1:17" ht="17.100000000000001" customHeight="1" x14ac:dyDescent="0.25">
      <c r="A260" s="75">
        <v>5625</v>
      </c>
      <c r="B260" s="76" t="s">
        <v>177</v>
      </c>
      <c r="C260" s="77">
        <v>0</v>
      </c>
      <c r="D260" s="81">
        <v>0</v>
      </c>
      <c r="E260" s="79">
        <v>0</v>
      </c>
      <c r="F260" s="80">
        <v>0</v>
      </c>
      <c r="G260" s="81">
        <v>0</v>
      </c>
      <c r="H260" s="82">
        <v>0</v>
      </c>
      <c r="I260" s="80">
        <v>0</v>
      </c>
      <c r="J260" s="81">
        <v>0</v>
      </c>
      <c r="K260" s="82">
        <v>0</v>
      </c>
      <c r="L260" s="80">
        <v>0</v>
      </c>
      <c r="M260" s="81">
        <v>0</v>
      </c>
      <c r="N260" s="82">
        <v>0</v>
      </c>
      <c r="O260" s="80">
        <f t="shared" si="41"/>
        <v>0</v>
      </c>
      <c r="P260" s="81">
        <f t="shared" si="42"/>
        <v>0</v>
      </c>
      <c r="Q260" s="82">
        <f t="shared" si="43"/>
        <v>0</v>
      </c>
    </row>
    <row r="261" spans="1:17" ht="17.100000000000001" customHeight="1" x14ac:dyDescent="0.25">
      <c r="A261" s="75">
        <v>5626</v>
      </c>
      <c r="B261" s="76" t="s">
        <v>182</v>
      </c>
      <c r="C261" s="77">
        <v>0</v>
      </c>
      <c r="D261" s="81">
        <v>0</v>
      </c>
      <c r="E261" s="79">
        <v>0</v>
      </c>
      <c r="F261" s="80">
        <v>0</v>
      </c>
      <c r="G261" s="81">
        <v>0</v>
      </c>
      <c r="H261" s="82">
        <v>0</v>
      </c>
      <c r="I261" s="80">
        <v>0</v>
      </c>
      <c r="J261" s="81">
        <v>0</v>
      </c>
      <c r="K261" s="82">
        <v>0</v>
      </c>
      <c r="L261" s="80">
        <v>0</v>
      </c>
      <c r="M261" s="81">
        <v>0</v>
      </c>
      <c r="N261" s="82">
        <v>0</v>
      </c>
      <c r="O261" s="80">
        <f t="shared" si="41"/>
        <v>0</v>
      </c>
      <c r="P261" s="81">
        <f t="shared" si="42"/>
        <v>0</v>
      </c>
      <c r="Q261" s="82">
        <f t="shared" si="43"/>
        <v>0</v>
      </c>
    </row>
    <row r="262" spans="1:17" ht="17.100000000000001" customHeight="1" x14ac:dyDescent="0.25">
      <c r="A262" s="75">
        <v>5627</v>
      </c>
      <c r="B262" s="76" t="s">
        <v>104</v>
      </c>
      <c r="C262" s="77">
        <v>0</v>
      </c>
      <c r="D262" s="81">
        <v>0</v>
      </c>
      <c r="E262" s="79">
        <v>0</v>
      </c>
      <c r="F262" s="80">
        <v>0</v>
      </c>
      <c r="G262" s="81">
        <v>0</v>
      </c>
      <c r="H262" s="82">
        <v>0</v>
      </c>
      <c r="I262" s="80">
        <v>0</v>
      </c>
      <c r="J262" s="81">
        <v>0</v>
      </c>
      <c r="K262" s="82">
        <v>0</v>
      </c>
      <c r="L262" s="80">
        <v>0</v>
      </c>
      <c r="M262" s="81">
        <v>0</v>
      </c>
      <c r="N262" s="82">
        <v>0</v>
      </c>
      <c r="O262" s="80">
        <f t="shared" si="41"/>
        <v>0</v>
      </c>
      <c r="P262" s="81">
        <f t="shared" si="42"/>
        <v>0</v>
      </c>
      <c r="Q262" s="82">
        <f t="shared" si="43"/>
        <v>0</v>
      </c>
    </row>
    <row r="263" spans="1:17" ht="17.100000000000001" customHeight="1" x14ac:dyDescent="0.25">
      <c r="A263" s="75">
        <v>5628</v>
      </c>
      <c r="B263" s="76" t="s">
        <v>208</v>
      </c>
      <c r="C263" s="77">
        <v>1</v>
      </c>
      <c r="D263" s="81">
        <v>0</v>
      </c>
      <c r="E263" s="79">
        <v>0</v>
      </c>
      <c r="F263" s="80">
        <v>0</v>
      </c>
      <c r="G263" s="81">
        <v>0</v>
      </c>
      <c r="H263" s="82">
        <v>0</v>
      </c>
      <c r="I263" s="80">
        <v>0</v>
      </c>
      <c r="J263" s="81">
        <v>0</v>
      </c>
      <c r="K263" s="82">
        <v>0</v>
      </c>
      <c r="L263" s="80">
        <v>0</v>
      </c>
      <c r="M263" s="81">
        <v>0</v>
      </c>
      <c r="N263" s="82">
        <v>0</v>
      </c>
      <c r="O263" s="80">
        <f t="shared" si="41"/>
        <v>1</v>
      </c>
      <c r="P263" s="81">
        <f t="shared" si="42"/>
        <v>0</v>
      </c>
      <c r="Q263" s="82">
        <f t="shared" si="43"/>
        <v>0</v>
      </c>
    </row>
    <row r="264" spans="1:17" ht="17.100000000000001" customHeight="1" x14ac:dyDescent="0.25">
      <c r="A264" s="75">
        <v>5629</v>
      </c>
      <c r="B264" s="76" t="s">
        <v>129</v>
      </c>
      <c r="C264" s="77">
        <v>0</v>
      </c>
      <c r="D264" s="81">
        <v>0</v>
      </c>
      <c r="E264" s="79">
        <v>0</v>
      </c>
      <c r="F264" s="80">
        <v>0</v>
      </c>
      <c r="G264" s="81">
        <v>0</v>
      </c>
      <c r="H264" s="82">
        <v>0</v>
      </c>
      <c r="I264" s="80">
        <v>0</v>
      </c>
      <c r="J264" s="81">
        <v>0</v>
      </c>
      <c r="K264" s="82">
        <v>0</v>
      </c>
      <c r="L264" s="80">
        <v>0</v>
      </c>
      <c r="M264" s="81">
        <v>0</v>
      </c>
      <c r="N264" s="82">
        <v>0</v>
      </c>
      <c r="O264" s="80">
        <f t="shared" si="41"/>
        <v>0</v>
      </c>
      <c r="P264" s="81">
        <f t="shared" si="42"/>
        <v>0</v>
      </c>
      <c r="Q264" s="82">
        <f t="shared" si="43"/>
        <v>0</v>
      </c>
    </row>
    <row r="265" spans="1:17" ht="17.100000000000001" customHeight="1" x14ac:dyDescent="0.25">
      <c r="A265" s="75">
        <v>5630</v>
      </c>
      <c r="B265" s="76" t="s">
        <v>136</v>
      </c>
      <c r="C265" s="77">
        <v>0</v>
      </c>
      <c r="D265" s="81">
        <v>0</v>
      </c>
      <c r="E265" s="79">
        <v>0</v>
      </c>
      <c r="F265" s="80">
        <v>0</v>
      </c>
      <c r="G265" s="81">
        <v>0</v>
      </c>
      <c r="H265" s="82">
        <v>0</v>
      </c>
      <c r="I265" s="80">
        <v>0</v>
      </c>
      <c r="J265" s="81">
        <v>0</v>
      </c>
      <c r="K265" s="82">
        <v>0</v>
      </c>
      <c r="L265" s="80">
        <v>0</v>
      </c>
      <c r="M265" s="81">
        <v>0</v>
      </c>
      <c r="N265" s="82">
        <v>0</v>
      </c>
      <c r="O265" s="80">
        <f t="shared" si="41"/>
        <v>0</v>
      </c>
      <c r="P265" s="81">
        <f t="shared" si="42"/>
        <v>0</v>
      </c>
      <c r="Q265" s="82">
        <f t="shared" si="43"/>
        <v>0</v>
      </c>
    </row>
    <row r="266" spans="1:17" ht="17.100000000000001" customHeight="1" x14ac:dyDescent="0.25">
      <c r="A266" s="75">
        <v>5631</v>
      </c>
      <c r="B266" s="76" t="s">
        <v>117</v>
      </c>
      <c r="C266" s="77">
        <v>0</v>
      </c>
      <c r="D266" s="81">
        <v>0</v>
      </c>
      <c r="E266" s="79">
        <v>0</v>
      </c>
      <c r="F266" s="80">
        <v>0</v>
      </c>
      <c r="G266" s="81">
        <v>0</v>
      </c>
      <c r="H266" s="82">
        <v>0</v>
      </c>
      <c r="I266" s="80">
        <v>0</v>
      </c>
      <c r="J266" s="81">
        <v>0</v>
      </c>
      <c r="K266" s="82">
        <v>0</v>
      </c>
      <c r="L266" s="80">
        <v>0</v>
      </c>
      <c r="M266" s="81">
        <v>0</v>
      </c>
      <c r="N266" s="82">
        <v>0</v>
      </c>
      <c r="O266" s="80">
        <f t="shared" si="41"/>
        <v>0</v>
      </c>
      <c r="P266" s="81">
        <f t="shared" si="42"/>
        <v>0</v>
      </c>
      <c r="Q266" s="82">
        <f t="shared" si="43"/>
        <v>0</v>
      </c>
    </row>
    <row r="267" spans="1:17" ht="17.100000000000001" customHeight="1" x14ac:dyDescent="0.25">
      <c r="A267" s="75">
        <v>5632</v>
      </c>
      <c r="B267" s="76" t="s">
        <v>209</v>
      </c>
      <c r="C267" s="77">
        <v>0</v>
      </c>
      <c r="D267" s="81">
        <v>0</v>
      </c>
      <c r="E267" s="79">
        <v>0</v>
      </c>
      <c r="F267" s="80">
        <v>0</v>
      </c>
      <c r="G267" s="81">
        <v>0</v>
      </c>
      <c r="H267" s="82">
        <v>0</v>
      </c>
      <c r="I267" s="80">
        <v>0</v>
      </c>
      <c r="J267" s="81">
        <v>0</v>
      </c>
      <c r="K267" s="82">
        <v>0</v>
      </c>
      <c r="L267" s="80">
        <v>0</v>
      </c>
      <c r="M267" s="81">
        <v>0</v>
      </c>
      <c r="N267" s="82">
        <v>0</v>
      </c>
      <c r="O267" s="80">
        <f t="shared" si="41"/>
        <v>0</v>
      </c>
      <c r="P267" s="81">
        <f t="shared" si="42"/>
        <v>0</v>
      </c>
      <c r="Q267" s="82">
        <f t="shared" si="43"/>
        <v>0</v>
      </c>
    </row>
    <row r="268" spans="1:17" ht="17.100000000000001" customHeight="1" x14ac:dyDescent="0.25">
      <c r="A268" s="75">
        <v>5633</v>
      </c>
      <c r="B268" s="76" t="s">
        <v>210</v>
      </c>
      <c r="C268" s="77">
        <v>0</v>
      </c>
      <c r="D268" s="81">
        <v>0</v>
      </c>
      <c r="E268" s="79">
        <v>0</v>
      </c>
      <c r="F268" s="80">
        <v>0</v>
      </c>
      <c r="G268" s="81">
        <v>0</v>
      </c>
      <c r="H268" s="82">
        <v>0</v>
      </c>
      <c r="I268" s="80">
        <v>0</v>
      </c>
      <c r="J268" s="81">
        <v>0</v>
      </c>
      <c r="K268" s="82">
        <v>0</v>
      </c>
      <c r="L268" s="80">
        <v>0</v>
      </c>
      <c r="M268" s="81">
        <v>0</v>
      </c>
      <c r="N268" s="82">
        <v>0</v>
      </c>
      <c r="O268" s="80">
        <f t="shared" si="41"/>
        <v>0</v>
      </c>
      <c r="P268" s="81">
        <f t="shared" si="42"/>
        <v>0</v>
      </c>
      <c r="Q268" s="82">
        <f t="shared" si="43"/>
        <v>0</v>
      </c>
    </row>
    <row r="269" spans="1:17" ht="17.100000000000001" customHeight="1" x14ac:dyDescent="0.25">
      <c r="A269" s="75">
        <v>5634</v>
      </c>
      <c r="B269" s="76" t="s">
        <v>211</v>
      </c>
      <c r="C269" s="77">
        <v>0</v>
      </c>
      <c r="D269" s="81">
        <v>0</v>
      </c>
      <c r="E269" s="79">
        <v>0</v>
      </c>
      <c r="F269" s="80">
        <v>0</v>
      </c>
      <c r="G269" s="81">
        <v>0</v>
      </c>
      <c r="H269" s="82">
        <v>0</v>
      </c>
      <c r="I269" s="80">
        <v>0</v>
      </c>
      <c r="J269" s="81">
        <v>0</v>
      </c>
      <c r="K269" s="82">
        <v>0</v>
      </c>
      <c r="L269" s="80">
        <v>0</v>
      </c>
      <c r="M269" s="81">
        <v>0</v>
      </c>
      <c r="N269" s="82">
        <v>0</v>
      </c>
      <c r="O269" s="80">
        <f t="shared" si="41"/>
        <v>0</v>
      </c>
      <c r="P269" s="81">
        <f t="shared" si="42"/>
        <v>0</v>
      </c>
      <c r="Q269" s="82">
        <f t="shared" si="43"/>
        <v>0</v>
      </c>
    </row>
    <row r="270" spans="1:17" ht="17.100000000000001" customHeight="1" x14ac:dyDescent="0.25">
      <c r="A270" s="75">
        <v>5635</v>
      </c>
      <c r="B270" s="76" t="s">
        <v>111</v>
      </c>
      <c r="C270" s="77">
        <v>0</v>
      </c>
      <c r="D270" s="81">
        <v>0</v>
      </c>
      <c r="E270" s="79">
        <v>0</v>
      </c>
      <c r="F270" s="80">
        <v>0</v>
      </c>
      <c r="G270" s="81">
        <v>0</v>
      </c>
      <c r="H270" s="82">
        <v>0</v>
      </c>
      <c r="I270" s="80">
        <v>0</v>
      </c>
      <c r="J270" s="81">
        <v>0</v>
      </c>
      <c r="K270" s="82">
        <v>0</v>
      </c>
      <c r="L270" s="80">
        <v>0</v>
      </c>
      <c r="M270" s="81">
        <v>0</v>
      </c>
      <c r="N270" s="82">
        <v>0</v>
      </c>
      <c r="O270" s="80">
        <f t="shared" si="41"/>
        <v>0</v>
      </c>
      <c r="P270" s="81">
        <f t="shared" si="42"/>
        <v>0</v>
      </c>
      <c r="Q270" s="82">
        <f t="shared" si="43"/>
        <v>0</v>
      </c>
    </row>
    <row r="271" spans="1:17" ht="17.100000000000001" customHeight="1" x14ac:dyDescent="0.25">
      <c r="A271" s="75">
        <v>5636</v>
      </c>
      <c r="B271" s="76" t="s">
        <v>212</v>
      </c>
      <c r="C271" s="77">
        <v>0</v>
      </c>
      <c r="D271" s="81">
        <v>0</v>
      </c>
      <c r="E271" s="79">
        <v>0</v>
      </c>
      <c r="F271" s="80">
        <v>0</v>
      </c>
      <c r="G271" s="81">
        <v>0</v>
      </c>
      <c r="H271" s="82">
        <v>0</v>
      </c>
      <c r="I271" s="80">
        <v>0</v>
      </c>
      <c r="J271" s="81">
        <v>0</v>
      </c>
      <c r="K271" s="82">
        <v>0</v>
      </c>
      <c r="L271" s="80">
        <v>0</v>
      </c>
      <c r="M271" s="81">
        <v>0</v>
      </c>
      <c r="N271" s="82">
        <v>0</v>
      </c>
      <c r="O271" s="80">
        <f t="shared" si="41"/>
        <v>0</v>
      </c>
      <c r="P271" s="81">
        <f t="shared" si="42"/>
        <v>0</v>
      </c>
      <c r="Q271" s="82">
        <f t="shared" si="43"/>
        <v>0</v>
      </c>
    </row>
    <row r="272" spans="1:17" ht="17.100000000000001" customHeight="1" x14ac:dyDescent="0.25">
      <c r="A272" s="75">
        <v>5637</v>
      </c>
      <c r="B272" s="76" t="s">
        <v>213</v>
      </c>
      <c r="C272" s="77">
        <v>0</v>
      </c>
      <c r="D272" s="81">
        <v>0</v>
      </c>
      <c r="E272" s="79">
        <v>0</v>
      </c>
      <c r="F272" s="80">
        <v>0</v>
      </c>
      <c r="G272" s="81">
        <v>0</v>
      </c>
      <c r="H272" s="82">
        <v>0</v>
      </c>
      <c r="I272" s="80">
        <v>0</v>
      </c>
      <c r="J272" s="81">
        <v>0</v>
      </c>
      <c r="K272" s="82">
        <v>0</v>
      </c>
      <c r="L272" s="80">
        <v>0</v>
      </c>
      <c r="M272" s="81">
        <v>0</v>
      </c>
      <c r="N272" s="82">
        <v>0</v>
      </c>
      <c r="O272" s="80">
        <f t="shared" si="41"/>
        <v>0</v>
      </c>
      <c r="P272" s="81">
        <f t="shared" si="42"/>
        <v>0</v>
      </c>
      <c r="Q272" s="82">
        <f t="shared" si="43"/>
        <v>0</v>
      </c>
    </row>
    <row r="273" spans="1:17" ht="17.100000000000001" customHeight="1" x14ac:dyDescent="0.25">
      <c r="A273" s="75">
        <v>5638</v>
      </c>
      <c r="B273" s="76" t="s">
        <v>214</v>
      </c>
      <c r="C273" s="77">
        <v>0</v>
      </c>
      <c r="D273" s="81">
        <v>0</v>
      </c>
      <c r="E273" s="79">
        <v>0</v>
      </c>
      <c r="F273" s="80">
        <v>0</v>
      </c>
      <c r="G273" s="81">
        <v>0</v>
      </c>
      <c r="H273" s="82">
        <v>0</v>
      </c>
      <c r="I273" s="80">
        <v>0</v>
      </c>
      <c r="J273" s="81">
        <v>0</v>
      </c>
      <c r="K273" s="82">
        <v>0</v>
      </c>
      <c r="L273" s="80">
        <v>0</v>
      </c>
      <c r="M273" s="81">
        <v>0</v>
      </c>
      <c r="N273" s="82">
        <v>0</v>
      </c>
      <c r="O273" s="80">
        <f t="shared" si="41"/>
        <v>0</v>
      </c>
      <c r="P273" s="81">
        <f t="shared" si="42"/>
        <v>0</v>
      </c>
      <c r="Q273" s="82">
        <f t="shared" si="43"/>
        <v>0</v>
      </c>
    </row>
    <row r="274" spans="1:17" ht="17.100000000000001" customHeight="1" x14ac:dyDescent="0.25">
      <c r="A274" s="75">
        <v>5639</v>
      </c>
      <c r="B274" s="76" t="s">
        <v>215</v>
      </c>
      <c r="C274" s="77">
        <v>0</v>
      </c>
      <c r="D274" s="81">
        <v>0</v>
      </c>
      <c r="E274" s="79">
        <v>0</v>
      </c>
      <c r="F274" s="80">
        <v>0</v>
      </c>
      <c r="G274" s="81">
        <v>0</v>
      </c>
      <c r="H274" s="82">
        <v>0</v>
      </c>
      <c r="I274" s="80">
        <v>0</v>
      </c>
      <c r="J274" s="81">
        <v>0</v>
      </c>
      <c r="K274" s="82">
        <v>0</v>
      </c>
      <c r="L274" s="80">
        <v>0</v>
      </c>
      <c r="M274" s="81">
        <v>0</v>
      </c>
      <c r="N274" s="82">
        <v>0</v>
      </c>
      <c r="O274" s="80">
        <f t="shared" si="41"/>
        <v>0</v>
      </c>
      <c r="P274" s="81">
        <f t="shared" si="42"/>
        <v>0</v>
      </c>
      <c r="Q274" s="82">
        <f t="shared" si="43"/>
        <v>0</v>
      </c>
    </row>
    <row r="275" spans="1:17" ht="17.100000000000001" customHeight="1" x14ac:dyDescent="0.25">
      <c r="A275" s="75">
        <v>5640</v>
      </c>
      <c r="B275" s="76" t="s">
        <v>63</v>
      </c>
      <c r="C275" s="77">
        <v>0</v>
      </c>
      <c r="D275" s="81">
        <v>0</v>
      </c>
      <c r="E275" s="79">
        <v>0</v>
      </c>
      <c r="F275" s="80">
        <v>0</v>
      </c>
      <c r="G275" s="81">
        <v>0</v>
      </c>
      <c r="H275" s="82">
        <v>0</v>
      </c>
      <c r="I275" s="80">
        <v>0</v>
      </c>
      <c r="J275" s="81">
        <v>0</v>
      </c>
      <c r="K275" s="82">
        <v>0</v>
      </c>
      <c r="L275" s="80">
        <v>0</v>
      </c>
      <c r="M275" s="81">
        <v>0</v>
      </c>
      <c r="N275" s="82">
        <v>0</v>
      </c>
      <c r="O275" s="80">
        <f t="shared" si="41"/>
        <v>0</v>
      </c>
      <c r="P275" s="81">
        <f t="shared" si="42"/>
        <v>0</v>
      </c>
      <c r="Q275" s="82">
        <f t="shared" si="43"/>
        <v>0</v>
      </c>
    </row>
    <row r="276" spans="1:17" ht="17.100000000000001" customHeight="1" x14ac:dyDescent="0.25">
      <c r="A276" s="75">
        <v>5641</v>
      </c>
      <c r="B276" s="76" t="s">
        <v>119</v>
      </c>
      <c r="C276" s="77">
        <v>0</v>
      </c>
      <c r="D276" s="81">
        <v>0</v>
      </c>
      <c r="E276" s="79">
        <v>0</v>
      </c>
      <c r="F276" s="80">
        <v>0</v>
      </c>
      <c r="G276" s="81">
        <v>0</v>
      </c>
      <c r="H276" s="82">
        <v>0</v>
      </c>
      <c r="I276" s="80">
        <v>0</v>
      </c>
      <c r="J276" s="81">
        <v>0</v>
      </c>
      <c r="K276" s="82">
        <v>0</v>
      </c>
      <c r="L276" s="80">
        <v>0</v>
      </c>
      <c r="M276" s="81">
        <v>0</v>
      </c>
      <c r="N276" s="82">
        <v>0</v>
      </c>
      <c r="O276" s="80">
        <f t="shared" si="41"/>
        <v>0</v>
      </c>
      <c r="P276" s="81">
        <f t="shared" si="42"/>
        <v>0</v>
      </c>
      <c r="Q276" s="82">
        <f t="shared" si="43"/>
        <v>0</v>
      </c>
    </row>
    <row r="277" spans="1:17" ht="17.100000000000001" customHeight="1" x14ac:dyDescent="0.25">
      <c r="A277" s="75">
        <v>5642</v>
      </c>
      <c r="B277" s="76" t="s">
        <v>145</v>
      </c>
      <c r="C277" s="77">
        <v>0</v>
      </c>
      <c r="D277" s="81">
        <v>0</v>
      </c>
      <c r="E277" s="79">
        <v>0</v>
      </c>
      <c r="F277" s="80">
        <v>0</v>
      </c>
      <c r="G277" s="81">
        <v>0</v>
      </c>
      <c r="H277" s="82">
        <v>0</v>
      </c>
      <c r="I277" s="80">
        <v>0</v>
      </c>
      <c r="J277" s="81">
        <v>0</v>
      </c>
      <c r="K277" s="82">
        <v>0</v>
      </c>
      <c r="L277" s="80">
        <v>0</v>
      </c>
      <c r="M277" s="81">
        <v>0</v>
      </c>
      <c r="N277" s="82">
        <v>0</v>
      </c>
      <c r="O277" s="80">
        <f t="shared" si="41"/>
        <v>0</v>
      </c>
      <c r="P277" s="81">
        <f t="shared" si="42"/>
        <v>0</v>
      </c>
      <c r="Q277" s="82">
        <f t="shared" si="43"/>
        <v>0</v>
      </c>
    </row>
    <row r="278" spans="1:17" ht="17.100000000000001" customHeight="1" x14ac:dyDescent="0.25">
      <c r="A278" s="75">
        <v>5643</v>
      </c>
      <c r="B278" s="76" t="s">
        <v>120</v>
      </c>
      <c r="C278" s="77">
        <v>0</v>
      </c>
      <c r="D278" s="81">
        <v>0</v>
      </c>
      <c r="E278" s="79">
        <v>0</v>
      </c>
      <c r="F278" s="80">
        <v>0</v>
      </c>
      <c r="G278" s="81">
        <v>0</v>
      </c>
      <c r="H278" s="82">
        <v>0</v>
      </c>
      <c r="I278" s="80">
        <v>0</v>
      </c>
      <c r="J278" s="81">
        <v>0</v>
      </c>
      <c r="K278" s="82">
        <v>0</v>
      </c>
      <c r="L278" s="80">
        <v>0</v>
      </c>
      <c r="M278" s="81">
        <v>0</v>
      </c>
      <c r="N278" s="82">
        <v>0</v>
      </c>
      <c r="O278" s="80">
        <f t="shared" si="41"/>
        <v>0</v>
      </c>
      <c r="P278" s="81">
        <f t="shared" si="42"/>
        <v>0</v>
      </c>
      <c r="Q278" s="82">
        <f t="shared" si="43"/>
        <v>0</v>
      </c>
    </row>
    <row r="279" spans="1:17" ht="17.100000000000001" customHeight="1" x14ac:dyDescent="0.25">
      <c r="A279" s="75">
        <v>5644</v>
      </c>
      <c r="B279" s="76" t="s">
        <v>55</v>
      </c>
      <c r="C279" s="77">
        <v>0</v>
      </c>
      <c r="D279" s="81">
        <v>0</v>
      </c>
      <c r="E279" s="79">
        <v>0</v>
      </c>
      <c r="F279" s="80">
        <v>0</v>
      </c>
      <c r="G279" s="81">
        <v>0</v>
      </c>
      <c r="H279" s="82">
        <v>0</v>
      </c>
      <c r="I279" s="80">
        <v>0</v>
      </c>
      <c r="J279" s="81">
        <v>0</v>
      </c>
      <c r="K279" s="82">
        <v>0</v>
      </c>
      <c r="L279" s="80">
        <v>0</v>
      </c>
      <c r="M279" s="81">
        <v>0</v>
      </c>
      <c r="N279" s="82">
        <v>0</v>
      </c>
      <c r="O279" s="80">
        <f t="shared" si="41"/>
        <v>0</v>
      </c>
      <c r="P279" s="81">
        <f t="shared" si="42"/>
        <v>0</v>
      </c>
      <c r="Q279" s="82">
        <f t="shared" si="43"/>
        <v>0</v>
      </c>
    </row>
    <row r="280" spans="1:17" ht="17.100000000000001" customHeight="1" x14ac:dyDescent="0.25">
      <c r="A280" s="75">
        <v>5645</v>
      </c>
      <c r="B280" s="76" t="s">
        <v>216</v>
      </c>
      <c r="C280" s="77">
        <v>0</v>
      </c>
      <c r="D280" s="81">
        <v>0</v>
      </c>
      <c r="E280" s="79">
        <v>0</v>
      </c>
      <c r="F280" s="80">
        <v>0</v>
      </c>
      <c r="G280" s="81">
        <v>0</v>
      </c>
      <c r="H280" s="82">
        <v>0</v>
      </c>
      <c r="I280" s="80">
        <v>0</v>
      </c>
      <c r="J280" s="81">
        <v>0</v>
      </c>
      <c r="K280" s="82">
        <v>0</v>
      </c>
      <c r="L280" s="80">
        <v>0</v>
      </c>
      <c r="M280" s="81">
        <v>0</v>
      </c>
      <c r="N280" s="82">
        <v>0</v>
      </c>
      <c r="O280" s="80">
        <f t="shared" si="41"/>
        <v>0</v>
      </c>
      <c r="P280" s="81">
        <f t="shared" si="42"/>
        <v>0</v>
      </c>
      <c r="Q280" s="82">
        <f t="shared" si="43"/>
        <v>0</v>
      </c>
    </row>
    <row r="281" spans="1:17" ht="30" customHeight="1" thickBot="1" x14ac:dyDescent="0.3">
      <c r="A281" s="36">
        <v>5646</v>
      </c>
      <c r="B281" s="108" t="s">
        <v>217</v>
      </c>
      <c r="C281" s="163">
        <v>0</v>
      </c>
      <c r="D281" s="167">
        <v>0</v>
      </c>
      <c r="E281" s="165">
        <v>0</v>
      </c>
      <c r="F281" s="166">
        <v>0</v>
      </c>
      <c r="G281" s="167">
        <v>0</v>
      </c>
      <c r="H281" s="168">
        <v>0</v>
      </c>
      <c r="I281" s="166">
        <v>0</v>
      </c>
      <c r="J281" s="167">
        <v>0</v>
      </c>
      <c r="K281" s="168">
        <v>0</v>
      </c>
      <c r="L281" s="166">
        <v>0</v>
      </c>
      <c r="M281" s="167">
        <v>0</v>
      </c>
      <c r="N281" s="168">
        <v>0</v>
      </c>
      <c r="O281" s="166">
        <f t="shared" si="41"/>
        <v>0</v>
      </c>
      <c r="P281" s="167">
        <f t="shared" si="42"/>
        <v>0</v>
      </c>
      <c r="Q281" s="168">
        <f t="shared" si="43"/>
        <v>0</v>
      </c>
    </row>
    <row r="282" spans="1:17" ht="17.100000000000001" customHeight="1" thickBot="1" x14ac:dyDescent="0.3">
      <c r="A282" s="171"/>
      <c r="B282" s="172" t="s">
        <v>951</v>
      </c>
      <c r="C282" s="34"/>
      <c r="D282" s="34"/>
      <c r="E282" s="42"/>
      <c r="F282" s="173"/>
      <c r="G282" s="160"/>
      <c r="H282" s="174"/>
      <c r="I282" s="173"/>
      <c r="J282" s="160"/>
      <c r="K282" s="174"/>
      <c r="L282" s="173"/>
      <c r="M282" s="160"/>
      <c r="N282" s="174"/>
      <c r="O282" s="118"/>
      <c r="P282" s="119"/>
      <c r="Q282" s="141"/>
    </row>
    <row r="283" spans="1:17" ht="15.95" customHeight="1" thickBot="1" x14ac:dyDescent="0.3">
      <c r="A283" s="146">
        <v>6100</v>
      </c>
      <c r="B283" s="147" t="s">
        <v>952</v>
      </c>
      <c r="C283" s="63"/>
      <c r="D283" s="63"/>
      <c r="E283" s="64"/>
      <c r="F283" s="169"/>
      <c r="G283" s="149"/>
      <c r="H283" s="170"/>
      <c r="I283" s="169"/>
      <c r="J283" s="149"/>
      <c r="K283" s="170"/>
      <c r="L283" s="169"/>
      <c r="M283" s="149"/>
      <c r="N283" s="170"/>
      <c r="O283" s="125"/>
      <c r="P283" s="126"/>
      <c r="Q283" s="143"/>
    </row>
    <row r="284" spans="1:17" ht="17.100000000000001" customHeight="1" x14ac:dyDescent="0.25">
      <c r="A284" s="36">
        <v>6101</v>
      </c>
      <c r="B284" s="108" t="s">
        <v>136</v>
      </c>
      <c r="C284" s="38">
        <v>0</v>
      </c>
      <c r="D284" s="39">
        <v>0</v>
      </c>
      <c r="E284" s="40">
        <v>0</v>
      </c>
      <c r="F284" s="175">
        <v>0</v>
      </c>
      <c r="G284" s="46">
        <v>0</v>
      </c>
      <c r="H284" s="74">
        <v>0</v>
      </c>
      <c r="I284" s="73">
        <v>0</v>
      </c>
      <c r="J284" s="46">
        <v>0</v>
      </c>
      <c r="K284" s="74">
        <v>0</v>
      </c>
      <c r="L284" s="73">
        <v>0</v>
      </c>
      <c r="M284" s="46">
        <v>0</v>
      </c>
      <c r="N284" s="74">
        <v>0</v>
      </c>
      <c r="O284" s="112">
        <f t="shared" ref="O284:O293" si="44">C284+F284-I284-L284</f>
        <v>0</v>
      </c>
      <c r="P284" s="39">
        <f t="shared" ref="P284:P293" si="45">D284+G284-J284-M284</f>
        <v>0</v>
      </c>
      <c r="Q284" s="113">
        <f t="shared" ref="Q284:Q293" si="46">E284+H284-K284-N284</f>
        <v>0</v>
      </c>
    </row>
    <row r="285" spans="1:17" ht="17.100000000000001" customHeight="1" x14ac:dyDescent="0.25">
      <c r="A285" s="75">
        <v>6102</v>
      </c>
      <c r="B285" s="76" t="s">
        <v>219</v>
      </c>
      <c r="C285" s="77">
        <v>0</v>
      </c>
      <c r="D285" s="81">
        <v>0</v>
      </c>
      <c r="E285" s="79">
        <v>0</v>
      </c>
      <c r="F285" s="176">
        <v>0</v>
      </c>
      <c r="G285" s="81">
        <v>0</v>
      </c>
      <c r="H285" s="82">
        <v>0</v>
      </c>
      <c r="I285" s="80">
        <v>0</v>
      </c>
      <c r="J285" s="81">
        <v>0</v>
      </c>
      <c r="K285" s="82">
        <v>0</v>
      </c>
      <c r="L285" s="80">
        <v>0</v>
      </c>
      <c r="M285" s="81">
        <v>0</v>
      </c>
      <c r="N285" s="82">
        <v>0</v>
      </c>
      <c r="O285" s="80">
        <f t="shared" si="44"/>
        <v>0</v>
      </c>
      <c r="P285" s="81">
        <f t="shared" si="45"/>
        <v>0</v>
      </c>
      <c r="Q285" s="82">
        <f t="shared" si="46"/>
        <v>0</v>
      </c>
    </row>
    <row r="286" spans="1:17" ht="17.100000000000001" customHeight="1" x14ac:dyDescent="0.25">
      <c r="A286" s="75">
        <v>6103</v>
      </c>
      <c r="B286" s="76" t="s">
        <v>132</v>
      </c>
      <c r="C286" s="77">
        <v>1</v>
      </c>
      <c r="D286" s="81">
        <v>0</v>
      </c>
      <c r="E286" s="79">
        <v>0</v>
      </c>
      <c r="F286" s="176">
        <v>0</v>
      </c>
      <c r="G286" s="81">
        <v>0</v>
      </c>
      <c r="H286" s="82">
        <v>0</v>
      </c>
      <c r="I286" s="80">
        <v>0</v>
      </c>
      <c r="J286" s="81">
        <v>0</v>
      </c>
      <c r="K286" s="82">
        <v>0</v>
      </c>
      <c r="L286" s="80">
        <v>0</v>
      </c>
      <c r="M286" s="81">
        <v>0</v>
      </c>
      <c r="N286" s="82">
        <v>0</v>
      </c>
      <c r="O286" s="80">
        <f t="shared" si="44"/>
        <v>1</v>
      </c>
      <c r="P286" s="81">
        <f t="shared" si="45"/>
        <v>0</v>
      </c>
      <c r="Q286" s="82">
        <f t="shared" si="46"/>
        <v>0</v>
      </c>
    </row>
    <row r="287" spans="1:17" ht="17.100000000000001" customHeight="1" x14ac:dyDescent="0.25">
      <c r="A287" s="75">
        <v>6104</v>
      </c>
      <c r="B287" s="76" t="s">
        <v>116</v>
      </c>
      <c r="C287" s="77">
        <v>0</v>
      </c>
      <c r="D287" s="81">
        <v>0</v>
      </c>
      <c r="E287" s="79">
        <v>0</v>
      </c>
      <c r="F287" s="176">
        <v>0</v>
      </c>
      <c r="G287" s="81">
        <v>0</v>
      </c>
      <c r="H287" s="82">
        <v>0</v>
      </c>
      <c r="I287" s="80">
        <v>0</v>
      </c>
      <c r="J287" s="81">
        <v>0</v>
      </c>
      <c r="K287" s="82">
        <v>0</v>
      </c>
      <c r="L287" s="80">
        <v>0</v>
      </c>
      <c r="M287" s="81">
        <v>0</v>
      </c>
      <c r="N287" s="82">
        <v>0</v>
      </c>
      <c r="O287" s="80">
        <f t="shared" si="44"/>
        <v>0</v>
      </c>
      <c r="P287" s="81">
        <f t="shared" si="45"/>
        <v>0</v>
      </c>
      <c r="Q287" s="82">
        <f t="shared" si="46"/>
        <v>0</v>
      </c>
    </row>
    <row r="288" spans="1:17" ht="17.100000000000001" customHeight="1" x14ac:dyDescent="0.25">
      <c r="A288" s="75">
        <v>6105</v>
      </c>
      <c r="B288" s="76" t="s">
        <v>220</v>
      </c>
      <c r="C288" s="77">
        <v>0</v>
      </c>
      <c r="D288" s="81">
        <v>0</v>
      </c>
      <c r="E288" s="79">
        <v>0</v>
      </c>
      <c r="F288" s="176">
        <v>0</v>
      </c>
      <c r="G288" s="81">
        <v>0</v>
      </c>
      <c r="H288" s="82">
        <v>0</v>
      </c>
      <c r="I288" s="80">
        <v>0</v>
      </c>
      <c r="J288" s="81">
        <v>0</v>
      </c>
      <c r="K288" s="82">
        <v>0</v>
      </c>
      <c r="L288" s="80">
        <v>0</v>
      </c>
      <c r="M288" s="81">
        <v>0</v>
      </c>
      <c r="N288" s="82">
        <v>0</v>
      </c>
      <c r="O288" s="80">
        <f t="shared" si="44"/>
        <v>0</v>
      </c>
      <c r="P288" s="81">
        <f t="shared" si="45"/>
        <v>0</v>
      </c>
      <c r="Q288" s="82">
        <f t="shared" si="46"/>
        <v>0</v>
      </c>
    </row>
    <row r="289" spans="1:17" ht="17.100000000000001" customHeight="1" x14ac:dyDescent="0.25">
      <c r="A289" s="75">
        <v>6106</v>
      </c>
      <c r="B289" s="76" t="s">
        <v>114</v>
      </c>
      <c r="C289" s="77">
        <v>1</v>
      </c>
      <c r="D289" s="81">
        <v>0</v>
      </c>
      <c r="E289" s="79">
        <v>0</v>
      </c>
      <c r="F289" s="176">
        <v>0</v>
      </c>
      <c r="G289" s="81">
        <v>0</v>
      </c>
      <c r="H289" s="82">
        <v>0</v>
      </c>
      <c r="I289" s="80">
        <v>0</v>
      </c>
      <c r="J289" s="81">
        <v>0</v>
      </c>
      <c r="K289" s="82">
        <v>0</v>
      </c>
      <c r="L289" s="80">
        <v>0</v>
      </c>
      <c r="M289" s="81">
        <v>0</v>
      </c>
      <c r="N289" s="82">
        <v>0</v>
      </c>
      <c r="O289" s="80">
        <f t="shared" si="44"/>
        <v>1</v>
      </c>
      <c r="P289" s="81">
        <f t="shared" si="45"/>
        <v>0</v>
      </c>
      <c r="Q289" s="82">
        <f t="shared" si="46"/>
        <v>0</v>
      </c>
    </row>
    <row r="290" spans="1:17" ht="17.100000000000001" customHeight="1" x14ac:dyDescent="0.25">
      <c r="A290" s="75">
        <v>6107</v>
      </c>
      <c r="B290" s="76" t="s">
        <v>221</v>
      </c>
      <c r="C290" s="77">
        <v>2</v>
      </c>
      <c r="D290" s="81">
        <v>0</v>
      </c>
      <c r="E290" s="79">
        <v>0</v>
      </c>
      <c r="F290" s="176">
        <v>0</v>
      </c>
      <c r="G290" s="81">
        <v>0</v>
      </c>
      <c r="H290" s="82">
        <v>0</v>
      </c>
      <c r="I290" s="80">
        <v>0</v>
      </c>
      <c r="J290" s="81">
        <v>0</v>
      </c>
      <c r="K290" s="82">
        <v>0</v>
      </c>
      <c r="L290" s="80">
        <v>0</v>
      </c>
      <c r="M290" s="81">
        <v>0</v>
      </c>
      <c r="N290" s="82">
        <v>0</v>
      </c>
      <c r="O290" s="80">
        <f t="shared" si="44"/>
        <v>2</v>
      </c>
      <c r="P290" s="81">
        <f t="shared" si="45"/>
        <v>0</v>
      </c>
      <c r="Q290" s="82">
        <f t="shared" si="46"/>
        <v>0</v>
      </c>
    </row>
    <row r="291" spans="1:17" ht="17.100000000000001" customHeight="1" x14ac:dyDescent="0.25">
      <c r="A291" s="75">
        <v>6108</v>
      </c>
      <c r="B291" s="177" t="s">
        <v>222</v>
      </c>
      <c r="C291" s="77">
        <v>17</v>
      </c>
      <c r="D291" s="81">
        <v>1</v>
      </c>
      <c r="E291" s="79">
        <v>1</v>
      </c>
      <c r="F291" s="176">
        <v>0</v>
      </c>
      <c r="G291" s="81">
        <v>0</v>
      </c>
      <c r="H291" s="82">
        <v>0</v>
      </c>
      <c r="I291" s="80">
        <v>0</v>
      </c>
      <c r="J291" s="81">
        <v>0</v>
      </c>
      <c r="K291" s="82">
        <v>0</v>
      </c>
      <c r="L291" s="176">
        <v>0</v>
      </c>
      <c r="M291" s="81">
        <v>0</v>
      </c>
      <c r="N291" s="82">
        <v>0</v>
      </c>
      <c r="O291" s="80">
        <f t="shared" si="44"/>
        <v>17</v>
      </c>
      <c r="P291" s="81">
        <f t="shared" si="45"/>
        <v>1</v>
      </c>
      <c r="Q291" s="82">
        <f t="shared" si="46"/>
        <v>1</v>
      </c>
    </row>
    <row r="292" spans="1:17" ht="17.100000000000001" customHeight="1" x14ac:dyDescent="0.25">
      <c r="A292" s="75">
        <v>6109</v>
      </c>
      <c r="B292" s="76" t="s">
        <v>223</v>
      </c>
      <c r="C292" s="77">
        <v>0</v>
      </c>
      <c r="D292" s="81">
        <v>0</v>
      </c>
      <c r="E292" s="79">
        <v>0</v>
      </c>
      <c r="F292" s="176">
        <v>0</v>
      </c>
      <c r="G292" s="81">
        <v>0</v>
      </c>
      <c r="H292" s="82">
        <v>0</v>
      </c>
      <c r="I292" s="80">
        <v>0</v>
      </c>
      <c r="J292" s="81">
        <v>0</v>
      </c>
      <c r="K292" s="82">
        <v>0</v>
      </c>
      <c r="L292" s="176">
        <v>0</v>
      </c>
      <c r="M292" s="81">
        <v>0</v>
      </c>
      <c r="N292" s="82">
        <v>0</v>
      </c>
      <c r="O292" s="80">
        <f t="shared" si="44"/>
        <v>0</v>
      </c>
      <c r="P292" s="81">
        <f t="shared" si="45"/>
        <v>0</v>
      </c>
      <c r="Q292" s="82">
        <f t="shared" si="46"/>
        <v>0</v>
      </c>
    </row>
    <row r="293" spans="1:17" ht="30" customHeight="1" thickBot="1" x14ac:dyDescent="0.3">
      <c r="A293" s="36">
        <v>6110</v>
      </c>
      <c r="B293" s="108" t="s">
        <v>224</v>
      </c>
      <c r="C293" s="38">
        <v>0</v>
      </c>
      <c r="D293" s="39">
        <v>0</v>
      </c>
      <c r="E293" s="40">
        <v>0</v>
      </c>
      <c r="F293" s="178">
        <v>0</v>
      </c>
      <c r="G293" s="39">
        <v>0</v>
      </c>
      <c r="H293" s="113">
        <v>0</v>
      </c>
      <c r="I293" s="112">
        <v>0</v>
      </c>
      <c r="J293" s="39">
        <v>0</v>
      </c>
      <c r="K293" s="113">
        <v>0</v>
      </c>
      <c r="L293" s="178">
        <v>0</v>
      </c>
      <c r="M293" s="39">
        <v>0</v>
      </c>
      <c r="N293" s="113">
        <v>0</v>
      </c>
      <c r="O293" s="112">
        <f t="shared" si="44"/>
        <v>0</v>
      </c>
      <c r="P293" s="39">
        <f t="shared" si="45"/>
        <v>0</v>
      </c>
      <c r="Q293" s="113">
        <f t="shared" si="46"/>
        <v>0</v>
      </c>
    </row>
    <row r="294" spans="1:17" ht="17.100000000000001" customHeight="1" thickBot="1" x14ac:dyDescent="0.3">
      <c r="A294" s="146">
        <v>6200</v>
      </c>
      <c r="B294" s="147" t="s">
        <v>953</v>
      </c>
      <c r="C294" s="63"/>
      <c r="D294" s="63"/>
      <c r="E294" s="64"/>
      <c r="F294" s="179"/>
      <c r="G294" s="149"/>
      <c r="H294" s="170"/>
      <c r="I294" s="169"/>
      <c r="J294" s="149"/>
      <c r="K294" s="170"/>
      <c r="L294" s="179"/>
      <c r="M294" s="149"/>
      <c r="N294" s="170"/>
      <c r="O294" s="125"/>
      <c r="P294" s="126"/>
      <c r="Q294" s="143"/>
    </row>
    <row r="295" spans="1:17" ht="17.100000000000001" customHeight="1" x14ac:dyDescent="0.25">
      <c r="A295" s="36">
        <v>6201</v>
      </c>
      <c r="B295" s="108" t="s">
        <v>144</v>
      </c>
      <c r="C295" s="38">
        <v>0</v>
      </c>
      <c r="D295" s="39">
        <v>0</v>
      </c>
      <c r="E295" s="40">
        <v>0</v>
      </c>
      <c r="F295" s="180">
        <v>0</v>
      </c>
      <c r="G295" s="181">
        <v>0</v>
      </c>
      <c r="H295" s="182">
        <v>0</v>
      </c>
      <c r="I295" s="187">
        <v>0</v>
      </c>
      <c r="J295" s="181">
        <v>0</v>
      </c>
      <c r="K295" s="182">
        <v>0</v>
      </c>
      <c r="L295" s="180">
        <v>0</v>
      </c>
      <c r="M295" s="181">
        <v>0</v>
      </c>
      <c r="N295" s="182">
        <v>0</v>
      </c>
      <c r="O295" s="112">
        <f t="shared" ref="O295:O317" si="47">C295+F295-I295-L295</f>
        <v>0</v>
      </c>
      <c r="P295" s="39">
        <f t="shared" ref="P295:P317" si="48">D295+G295-J295-M295</f>
        <v>0</v>
      </c>
      <c r="Q295" s="113">
        <f t="shared" ref="Q295:Q317" si="49">E295+H295-K295-N295</f>
        <v>0</v>
      </c>
    </row>
    <row r="296" spans="1:17" ht="17.100000000000001" customHeight="1" x14ac:dyDescent="0.25">
      <c r="A296" s="75">
        <v>6202</v>
      </c>
      <c r="B296" s="76" t="s">
        <v>63</v>
      </c>
      <c r="C296" s="77">
        <v>0</v>
      </c>
      <c r="D296" s="81">
        <v>0</v>
      </c>
      <c r="E296" s="79">
        <v>0</v>
      </c>
      <c r="F296" s="183">
        <v>0</v>
      </c>
      <c r="G296" s="134">
        <v>0</v>
      </c>
      <c r="H296" s="90">
        <v>0</v>
      </c>
      <c r="I296" s="133">
        <v>0</v>
      </c>
      <c r="J296" s="134">
        <v>0</v>
      </c>
      <c r="K296" s="90">
        <v>0</v>
      </c>
      <c r="L296" s="183">
        <v>0</v>
      </c>
      <c r="M296" s="134">
        <v>0</v>
      </c>
      <c r="N296" s="90">
        <v>0</v>
      </c>
      <c r="O296" s="80">
        <f t="shared" si="47"/>
        <v>0</v>
      </c>
      <c r="P296" s="81">
        <f t="shared" si="48"/>
        <v>0</v>
      </c>
      <c r="Q296" s="82">
        <f t="shared" si="49"/>
        <v>0</v>
      </c>
    </row>
    <row r="297" spans="1:17" ht="17.100000000000001" customHeight="1" x14ac:dyDescent="0.25">
      <c r="A297" s="75">
        <v>6203</v>
      </c>
      <c r="B297" s="76" t="s">
        <v>119</v>
      </c>
      <c r="C297" s="77">
        <v>3</v>
      </c>
      <c r="D297" s="81">
        <v>0</v>
      </c>
      <c r="E297" s="79">
        <v>0</v>
      </c>
      <c r="F297" s="183">
        <v>0</v>
      </c>
      <c r="G297" s="134">
        <v>0</v>
      </c>
      <c r="H297" s="90">
        <v>0</v>
      </c>
      <c r="I297" s="133">
        <v>0</v>
      </c>
      <c r="J297" s="134">
        <v>0</v>
      </c>
      <c r="K297" s="90">
        <v>0</v>
      </c>
      <c r="L297" s="183">
        <v>0</v>
      </c>
      <c r="M297" s="134">
        <v>0</v>
      </c>
      <c r="N297" s="90">
        <v>0</v>
      </c>
      <c r="O297" s="80">
        <f t="shared" si="47"/>
        <v>3</v>
      </c>
      <c r="P297" s="81">
        <f t="shared" si="48"/>
        <v>0</v>
      </c>
      <c r="Q297" s="82">
        <f t="shared" si="49"/>
        <v>0</v>
      </c>
    </row>
    <row r="298" spans="1:17" ht="17.100000000000001" customHeight="1" x14ac:dyDescent="0.25">
      <c r="A298" s="75">
        <v>6204</v>
      </c>
      <c r="B298" s="76" t="s">
        <v>145</v>
      </c>
      <c r="C298" s="77">
        <v>0</v>
      </c>
      <c r="D298" s="81">
        <v>0</v>
      </c>
      <c r="E298" s="79">
        <v>0</v>
      </c>
      <c r="F298" s="183">
        <v>0</v>
      </c>
      <c r="G298" s="134">
        <v>0</v>
      </c>
      <c r="H298" s="90">
        <v>0</v>
      </c>
      <c r="I298" s="133">
        <v>0</v>
      </c>
      <c r="J298" s="134">
        <v>0</v>
      </c>
      <c r="K298" s="90">
        <v>0</v>
      </c>
      <c r="L298" s="183">
        <v>0</v>
      </c>
      <c r="M298" s="134">
        <v>0</v>
      </c>
      <c r="N298" s="90">
        <v>0</v>
      </c>
      <c r="O298" s="80">
        <f t="shared" si="47"/>
        <v>0</v>
      </c>
      <c r="P298" s="81">
        <f t="shared" si="48"/>
        <v>0</v>
      </c>
      <c r="Q298" s="82">
        <f t="shared" si="49"/>
        <v>0</v>
      </c>
    </row>
    <row r="299" spans="1:17" ht="17.100000000000001" customHeight="1" x14ac:dyDescent="0.25">
      <c r="A299" s="75">
        <v>6205</v>
      </c>
      <c r="B299" s="76" t="s">
        <v>120</v>
      </c>
      <c r="C299" s="77">
        <v>1</v>
      </c>
      <c r="D299" s="81">
        <v>0</v>
      </c>
      <c r="E299" s="79">
        <v>0</v>
      </c>
      <c r="F299" s="183">
        <v>0</v>
      </c>
      <c r="G299" s="134">
        <v>0</v>
      </c>
      <c r="H299" s="90">
        <v>0</v>
      </c>
      <c r="I299" s="133">
        <v>0</v>
      </c>
      <c r="J299" s="134">
        <v>0</v>
      </c>
      <c r="K299" s="90">
        <v>0</v>
      </c>
      <c r="L299" s="183">
        <v>0</v>
      </c>
      <c r="M299" s="134">
        <v>0</v>
      </c>
      <c r="N299" s="90">
        <v>0</v>
      </c>
      <c r="O299" s="80">
        <f t="shared" si="47"/>
        <v>1</v>
      </c>
      <c r="P299" s="81">
        <f t="shared" si="48"/>
        <v>0</v>
      </c>
      <c r="Q299" s="82">
        <f t="shared" si="49"/>
        <v>0</v>
      </c>
    </row>
    <row r="300" spans="1:17" ht="17.100000000000001" customHeight="1" x14ac:dyDescent="0.25">
      <c r="A300" s="75">
        <v>6206</v>
      </c>
      <c r="B300" s="177" t="s">
        <v>55</v>
      </c>
      <c r="C300" s="77">
        <v>6</v>
      </c>
      <c r="D300" s="81">
        <v>0</v>
      </c>
      <c r="E300" s="79">
        <v>1</v>
      </c>
      <c r="F300" s="183">
        <v>0</v>
      </c>
      <c r="G300" s="134">
        <v>0</v>
      </c>
      <c r="H300" s="90">
        <v>0</v>
      </c>
      <c r="I300" s="133">
        <v>0</v>
      </c>
      <c r="J300" s="134">
        <v>0</v>
      </c>
      <c r="K300" s="90">
        <v>0</v>
      </c>
      <c r="L300" s="183">
        <v>0</v>
      </c>
      <c r="M300" s="134">
        <v>0</v>
      </c>
      <c r="N300" s="90">
        <v>0</v>
      </c>
      <c r="O300" s="80">
        <f t="shared" si="47"/>
        <v>6</v>
      </c>
      <c r="P300" s="81">
        <f t="shared" si="48"/>
        <v>0</v>
      </c>
      <c r="Q300" s="82">
        <f t="shared" si="49"/>
        <v>1</v>
      </c>
    </row>
    <row r="301" spans="1:17" ht="17.100000000000001" customHeight="1" x14ac:dyDescent="0.25">
      <c r="A301" s="75">
        <v>6207</v>
      </c>
      <c r="B301" s="76" t="s">
        <v>65</v>
      </c>
      <c r="C301" s="77">
        <v>2</v>
      </c>
      <c r="D301" s="81">
        <v>0</v>
      </c>
      <c r="E301" s="79">
        <v>0</v>
      </c>
      <c r="F301" s="183">
        <v>0</v>
      </c>
      <c r="G301" s="134">
        <v>0</v>
      </c>
      <c r="H301" s="90">
        <v>0</v>
      </c>
      <c r="I301" s="133">
        <v>0</v>
      </c>
      <c r="J301" s="134">
        <v>0</v>
      </c>
      <c r="K301" s="90">
        <v>0</v>
      </c>
      <c r="L301" s="183">
        <v>0</v>
      </c>
      <c r="M301" s="134">
        <v>0</v>
      </c>
      <c r="N301" s="90">
        <v>0</v>
      </c>
      <c r="O301" s="80">
        <f t="shared" si="47"/>
        <v>2</v>
      </c>
      <c r="P301" s="81">
        <f t="shared" si="48"/>
        <v>0</v>
      </c>
      <c r="Q301" s="82">
        <f t="shared" si="49"/>
        <v>0</v>
      </c>
    </row>
    <row r="302" spans="1:17" ht="17.100000000000001" customHeight="1" x14ac:dyDescent="0.25">
      <c r="A302" s="75">
        <v>6208</v>
      </c>
      <c r="B302" s="76" t="s">
        <v>146</v>
      </c>
      <c r="C302" s="77">
        <v>0</v>
      </c>
      <c r="D302" s="81">
        <v>0</v>
      </c>
      <c r="E302" s="79">
        <v>0</v>
      </c>
      <c r="F302" s="183">
        <v>0</v>
      </c>
      <c r="G302" s="134">
        <v>0</v>
      </c>
      <c r="H302" s="90">
        <v>0</v>
      </c>
      <c r="I302" s="133">
        <v>0</v>
      </c>
      <c r="J302" s="134">
        <v>0</v>
      </c>
      <c r="K302" s="90">
        <v>0</v>
      </c>
      <c r="L302" s="183">
        <v>0</v>
      </c>
      <c r="M302" s="134">
        <v>0</v>
      </c>
      <c r="N302" s="90">
        <v>0</v>
      </c>
      <c r="O302" s="80">
        <f t="shared" si="47"/>
        <v>0</v>
      </c>
      <c r="P302" s="81">
        <f t="shared" si="48"/>
        <v>0</v>
      </c>
      <c r="Q302" s="82">
        <f t="shared" si="49"/>
        <v>0</v>
      </c>
    </row>
    <row r="303" spans="1:17" ht="17.100000000000001" customHeight="1" x14ac:dyDescent="0.25">
      <c r="A303" s="75">
        <v>6209</v>
      </c>
      <c r="B303" s="76" t="s">
        <v>147</v>
      </c>
      <c r="C303" s="77">
        <v>0</v>
      </c>
      <c r="D303" s="81">
        <v>0</v>
      </c>
      <c r="E303" s="79">
        <v>0</v>
      </c>
      <c r="F303" s="183">
        <v>0</v>
      </c>
      <c r="G303" s="134">
        <v>0</v>
      </c>
      <c r="H303" s="90">
        <v>0</v>
      </c>
      <c r="I303" s="133">
        <v>0</v>
      </c>
      <c r="J303" s="134">
        <v>0</v>
      </c>
      <c r="K303" s="90">
        <v>0</v>
      </c>
      <c r="L303" s="183">
        <v>0</v>
      </c>
      <c r="M303" s="134">
        <v>0</v>
      </c>
      <c r="N303" s="90">
        <v>0</v>
      </c>
      <c r="O303" s="80">
        <f t="shared" si="47"/>
        <v>0</v>
      </c>
      <c r="P303" s="81">
        <f t="shared" si="48"/>
        <v>0</v>
      </c>
      <c r="Q303" s="82">
        <f t="shared" si="49"/>
        <v>0</v>
      </c>
    </row>
    <row r="304" spans="1:17" ht="17.100000000000001" customHeight="1" x14ac:dyDescent="0.25">
      <c r="A304" s="75">
        <v>6210</v>
      </c>
      <c r="B304" s="76" t="s">
        <v>148</v>
      </c>
      <c r="C304" s="77">
        <v>0</v>
      </c>
      <c r="D304" s="81">
        <v>0</v>
      </c>
      <c r="E304" s="79">
        <v>0</v>
      </c>
      <c r="F304" s="183">
        <v>0</v>
      </c>
      <c r="G304" s="134">
        <v>0</v>
      </c>
      <c r="H304" s="90">
        <v>0</v>
      </c>
      <c r="I304" s="133">
        <v>0</v>
      </c>
      <c r="J304" s="134">
        <v>0</v>
      </c>
      <c r="K304" s="90">
        <v>0</v>
      </c>
      <c r="L304" s="183">
        <v>0</v>
      </c>
      <c r="M304" s="134">
        <v>0</v>
      </c>
      <c r="N304" s="90">
        <v>0</v>
      </c>
      <c r="O304" s="80">
        <f t="shared" si="47"/>
        <v>0</v>
      </c>
      <c r="P304" s="81">
        <f t="shared" si="48"/>
        <v>0</v>
      </c>
      <c r="Q304" s="82">
        <f t="shared" si="49"/>
        <v>0</v>
      </c>
    </row>
    <row r="305" spans="1:17" ht="17.100000000000001" customHeight="1" x14ac:dyDescent="0.25">
      <c r="A305" s="75">
        <v>6211</v>
      </c>
      <c r="B305" s="76" t="s">
        <v>149</v>
      </c>
      <c r="C305" s="77">
        <v>0</v>
      </c>
      <c r="D305" s="81">
        <v>0</v>
      </c>
      <c r="E305" s="79">
        <v>0</v>
      </c>
      <c r="F305" s="183">
        <v>0</v>
      </c>
      <c r="G305" s="134">
        <v>0</v>
      </c>
      <c r="H305" s="90">
        <v>0</v>
      </c>
      <c r="I305" s="133">
        <v>0</v>
      </c>
      <c r="J305" s="134">
        <v>0</v>
      </c>
      <c r="K305" s="90">
        <v>0</v>
      </c>
      <c r="L305" s="183">
        <v>0</v>
      </c>
      <c r="M305" s="134">
        <v>0</v>
      </c>
      <c r="N305" s="90">
        <v>0</v>
      </c>
      <c r="O305" s="80">
        <f t="shared" si="47"/>
        <v>0</v>
      </c>
      <c r="P305" s="81">
        <f t="shared" si="48"/>
        <v>0</v>
      </c>
      <c r="Q305" s="82">
        <f t="shared" si="49"/>
        <v>0</v>
      </c>
    </row>
    <row r="306" spans="1:17" ht="17.100000000000001" customHeight="1" x14ac:dyDescent="0.25">
      <c r="A306" s="75">
        <v>6212</v>
      </c>
      <c r="B306" s="76" t="s">
        <v>150</v>
      </c>
      <c r="C306" s="77">
        <v>0</v>
      </c>
      <c r="D306" s="81">
        <v>0</v>
      </c>
      <c r="E306" s="79">
        <v>0</v>
      </c>
      <c r="F306" s="183">
        <v>0</v>
      </c>
      <c r="G306" s="134">
        <v>0</v>
      </c>
      <c r="H306" s="90">
        <v>0</v>
      </c>
      <c r="I306" s="133">
        <v>0</v>
      </c>
      <c r="J306" s="134">
        <v>0</v>
      </c>
      <c r="K306" s="90">
        <v>0</v>
      </c>
      <c r="L306" s="183">
        <v>0</v>
      </c>
      <c r="M306" s="134">
        <v>0</v>
      </c>
      <c r="N306" s="90">
        <v>0</v>
      </c>
      <c r="O306" s="80">
        <f t="shared" si="47"/>
        <v>0</v>
      </c>
      <c r="P306" s="81">
        <f t="shared" si="48"/>
        <v>0</v>
      </c>
      <c r="Q306" s="82">
        <f t="shared" si="49"/>
        <v>0</v>
      </c>
    </row>
    <row r="307" spans="1:17" ht="17.100000000000001" customHeight="1" x14ac:dyDescent="0.25">
      <c r="A307" s="75">
        <v>6213</v>
      </c>
      <c r="B307" s="76" t="s">
        <v>151</v>
      </c>
      <c r="C307" s="77">
        <v>0</v>
      </c>
      <c r="D307" s="81">
        <v>0</v>
      </c>
      <c r="E307" s="79">
        <v>0</v>
      </c>
      <c r="F307" s="183">
        <v>0</v>
      </c>
      <c r="G307" s="134">
        <v>0</v>
      </c>
      <c r="H307" s="90">
        <v>0</v>
      </c>
      <c r="I307" s="133">
        <v>0</v>
      </c>
      <c r="J307" s="134">
        <v>0</v>
      </c>
      <c r="K307" s="90">
        <v>0</v>
      </c>
      <c r="L307" s="183">
        <v>0</v>
      </c>
      <c r="M307" s="134">
        <v>0</v>
      </c>
      <c r="N307" s="90">
        <v>0</v>
      </c>
      <c r="O307" s="80">
        <f t="shared" si="47"/>
        <v>0</v>
      </c>
      <c r="P307" s="81">
        <f t="shared" si="48"/>
        <v>0</v>
      </c>
      <c r="Q307" s="82">
        <f t="shared" si="49"/>
        <v>0</v>
      </c>
    </row>
    <row r="308" spans="1:17" ht="17.100000000000001" customHeight="1" x14ac:dyDescent="0.25">
      <c r="A308" s="75">
        <v>6214</v>
      </c>
      <c r="B308" s="76" t="s">
        <v>59</v>
      </c>
      <c r="C308" s="77">
        <v>0</v>
      </c>
      <c r="D308" s="81">
        <v>0</v>
      </c>
      <c r="E308" s="79">
        <v>0</v>
      </c>
      <c r="F308" s="183">
        <v>0</v>
      </c>
      <c r="G308" s="134">
        <v>0</v>
      </c>
      <c r="H308" s="90">
        <v>0</v>
      </c>
      <c r="I308" s="133">
        <v>0</v>
      </c>
      <c r="J308" s="134">
        <v>0</v>
      </c>
      <c r="K308" s="90">
        <v>0</v>
      </c>
      <c r="L308" s="183">
        <v>0</v>
      </c>
      <c r="M308" s="134">
        <v>0</v>
      </c>
      <c r="N308" s="90">
        <v>0</v>
      </c>
      <c r="O308" s="80">
        <f t="shared" si="47"/>
        <v>0</v>
      </c>
      <c r="P308" s="81">
        <f t="shared" si="48"/>
        <v>0</v>
      </c>
      <c r="Q308" s="82">
        <f t="shared" si="49"/>
        <v>0</v>
      </c>
    </row>
    <row r="309" spans="1:17" ht="17.100000000000001" customHeight="1" x14ac:dyDescent="0.25">
      <c r="A309" s="75">
        <v>6215</v>
      </c>
      <c r="B309" s="76" t="s">
        <v>60</v>
      </c>
      <c r="C309" s="77">
        <v>0</v>
      </c>
      <c r="D309" s="81">
        <v>0</v>
      </c>
      <c r="E309" s="79">
        <v>0</v>
      </c>
      <c r="F309" s="183">
        <v>0</v>
      </c>
      <c r="G309" s="134">
        <v>0</v>
      </c>
      <c r="H309" s="90">
        <v>0</v>
      </c>
      <c r="I309" s="133">
        <v>0</v>
      </c>
      <c r="J309" s="134">
        <v>0</v>
      </c>
      <c r="K309" s="90">
        <v>0</v>
      </c>
      <c r="L309" s="183">
        <v>0</v>
      </c>
      <c r="M309" s="134">
        <v>0</v>
      </c>
      <c r="N309" s="90">
        <v>0</v>
      </c>
      <c r="O309" s="80">
        <f t="shared" si="47"/>
        <v>0</v>
      </c>
      <c r="P309" s="81">
        <f t="shared" si="48"/>
        <v>0</v>
      </c>
      <c r="Q309" s="82">
        <f t="shared" si="49"/>
        <v>0</v>
      </c>
    </row>
    <row r="310" spans="1:17" ht="17.100000000000001" customHeight="1" x14ac:dyDescent="0.25">
      <c r="A310" s="75">
        <v>6216</v>
      </c>
      <c r="B310" s="76" t="s">
        <v>153</v>
      </c>
      <c r="C310" s="77">
        <v>3</v>
      </c>
      <c r="D310" s="81">
        <v>0</v>
      </c>
      <c r="E310" s="79">
        <v>0</v>
      </c>
      <c r="F310" s="183">
        <v>0</v>
      </c>
      <c r="G310" s="134">
        <v>0</v>
      </c>
      <c r="H310" s="90">
        <v>0</v>
      </c>
      <c r="I310" s="133">
        <v>0</v>
      </c>
      <c r="J310" s="134">
        <v>0</v>
      </c>
      <c r="K310" s="90">
        <v>0</v>
      </c>
      <c r="L310" s="183">
        <v>0</v>
      </c>
      <c r="M310" s="134">
        <v>0</v>
      </c>
      <c r="N310" s="90">
        <v>0</v>
      </c>
      <c r="O310" s="80">
        <f t="shared" si="47"/>
        <v>3</v>
      </c>
      <c r="P310" s="81">
        <f t="shared" si="48"/>
        <v>0</v>
      </c>
      <c r="Q310" s="82">
        <f t="shared" si="49"/>
        <v>0</v>
      </c>
    </row>
    <row r="311" spans="1:17" ht="17.100000000000001" customHeight="1" x14ac:dyDescent="0.25">
      <c r="A311" s="75">
        <v>6217</v>
      </c>
      <c r="B311" s="76" t="s">
        <v>154</v>
      </c>
      <c r="C311" s="77">
        <v>1</v>
      </c>
      <c r="D311" s="81">
        <v>0</v>
      </c>
      <c r="E311" s="79">
        <v>0</v>
      </c>
      <c r="F311" s="183">
        <v>0</v>
      </c>
      <c r="G311" s="134">
        <v>0</v>
      </c>
      <c r="H311" s="90">
        <v>0</v>
      </c>
      <c r="I311" s="133">
        <v>0</v>
      </c>
      <c r="J311" s="134">
        <v>0</v>
      </c>
      <c r="K311" s="90">
        <v>0</v>
      </c>
      <c r="L311" s="183">
        <v>0</v>
      </c>
      <c r="M311" s="134">
        <v>0</v>
      </c>
      <c r="N311" s="90">
        <v>0</v>
      </c>
      <c r="O311" s="80">
        <f t="shared" si="47"/>
        <v>1</v>
      </c>
      <c r="P311" s="81">
        <f t="shared" si="48"/>
        <v>0</v>
      </c>
      <c r="Q311" s="82">
        <f t="shared" si="49"/>
        <v>0</v>
      </c>
    </row>
    <row r="312" spans="1:17" ht="17.100000000000001" customHeight="1" x14ac:dyDescent="0.25">
      <c r="A312" s="75">
        <v>6218</v>
      </c>
      <c r="B312" s="76" t="s">
        <v>155</v>
      </c>
      <c r="C312" s="77">
        <v>0</v>
      </c>
      <c r="D312" s="81">
        <v>1</v>
      </c>
      <c r="E312" s="79">
        <v>0</v>
      </c>
      <c r="F312" s="183">
        <v>0</v>
      </c>
      <c r="G312" s="134">
        <v>0</v>
      </c>
      <c r="H312" s="90">
        <v>0</v>
      </c>
      <c r="I312" s="133">
        <v>0</v>
      </c>
      <c r="J312" s="134">
        <v>0</v>
      </c>
      <c r="K312" s="90">
        <v>0</v>
      </c>
      <c r="L312" s="183">
        <v>0</v>
      </c>
      <c r="M312" s="134">
        <v>0</v>
      </c>
      <c r="N312" s="90">
        <v>0</v>
      </c>
      <c r="O312" s="80">
        <f t="shared" si="47"/>
        <v>0</v>
      </c>
      <c r="P312" s="81">
        <f t="shared" si="48"/>
        <v>1</v>
      </c>
      <c r="Q312" s="82">
        <f t="shared" si="49"/>
        <v>0</v>
      </c>
    </row>
    <row r="313" spans="1:17" ht="17.100000000000001" customHeight="1" x14ac:dyDescent="0.25">
      <c r="A313" s="75">
        <v>6219</v>
      </c>
      <c r="B313" s="76" t="s">
        <v>954</v>
      </c>
      <c r="C313" s="77">
        <v>0</v>
      </c>
      <c r="D313" s="81">
        <v>0</v>
      </c>
      <c r="E313" s="79">
        <v>0</v>
      </c>
      <c r="F313" s="183">
        <v>0</v>
      </c>
      <c r="G313" s="134">
        <v>0</v>
      </c>
      <c r="H313" s="90">
        <v>0</v>
      </c>
      <c r="I313" s="133">
        <v>0</v>
      </c>
      <c r="J313" s="134">
        <v>0</v>
      </c>
      <c r="K313" s="90">
        <v>0</v>
      </c>
      <c r="L313" s="183">
        <v>0</v>
      </c>
      <c r="M313" s="134">
        <v>0</v>
      </c>
      <c r="N313" s="90">
        <v>0</v>
      </c>
      <c r="O313" s="80">
        <f t="shared" si="47"/>
        <v>0</v>
      </c>
      <c r="P313" s="81">
        <f t="shared" si="48"/>
        <v>0</v>
      </c>
      <c r="Q313" s="82">
        <f t="shared" si="49"/>
        <v>0</v>
      </c>
    </row>
    <row r="314" spans="1:17" ht="17.100000000000001" customHeight="1" x14ac:dyDescent="0.25">
      <c r="A314" s="75">
        <v>6220</v>
      </c>
      <c r="B314" s="76" t="s">
        <v>943</v>
      </c>
      <c r="C314" s="77">
        <v>4</v>
      </c>
      <c r="D314" s="81">
        <v>1</v>
      </c>
      <c r="E314" s="79">
        <v>1</v>
      </c>
      <c r="F314" s="183">
        <v>0</v>
      </c>
      <c r="G314" s="134">
        <v>0</v>
      </c>
      <c r="H314" s="90">
        <v>0</v>
      </c>
      <c r="I314" s="133">
        <v>0</v>
      </c>
      <c r="J314" s="134">
        <v>0</v>
      </c>
      <c r="K314" s="90">
        <v>0</v>
      </c>
      <c r="L314" s="183">
        <v>0</v>
      </c>
      <c r="M314" s="134">
        <v>0</v>
      </c>
      <c r="N314" s="90">
        <v>0</v>
      </c>
      <c r="O314" s="80">
        <f t="shared" si="47"/>
        <v>4</v>
      </c>
      <c r="P314" s="81">
        <f t="shared" si="48"/>
        <v>1</v>
      </c>
      <c r="Q314" s="82">
        <f t="shared" si="49"/>
        <v>1</v>
      </c>
    </row>
    <row r="315" spans="1:17" ht="17.100000000000001" customHeight="1" x14ac:dyDescent="0.25">
      <c r="A315" s="75">
        <v>6221</v>
      </c>
      <c r="B315" s="76" t="s">
        <v>944</v>
      </c>
      <c r="C315" s="77">
        <v>1</v>
      </c>
      <c r="D315" s="81">
        <v>0</v>
      </c>
      <c r="E315" s="79">
        <v>0</v>
      </c>
      <c r="F315" s="183">
        <v>0</v>
      </c>
      <c r="G315" s="134">
        <v>0</v>
      </c>
      <c r="H315" s="90">
        <v>0</v>
      </c>
      <c r="I315" s="133">
        <v>0</v>
      </c>
      <c r="J315" s="134">
        <v>0</v>
      </c>
      <c r="K315" s="90">
        <v>0</v>
      </c>
      <c r="L315" s="183">
        <v>0</v>
      </c>
      <c r="M315" s="134">
        <v>0</v>
      </c>
      <c r="N315" s="90">
        <v>0</v>
      </c>
      <c r="O315" s="80">
        <f t="shared" si="47"/>
        <v>1</v>
      </c>
      <c r="P315" s="81">
        <f t="shared" si="48"/>
        <v>0</v>
      </c>
      <c r="Q315" s="82">
        <f t="shared" si="49"/>
        <v>0</v>
      </c>
    </row>
    <row r="316" spans="1:17" ht="17.100000000000001" customHeight="1" x14ac:dyDescent="0.25">
      <c r="A316" s="75">
        <v>6222</v>
      </c>
      <c r="B316" s="76" t="s">
        <v>955</v>
      </c>
      <c r="C316" s="77">
        <v>0</v>
      </c>
      <c r="D316" s="81">
        <v>1</v>
      </c>
      <c r="E316" s="79">
        <v>1</v>
      </c>
      <c r="F316" s="183">
        <v>0</v>
      </c>
      <c r="G316" s="134">
        <v>0</v>
      </c>
      <c r="H316" s="90">
        <v>0</v>
      </c>
      <c r="I316" s="133">
        <v>0</v>
      </c>
      <c r="J316" s="134">
        <v>0</v>
      </c>
      <c r="K316" s="90">
        <v>0</v>
      </c>
      <c r="L316" s="183">
        <v>0</v>
      </c>
      <c r="M316" s="134">
        <v>0</v>
      </c>
      <c r="N316" s="90">
        <v>0</v>
      </c>
      <c r="O316" s="80">
        <f t="shared" si="47"/>
        <v>0</v>
      </c>
      <c r="P316" s="81">
        <f t="shared" si="48"/>
        <v>1</v>
      </c>
      <c r="Q316" s="82">
        <f t="shared" si="49"/>
        <v>1</v>
      </c>
    </row>
    <row r="317" spans="1:17" ht="17.100000000000001" customHeight="1" thickBot="1" x14ac:dyDescent="0.3">
      <c r="A317" s="36">
        <v>6223</v>
      </c>
      <c r="B317" s="108" t="s">
        <v>945</v>
      </c>
      <c r="C317" s="38">
        <v>0</v>
      </c>
      <c r="D317" s="39">
        <v>0</v>
      </c>
      <c r="E317" s="40">
        <v>0</v>
      </c>
      <c r="F317" s="183">
        <v>0</v>
      </c>
      <c r="G317" s="134">
        <v>0</v>
      </c>
      <c r="H317" s="90">
        <v>0</v>
      </c>
      <c r="I317" s="133">
        <v>0</v>
      </c>
      <c r="J317" s="134">
        <v>0</v>
      </c>
      <c r="K317" s="90">
        <v>0</v>
      </c>
      <c r="L317" s="183">
        <v>0</v>
      </c>
      <c r="M317" s="134">
        <v>0</v>
      </c>
      <c r="N317" s="90">
        <v>0</v>
      </c>
      <c r="O317" s="112">
        <f t="shared" si="47"/>
        <v>0</v>
      </c>
      <c r="P317" s="39">
        <f t="shared" si="48"/>
        <v>0</v>
      </c>
      <c r="Q317" s="113">
        <f t="shared" si="49"/>
        <v>0</v>
      </c>
    </row>
    <row r="318" spans="1:17" ht="17.100000000000001" customHeight="1" thickBot="1" x14ac:dyDescent="0.3">
      <c r="A318" s="146">
        <v>6300</v>
      </c>
      <c r="B318" s="147" t="s">
        <v>956</v>
      </c>
      <c r="C318" s="63"/>
      <c r="D318" s="63"/>
      <c r="E318" s="64"/>
      <c r="F318" s="179"/>
      <c r="G318" s="149"/>
      <c r="H318" s="170"/>
      <c r="I318" s="169"/>
      <c r="J318" s="149"/>
      <c r="K318" s="170"/>
      <c r="L318" s="179"/>
      <c r="M318" s="149"/>
      <c r="N318" s="170"/>
      <c r="O318" s="125"/>
      <c r="P318" s="126"/>
      <c r="Q318" s="143"/>
    </row>
    <row r="319" spans="1:17" ht="17.100000000000001" customHeight="1" x14ac:dyDescent="0.25">
      <c r="A319" s="36">
        <v>6301</v>
      </c>
      <c r="B319" s="108" t="s">
        <v>156</v>
      </c>
      <c r="C319" s="38">
        <v>9</v>
      </c>
      <c r="D319" s="39">
        <v>0</v>
      </c>
      <c r="E319" s="40">
        <v>1</v>
      </c>
      <c r="F319" s="184">
        <v>0</v>
      </c>
      <c r="G319" s="181">
        <v>0</v>
      </c>
      <c r="H319" s="185">
        <v>0</v>
      </c>
      <c r="I319" s="187">
        <v>0</v>
      </c>
      <c r="J319" s="181">
        <v>0</v>
      </c>
      <c r="K319" s="182">
        <v>0</v>
      </c>
      <c r="L319" s="180">
        <v>0</v>
      </c>
      <c r="M319" s="181">
        <v>0</v>
      </c>
      <c r="N319" s="185">
        <v>0</v>
      </c>
      <c r="O319" s="112">
        <f t="shared" ref="O319:O330" si="50">C319+F319-I319-L319</f>
        <v>9</v>
      </c>
      <c r="P319" s="39">
        <f t="shared" ref="P319:P330" si="51">D319+G319-J319-M319</f>
        <v>0</v>
      </c>
      <c r="Q319" s="113">
        <f t="shared" ref="Q319:Q330" si="52">E319+H319-K319-N319</f>
        <v>1</v>
      </c>
    </row>
    <row r="320" spans="1:17" ht="17.100000000000001" customHeight="1" x14ac:dyDescent="0.25">
      <c r="A320" s="75">
        <v>6302</v>
      </c>
      <c r="B320" s="76" t="s">
        <v>157</v>
      </c>
      <c r="C320" s="77">
        <v>0</v>
      </c>
      <c r="D320" s="81">
        <v>0</v>
      </c>
      <c r="E320" s="79">
        <v>0</v>
      </c>
      <c r="F320" s="186">
        <v>0</v>
      </c>
      <c r="G320" s="134">
        <v>0</v>
      </c>
      <c r="H320" s="90">
        <v>0</v>
      </c>
      <c r="I320" s="133">
        <v>0</v>
      </c>
      <c r="J320" s="134">
        <v>0</v>
      </c>
      <c r="K320" s="90">
        <v>0</v>
      </c>
      <c r="L320" s="183">
        <v>0</v>
      </c>
      <c r="M320" s="134">
        <v>0</v>
      </c>
      <c r="N320" s="90">
        <v>0</v>
      </c>
      <c r="O320" s="80">
        <f t="shared" si="50"/>
        <v>0</v>
      </c>
      <c r="P320" s="81">
        <f t="shared" si="51"/>
        <v>0</v>
      </c>
      <c r="Q320" s="82">
        <f t="shared" si="52"/>
        <v>0</v>
      </c>
    </row>
    <row r="321" spans="1:17" ht="17.100000000000001" customHeight="1" x14ac:dyDescent="0.25">
      <c r="A321" s="75">
        <v>6303</v>
      </c>
      <c r="B321" s="76" t="s">
        <v>158</v>
      </c>
      <c r="C321" s="77">
        <v>5</v>
      </c>
      <c r="D321" s="81">
        <v>0</v>
      </c>
      <c r="E321" s="79">
        <v>0</v>
      </c>
      <c r="F321" s="183">
        <v>0</v>
      </c>
      <c r="G321" s="134">
        <v>0</v>
      </c>
      <c r="H321" s="90">
        <v>0</v>
      </c>
      <c r="I321" s="133">
        <v>0</v>
      </c>
      <c r="J321" s="134">
        <v>0</v>
      </c>
      <c r="K321" s="90">
        <v>0</v>
      </c>
      <c r="L321" s="183">
        <v>0</v>
      </c>
      <c r="M321" s="134">
        <v>0</v>
      </c>
      <c r="N321" s="90">
        <v>0</v>
      </c>
      <c r="O321" s="80">
        <f t="shared" si="50"/>
        <v>5</v>
      </c>
      <c r="P321" s="81">
        <f t="shared" si="51"/>
        <v>0</v>
      </c>
      <c r="Q321" s="82">
        <f t="shared" si="52"/>
        <v>0</v>
      </c>
    </row>
    <row r="322" spans="1:17" ht="17.100000000000001" customHeight="1" x14ac:dyDescent="0.25">
      <c r="A322" s="75">
        <v>6304</v>
      </c>
      <c r="B322" s="76" t="s">
        <v>159</v>
      </c>
      <c r="C322" s="77">
        <v>0</v>
      </c>
      <c r="D322" s="81">
        <v>0</v>
      </c>
      <c r="E322" s="79">
        <v>0</v>
      </c>
      <c r="F322" s="183">
        <v>0</v>
      </c>
      <c r="G322" s="134">
        <v>0</v>
      </c>
      <c r="H322" s="90">
        <v>0</v>
      </c>
      <c r="I322" s="133">
        <v>0</v>
      </c>
      <c r="J322" s="134">
        <v>0</v>
      </c>
      <c r="K322" s="90">
        <v>0</v>
      </c>
      <c r="L322" s="183">
        <v>0</v>
      </c>
      <c r="M322" s="134">
        <v>0</v>
      </c>
      <c r="N322" s="90">
        <v>0</v>
      </c>
      <c r="O322" s="80">
        <f t="shared" si="50"/>
        <v>0</v>
      </c>
      <c r="P322" s="81">
        <f t="shared" si="51"/>
        <v>0</v>
      </c>
      <c r="Q322" s="82">
        <f t="shared" si="52"/>
        <v>0</v>
      </c>
    </row>
    <row r="323" spans="1:17" ht="17.100000000000001" customHeight="1" x14ac:dyDescent="0.25">
      <c r="A323" s="75">
        <v>6305</v>
      </c>
      <c r="B323" s="76" t="s">
        <v>160</v>
      </c>
      <c r="C323" s="77">
        <v>0</v>
      </c>
      <c r="D323" s="81">
        <v>0</v>
      </c>
      <c r="E323" s="79">
        <v>0</v>
      </c>
      <c r="F323" s="183">
        <v>0</v>
      </c>
      <c r="G323" s="134">
        <v>0</v>
      </c>
      <c r="H323" s="90">
        <v>0</v>
      </c>
      <c r="I323" s="133">
        <v>0</v>
      </c>
      <c r="J323" s="134">
        <v>0</v>
      </c>
      <c r="K323" s="90">
        <v>0</v>
      </c>
      <c r="L323" s="183">
        <v>0</v>
      </c>
      <c r="M323" s="134">
        <v>0</v>
      </c>
      <c r="N323" s="90">
        <v>0</v>
      </c>
      <c r="O323" s="80">
        <f t="shared" si="50"/>
        <v>0</v>
      </c>
      <c r="P323" s="81">
        <f t="shared" si="51"/>
        <v>0</v>
      </c>
      <c r="Q323" s="82">
        <f t="shared" si="52"/>
        <v>0</v>
      </c>
    </row>
    <row r="324" spans="1:17" ht="17.100000000000001" customHeight="1" x14ac:dyDescent="0.25">
      <c r="A324" s="75">
        <v>6306</v>
      </c>
      <c r="B324" s="76" t="s">
        <v>161</v>
      </c>
      <c r="C324" s="77">
        <v>0</v>
      </c>
      <c r="D324" s="81">
        <v>0</v>
      </c>
      <c r="E324" s="79">
        <v>0</v>
      </c>
      <c r="F324" s="183">
        <v>0</v>
      </c>
      <c r="G324" s="134">
        <v>0</v>
      </c>
      <c r="H324" s="90">
        <v>0</v>
      </c>
      <c r="I324" s="133">
        <v>0</v>
      </c>
      <c r="J324" s="134">
        <v>0</v>
      </c>
      <c r="K324" s="90">
        <v>0</v>
      </c>
      <c r="L324" s="183">
        <v>0</v>
      </c>
      <c r="M324" s="134">
        <v>0</v>
      </c>
      <c r="N324" s="90">
        <v>0</v>
      </c>
      <c r="O324" s="80">
        <f t="shared" si="50"/>
        <v>0</v>
      </c>
      <c r="P324" s="81">
        <f t="shared" si="51"/>
        <v>0</v>
      </c>
      <c r="Q324" s="82">
        <f t="shared" si="52"/>
        <v>0</v>
      </c>
    </row>
    <row r="325" spans="1:17" ht="17.100000000000001" customHeight="1" x14ac:dyDescent="0.25">
      <c r="A325" s="75">
        <v>6307</v>
      </c>
      <c r="B325" s="76" t="s">
        <v>162</v>
      </c>
      <c r="C325" s="77">
        <v>0</v>
      </c>
      <c r="D325" s="81">
        <v>0</v>
      </c>
      <c r="E325" s="79">
        <v>0</v>
      </c>
      <c r="F325" s="183">
        <v>0</v>
      </c>
      <c r="G325" s="134">
        <v>0</v>
      </c>
      <c r="H325" s="90">
        <v>0</v>
      </c>
      <c r="I325" s="133">
        <v>0</v>
      </c>
      <c r="J325" s="134">
        <v>0</v>
      </c>
      <c r="K325" s="90">
        <v>0</v>
      </c>
      <c r="L325" s="183">
        <v>0</v>
      </c>
      <c r="M325" s="134">
        <v>0</v>
      </c>
      <c r="N325" s="90">
        <v>0</v>
      </c>
      <c r="O325" s="80">
        <f t="shared" si="50"/>
        <v>0</v>
      </c>
      <c r="P325" s="81">
        <f t="shared" si="51"/>
        <v>0</v>
      </c>
      <c r="Q325" s="82">
        <f t="shared" si="52"/>
        <v>0</v>
      </c>
    </row>
    <row r="326" spans="1:17" ht="17.100000000000001" customHeight="1" x14ac:dyDescent="0.25">
      <c r="A326" s="75">
        <v>6308</v>
      </c>
      <c r="B326" s="76" t="s">
        <v>225</v>
      </c>
      <c r="C326" s="77">
        <v>1</v>
      </c>
      <c r="D326" s="81">
        <v>0</v>
      </c>
      <c r="E326" s="79">
        <v>0</v>
      </c>
      <c r="F326" s="183">
        <v>0</v>
      </c>
      <c r="G326" s="134">
        <v>0</v>
      </c>
      <c r="H326" s="90">
        <v>0</v>
      </c>
      <c r="I326" s="133">
        <v>0</v>
      </c>
      <c r="J326" s="134">
        <v>0</v>
      </c>
      <c r="K326" s="90">
        <v>0</v>
      </c>
      <c r="L326" s="183">
        <v>0</v>
      </c>
      <c r="M326" s="134">
        <v>0</v>
      </c>
      <c r="N326" s="90">
        <v>0</v>
      </c>
      <c r="O326" s="80">
        <f t="shared" si="50"/>
        <v>1</v>
      </c>
      <c r="P326" s="81">
        <f t="shared" si="51"/>
        <v>0</v>
      </c>
      <c r="Q326" s="82">
        <f t="shared" si="52"/>
        <v>0</v>
      </c>
    </row>
    <row r="327" spans="1:17" ht="17.100000000000001" customHeight="1" x14ac:dyDescent="0.25">
      <c r="A327" s="75">
        <v>6309</v>
      </c>
      <c r="B327" s="76" t="s">
        <v>164</v>
      </c>
      <c r="C327" s="77">
        <v>4</v>
      </c>
      <c r="D327" s="81">
        <v>3</v>
      </c>
      <c r="E327" s="79">
        <v>1</v>
      </c>
      <c r="F327" s="183">
        <v>0</v>
      </c>
      <c r="G327" s="134">
        <v>0</v>
      </c>
      <c r="H327" s="90">
        <v>0</v>
      </c>
      <c r="I327" s="133">
        <v>0</v>
      </c>
      <c r="J327" s="134">
        <v>0</v>
      </c>
      <c r="K327" s="90">
        <v>0</v>
      </c>
      <c r="L327" s="183">
        <v>0</v>
      </c>
      <c r="M327" s="134">
        <v>0</v>
      </c>
      <c r="N327" s="90">
        <v>0</v>
      </c>
      <c r="O327" s="80">
        <f t="shared" si="50"/>
        <v>4</v>
      </c>
      <c r="P327" s="81">
        <f t="shared" si="51"/>
        <v>3</v>
      </c>
      <c r="Q327" s="82">
        <f t="shared" si="52"/>
        <v>1</v>
      </c>
    </row>
    <row r="328" spans="1:17" ht="17.100000000000001" customHeight="1" x14ac:dyDescent="0.25">
      <c r="A328" s="75">
        <v>6310</v>
      </c>
      <c r="B328" s="76" t="s">
        <v>86</v>
      </c>
      <c r="C328" s="77">
        <v>3</v>
      </c>
      <c r="D328" s="81">
        <v>0</v>
      </c>
      <c r="E328" s="79">
        <v>1</v>
      </c>
      <c r="F328" s="183">
        <v>0</v>
      </c>
      <c r="G328" s="134">
        <v>0</v>
      </c>
      <c r="H328" s="90">
        <v>0</v>
      </c>
      <c r="I328" s="133">
        <v>0</v>
      </c>
      <c r="J328" s="134">
        <v>0</v>
      </c>
      <c r="K328" s="90">
        <v>0</v>
      </c>
      <c r="L328" s="183">
        <v>0</v>
      </c>
      <c r="M328" s="134">
        <v>0</v>
      </c>
      <c r="N328" s="90">
        <v>0</v>
      </c>
      <c r="O328" s="80">
        <f t="shared" si="50"/>
        <v>3</v>
      </c>
      <c r="P328" s="81">
        <f t="shared" si="51"/>
        <v>0</v>
      </c>
      <c r="Q328" s="82">
        <f t="shared" si="52"/>
        <v>1</v>
      </c>
    </row>
    <row r="329" spans="1:17" ht="17.100000000000001" customHeight="1" x14ac:dyDescent="0.25">
      <c r="A329" s="75">
        <v>6311</v>
      </c>
      <c r="B329" s="76" t="s">
        <v>165</v>
      </c>
      <c r="C329" s="77">
        <v>1</v>
      </c>
      <c r="D329" s="81">
        <v>0</v>
      </c>
      <c r="E329" s="79">
        <v>0</v>
      </c>
      <c r="F329" s="183">
        <v>0</v>
      </c>
      <c r="G329" s="134">
        <v>0</v>
      </c>
      <c r="H329" s="90">
        <v>0</v>
      </c>
      <c r="I329" s="133">
        <v>0</v>
      </c>
      <c r="J329" s="134">
        <v>0</v>
      </c>
      <c r="K329" s="90">
        <v>0</v>
      </c>
      <c r="L329" s="183">
        <v>0</v>
      </c>
      <c r="M329" s="134">
        <v>0</v>
      </c>
      <c r="N329" s="90">
        <v>0</v>
      </c>
      <c r="O329" s="80">
        <f t="shared" si="50"/>
        <v>1</v>
      </c>
      <c r="P329" s="81">
        <f t="shared" si="51"/>
        <v>0</v>
      </c>
      <c r="Q329" s="82">
        <f t="shared" si="52"/>
        <v>0</v>
      </c>
    </row>
    <row r="330" spans="1:17" ht="17.100000000000001" customHeight="1" thickBot="1" x14ac:dyDescent="0.3">
      <c r="A330" s="36">
        <v>6312</v>
      </c>
      <c r="B330" s="108" t="s">
        <v>226</v>
      </c>
      <c r="C330" s="38">
        <v>0</v>
      </c>
      <c r="D330" s="39">
        <v>0</v>
      </c>
      <c r="E330" s="40">
        <v>0</v>
      </c>
      <c r="F330" s="188">
        <v>0</v>
      </c>
      <c r="G330" s="167">
        <v>0</v>
      </c>
      <c r="H330" s="168">
        <v>0</v>
      </c>
      <c r="I330" s="166">
        <v>0</v>
      </c>
      <c r="J330" s="167">
        <v>0</v>
      </c>
      <c r="K330" s="168">
        <v>0</v>
      </c>
      <c r="L330" s="188">
        <v>0</v>
      </c>
      <c r="M330" s="167">
        <v>0</v>
      </c>
      <c r="N330" s="168">
        <v>0</v>
      </c>
      <c r="O330" s="112">
        <f t="shared" si="50"/>
        <v>0</v>
      </c>
      <c r="P330" s="39">
        <f t="shared" si="51"/>
        <v>0</v>
      </c>
      <c r="Q330" s="113">
        <f t="shared" si="52"/>
        <v>0</v>
      </c>
    </row>
    <row r="331" spans="1:17" ht="17.100000000000001" customHeight="1" thickBot="1" x14ac:dyDescent="0.3">
      <c r="A331" s="146">
        <v>6400</v>
      </c>
      <c r="B331" s="147" t="s">
        <v>957</v>
      </c>
      <c r="C331" s="63"/>
      <c r="D331" s="63"/>
      <c r="E331" s="64"/>
      <c r="F331" s="179"/>
      <c r="G331" s="149"/>
      <c r="H331" s="170"/>
      <c r="I331" s="169"/>
      <c r="J331" s="149"/>
      <c r="K331" s="170"/>
      <c r="L331" s="179"/>
      <c r="M331" s="149"/>
      <c r="N331" s="170"/>
      <c r="O331" s="125"/>
      <c r="P331" s="126"/>
      <c r="Q331" s="143"/>
    </row>
    <row r="332" spans="1:17" ht="17.100000000000001" customHeight="1" x14ac:dyDescent="0.25">
      <c r="A332" s="36">
        <v>6401</v>
      </c>
      <c r="B332" s="108" t="s">
        <v>167</v>
      </c>
      <c r="C332" s="38">
        <v>1</v>
      </c>
      <c r="D332" s="39">
        <v>0</v>
      </c>
      <c r="E332" s="40">
        <v>0</v>
      </c>
      <c r="F332" s="180">
        <v>0</v>
      </c>
      <c r="G332" s="181">
        <v>0</v>
      </c>
      <c r="H332" s="182">
        <v>0</v>
      </c>
      <c r="I332" s="187">
        <v>0</v>
      </c>
      <c r="J332" s="181">
        <v>0</v>
      </c>
      <c r="K332" s="182">
        <v>0</v>
      </c>
      <c r="L332" s="180">
        <v>0</v>
      </c>
      <c r="M332" s="181">
        <v>0</v>
      </c>
      <c r="N332" s="182">
        <v>0</v>
      </c>
      <c r="O332" s="112">
        <f t="shared" ref="O332:O336" si="53">C332+F332-I332-L332</f>
        <v>1</v>
      </c>
      <c r="P332" s="39">
        <f t="shared" ref="P332:P336" si="54">D332+G332-J332-M332</f>
        <v>0</v>
      </c>
      <c r="Q332" s="113">
        <f t="shared" ref="Q332:Q336" si="55">E332+H332-K332-N332</f>
        <v>0</v>
      </c>
    </row>
    <row r="333" spans="1:17" ht="17.100000000000001" customHeight="1" x14ac:dyDescent="0.25">
      <c r="A333" s="75">
        <v>6402</v>
      </c>
      <c r="B333" s="76" t="s">
        <v>168</v>
      </c>
      <c r="C333" s="85">
        <v>0</v>
      </c>
      <c r="D333" s="86">
        <v>0</v>
      </c>
      <c r="E333" s="134">
        <v>0</v>
      </c>
      <c r="F333" s="183">
        <v>0</v>
      </c>
      <c r="G333" s="134">
        <v>0</v>
      </c>
      <c r="H333" s="90">
        <v>0</v>
      </c>
      <c r="I333" s="133">
        <v>0</v>
      </c>
      <c r="J333" s="134">
        <v>0</v>
      </c>
      <c r="K333" s="90">
        <v>0</v>
      </c>
      <c r="L333" s="183">
        <v>0</v>
      </c>
      <c r="M333" s="134">
        <v>0</v>
      </c>
      <c r="N333" s="90">
        <v>0</v>
      </c>
      <c r="O333" s="80">
        <f t="shared" si="53"/>
        <v>0</v>
      </c>
      <c r="P333" s="81">
        <f t="shared" si="54"/>
        <v>0</v>
      </c>
      <c r="Q333" s="82">
        <f t="shared" si="55"/>
        <v>0</v>
      </c>
    </row>
    <row r="334" spans="1:17" ht="17.100000000000001" customHeight="1" x14ac:dyDescent="0.25">
      <c r="A334" s="75">
        <v>6403</v>
      </c>
      <c r="B334" s="76" t="s">
        <v>169</v>
      </c>
      <c r="C334" s="77">
        <v>3</v>
      </c>
      <c r="D334" s="81">
        <v>0</v>
      </c>
      <c r="E334" s="79">
        <v>1</v>
      </c>
      <c r="F334" s="183">
        <v>0</v>
      </c>
      <c r="G334" s="134">
        <v>0</v>
      </c>
      <c r="H334" s="90">
        <v>0</v>
      </c>
      <c r="I334" s="133">
        <v>0</v>
      </c>
      <c r="J334" s="134">
        <v>0</v>
      </c>
      <c r="K334" s="90">
        <v>0</v>
      </c>
      <c r="L334" s="183">
        <v>0</v>
      </c>
      <c r="M334" s="134">
        <v>0</v>
      </c>
      <c r="N334" s="90">
        <v>0</v>
      </c>
      <c r="O334" s="80">
        <f t="shared" si="53"/>
        <v>3</v>
      </c>
      <c r="P334" s="81">
        <f t="shared" si="54"/>
        <v>0</v>
      </c>
      <c r="Q334" s="82">
        <f t="shared" si="55"/>
        <v>1</v>
      </c>
    </row>
    <row r="335" spans="1:17" ht="17.100000000000001" customHeight="1" x14ac:dyDescent="0.25">
      <c r="A335" s="75">
        <v>6404</v>
      </c>
      <c r="B335" s="76" t="s">
        <v>175</v>
      </c>
      <c r="C335" s="77">
        <v>6</v>
      </c>
      <c r="D335" s="81">
        <v>1</v>
      </c>
      <c r="E335" s="79">
        <v>0</v>
      </c>
      <c r="F335" s="183">
        <v>0</v>
      </c>
      <c r="G335" s="134">
        <v>0</v>
      </c>
      <c r="H335" s="90">
        <v>0</v>
      </c>
      <c r="I335" s="133">
        <v>0</v>
      </c>
      <c r="J335" s="134">
        <v>0</v>
      </c>
      <c r="K335" s="90">
        <v>0</v>
      </c>
      <c r="L335" s="183">
        <v>0</v>
      </c>
      <c r="M335" s="134">
        <v>0</v>
      </c>
      <c r="N335" s="90">
        <v>0</v>
      </c>
      <c r="O335" s="80">
        <f t="shared" si="53"/>
        <v>6</v>
      </c>
      <c r="P335" s="81">
        <f t="shared" si="54"/>
        <v>1</v>
      </c>
      <c r="Q335" s="82">
        <f t="shared" si="55"/>
        <v>0</v>
      </c>
    </row>
    <row r="336" spans="1:17" ht="17.100000000000001" customHeight="1" thickBot="1" x14ac:dyDescent="0.3">
      <c r="A336" s="36">
        <v>6405</v>
      </c>
      <c r="B336" s="108" t="s">
        <v>176</v>
      </c>
      <c r="C336" s="38">
        <v>5</v>
      </c>
      <c r="D336" s="39">
        <v>2</v>
      </c>
      <c r="E336" s="40">
        <v>0</v>
      </c>
      <c r="F336" s="183">
        <v>0</v>
      </c>
      <c r="G336" s="134">
        <v>0</v>
      </c>
      <c r="H336" s="90">
        <v>0</v>
      </c>
      <c r="I336" s="133">
        <v>0</v>
      </c>
      <c r="J336" s="134">
        <v>0</v>
      </c>
      <c r="K336" s="90">
        <v>0</v>
      </c>
      <c r="L336" s="183">
        <v>0</v>
      </c>
      <c r="M336" s="134">
        <v>0</v>
      </c>
      <c r="N336" s="90">
        <v>0</v>
      </c>
      <c r="O336" s="112">
        <f t="shared" si="53"/>
        <v>5</v>
      </c>
      <c r="P336" s="39">
        <f t="shared" si="54"/>
        <v>2</v>
      </c>
      <c r="Q336" s="113">
        <f t="shared" si="55"/>
        <v>0</v>
      </c>
    </row>
    <row r="337" spans="1:17" ht="27" customHeight="1" thickBot="1" x14ac:dyDescent="0.3">
      <c r="A337" s="106">
        <v>6500</v>
      </c>
      <c r="B337" s="107" t="s">
        <v>958</v>
      </c>
      <c r="C337" s="63"/>
      <c r="D337" s="63"/>
      <c r="E337" s="64"/>
      <c r="F337" s="179"/>
      <c r="G337" s="149"/>
      <c r="H337" s="170"/>
      <c r="I337" s="169"/>
      <c r="J337" s="149"/>
      <c r="K337" s="170"/>
      <c r="L337" s="179"/>
      <c r="M337" s="149"/>
      <c r="N337" s="170"/>
      <c r="O337" s="125"/>
      <c r="P337" s="126"/>
      <c r="Q337" s="143"/>
    </row>
    <row r="338" spans="1:17" ht="17.100000000000001" customHeight="1" x14ac:dyDescent="0.25">
      <c r="A338" s="36">
        <v>6501</v>
      </c>
      <c r="B338" s="108" t="s">
        <v>112</v>
      </c>
      <c r="C338" s="38">
        <v>5</v>
      </c>
      <c r="D338" s="39">
        <v>0</v>
      </c>
      <c r="E338" s="40">
        <v>2</v>
      </c>
      <c r="F338" s="184">
        <v>0</v>
      </c>
      <c r="G338" s="181">
        <v>0</v>
      </c>
      <c r="H338" s="182">
        <v>0</v>
      </c>
      <c r="I338" s="187">
        <v>0</v>
      </c>
      <c r="J338" s="181">
        <v>0</v>
      </c>
      <c r="K338" s="182">
        <v>0</v>
      </c>
      <c r="L338" s="180">
        <v>0</v>
      </c>
      <c r="M338" s="181">
        <v>0</v>
      </c>
      <c r="N338" s="182">
        <v>0</v>
      </c>
      <c r="O338" s="112">
        <f t="shared" ref="O338:O367" si="56">C338+F338-I338-L338</f>
        <v>5</v>
      </c>
      <c r="P338" s="39">
        <f t="shared" ref="P338:P367" si="57">D338+G338-J338-M338</f>
        <v>0</v>
      </c>
      <c r="Q338" s="113">
        <f t="shared" ref="Q338:Q367" si="58">E338+H338-K338-N338</f>
        <v>2</v>
      </c>
    </row>
    <row r="339" spans="1:17" ht="17.100000000000001" customHeight="1" x14ac:dyDescent="0.25">
      <c r="A339" s="75">
        <v>6502</v>
      </c>
      <c r="B339" s="76" t="s">
        <v>177</v>
      </c>
      <c r="C339" s="77">
        <v>9</v>
      </c>
      <c r="D339" s="81">
        <v>1</v>
      </c>
      <c r="E339" s="79">
        <v>1</v>
      </c>
      <c r="F339" s="186">
        <v>0</v>
      </c>
      <c r="G339" s="134">
        <v>0</v>
      </c>
      <c r="H339" s="90">
        <v>0</v>
      </c>
      <c r="I339" s="133">
        <v>0</v>
      </c>
      <c r="J339" s="134">
        <v>0</v>
      </c>
      <c r="K339" s="90">
        <v>0</v>
      </c>
      <c r="L339" s="183">
        <v>0</v>
      </c>
      <c r="M339" s="134">
        <v>0</v>
      </c>
      <c r="N339" s="90">
        <v>0</v>
      </c>
      <c r="O339" s="80">
        <f t="shared" si="56"/>
        <v>9</v>
      </c>
      <c r="P339" s="81">
        <f t="shared" si="57"/>
        <v>1</v>
      </c>
      <c r="Q339" s="82">
        <f t="shared" si="58"/>
        <v>1</v>
      </c>
    </row>
    <row r="340" spans="1:17" ht="17.100000000000001" customHeight="1" x14ac:dyDescent="0.25">
      <c r="A340" s="75">
        <v>6503</v>
      </c>
      <c r="B340" s="76" t="s">
        <v>104</v>
      </c>
      <c r="C340" s="77">
        <v>13</v>
      </c>
      <c r="D340" s="81">
        <v>2</v>
      </c>
      <c r="E340" s="79">
        <v>3</v>
      </c>
      <c r="F340" s="186">
        <v>0</v>
      </c>
      <c r="G340" s="134">
        <v>0</v>
      </c>
      <c r="H340" s="90">
        <v>0</v>
      </c>
      <c r="I340" s="133">
        <v>0</v>
      </c>
      <c r="J340" s="134">
        <v>0</v>
      </c>
      <c r="K340" s="90">
        <v>0</v>
      </c>
      <c r="L340" s="183">
        <v>0</v>
      </c>
      <c r="M340" s="134">
        <v>0</v>
      </c>
      <c r="N340" s="90">
        <v>0</v>
      </c>
      <c r="O340" s="80">
        <f t="shared" si="56"/>
        <v>13</v>
      </c>
      <c r="P340" s="81">
        <f t="shared" si="57"/>
        <v>2</v>
      </c>
      <c r="Q340" s="82">
        <f t="shared" si="58"/>
        <v>3</v>
      </c>
    </row>
    <row r="341" spans="1:17" ht="17.100000000000001" customHeight="1" x14ac:dyDescent="0.25">
      <c r="A341" s="75">
        <v>6504</v>
      </c>
      <c r="B341" s="76" t="s">
        <v>179</v>
      </c>
      <c r="C341" s="77">
        <v>8</v>
      </c>
      <c r="D341" s="81">
        <v>4</v>
      </c>
      <c r="E341" s="79">
        <v>1</v>
      </c>
      <c r="F341" s="186">
        <v>0</v>
      </c>
      <c r="G341" s="134">
        <v>0</v>
      </c>
      <c r="H341" s="90">
        <v>0</v>
      </c>
      <c r="I341" s="133">
        <v>0</v>
      </c>
      <c r="J341" s="134">
        <v>0</v>
      </c>
      <c r="K341" s="90">
        <v>0</v>
      </c>
      <c r="L341" s="183">
        <v>0</v>
      </c>
      <c r="M341" s="134">
        <v>0</v>
      </c>
      <c r="N341" s="90">
        <v>0</v>
      </c>
      <c r="O341" s="80">
        <f t="shared" si="56"/>
        <v>8</v>
      </c>
      <c r="P341" s="81">
        <f t="shared" si="57"/>
        <v>4</v>
      </c>
      <c r="Q341" s="82">
        <f t="shared" si="58"/>
        <v>1</v>
      </c>
    </row>
    <row r="342" spans="1:17" ht="17.100000000000001" customHeight="1" x14ac:dyDescent="0.25">
      <c r="A342" s="75">
        <v>6505</v>
      </c>
      <c r="B342" s="76" t="s">
        <v>180</v>
      </c>
      <c r="C342" s="77">
        <v>0</v>
      </c>
      <c r="D342" s="81">
        <v>0</v>
      </c>
      <c r="E342" s="79">
        <v>0</v>
      </c>
      <c r="F342" s="186">
        <v>0</v>
      </c>
      <c r="G342" s="134">
        <v>0</v>
      </c>
      <c r="H342" s="90">
        <v>0</v>
      </c>
      <c r="I342" s="133">
        <v>0</v>
      </c>
      <c r="J342" s="134">
        <v>0</v>
      </c>
      <c r="K342" s="90">
        <v>0</v>
      </c>
      <c r="L342" s="183">
        <v>0</v>
      </c>
      <c r="M342" s="134">
        <v>0</v>
      </c>
      <c r="N342" s="90">
        <v>0</v>
      </c>
      <c r="O342" s="80">
        <f t="shared" si="56"/>
        <v>0</v>
      </c>
      <c r="P342" s="81">
        <f t="shared" si="57"/>
        <v>0</v>
      </c>
      <c r="Q342" s="82">
        <f t="shared" si="58"/>
        <v>0</v>
      </c>
    </row>
    <row r="343" spans="1:17" ht="17.100000000000001" customHeight="1" x14ac:dyDescent="0.25">
      <c r="A343" s="75">
        <v>6506</v>
      </c>
      <c r="B343" s="76" t="s">
        <v>102</v>
      </c>
      <c r="C343" s="77">
        <v>0</v>
      </c>
      <c r="D343" s="81">
        <v>0</v>
      </c>
      <c r="E343" s="79">
        <v>0</v>
      </c>
      <c r="F343" s="186">
        <v>0</v>
      </c>
      <c r="G343" s="134">
        <v>0</v>
      </c>
      <c r="H343" s="90">
        <v>0</v>
      </c>
      <c r="I343" s="133">
        <v>0</v>
      </c>
      <c r="J343" s="134">
        <v>0</v>
      </c>
      <c r="K343" s="90">
        <v>0</v>
      </c>
      <c r="L343" s="183">
        <v>0</v>
      </c>
      <c r="M343" s="134">
        <v>0</v>
      </c>
      <c r="N343" s="90">
        <v>0</v>
      </c>
      <c r="O343" s="80">
        <f t="shared" si="56"/>
        <v>0</v>
      </c>
      <c r="P343" s="81">
        <f t="shared" si="57"/>
        <v>0</v>
      </c>
      <c r="Q343" s="82">
        <f t="shared" si="58"/>
        <v>0</v>
      </c>
    </row>
    <row r="344" spans="1:17" ht="17.100000000000001" customHeight="1" x14ac:dyDescent="0.25">
      <c r="A344" s="75">
        <v>6507</v>
      </c>
      <c r="B344" s="76" t="s">
        <v>121</v>
      </c>
      <c r="C344" s="77">
        <v>0</v>
      </c>
      <c r="D344" s="81">
        <v>0</v>
      </c>
      <c r="E344" s="79">
        <v>0</v>
      </c>
      <c r="F344" s="186">
        <v>0</v>
      </c>
      <c r="G344" s="134">
        <v>0</v>
      </c>
      <c r="H344" s="90">
        <v>0</v>
      </c>
      <c r="I344" s="133">
        <v>0</v>
      </c>
      <c r="J344" s="134">
        <v>0</v>
      </c>
      <c r="K344" s="90">
        <v>0</v>
      </c>
      <c r="L344" s="183">
        <v>0</v>
      </c>
      <c r="M344" s="134">
        <v>0</v>
      </c>
      <c r="N344" s="90">
        <v>0</v>
      </c>
      <c r="O344" s="80">
        <f t="shared" si="56"/>
        <v>0</v>
      </c>
      <c r="P344" s="81">
        <f t="shared" si="57"/>
        <v>0</v>
      </c>
      <c r="Q344" s="82">
        <f t="shared" si="58"/>
        <v>0</v>
      </c>
    </row>
    <row r="345" spans="1:17" ht="17.100000000000001" customHeight="1" x14ac:dyDescent="0.25">
      <c r="A345" s="75">
        <v>6508</v>
      </c>
      <c r="B345" s="76" t="s">
        <v>87</v>
      </c>
      <c r="C345" s="77">
        <v>16</v>
      </c>
      <c r="D345" s="81">
        <v>4</v>
      </c>
      <c r="E345" s="79">
        <v>0</v>
      </c>
      <c r="F345" s="186">
        <v>0</v>
      </c>
      <c r="G345" s="134">
        <v>0</v>
      </c>
      <c r="H345" s="90">
        <v>0</v>
      </c>
      <c r="I345" s="133">
        <v>0</v>
      </c>
      <c r="J345" s="134">
        <v>0</v>
      </c>
      <c r="K345" s="90">
        <v>0</v>
      </c>
      <c r="L345" s="183">
        <v>0</v>
      </c>
      <c r="M345" s="134">
        <v>0</v>
      </c>
      <c r="N345" s="90">
        <v>0</v>
      </c>
      <c r="O345" s="80">
        <f t="shared" si="56"/>
        <v>16</v>
      </c>
      <c r="P345" s="81">
        <f t="shared" si="57"/>
        <v>4</v>
      </c>
      <c r="Q345" s="82">
        <f t="shared" si="58"/>
        <v>0</v>
      </c>
    </row>
    <row r="346" spans="1:17" ht="17.100000000000001" customHeight="1" x14ac:dyDescent="0.25">
      <c r="A346" s="75">
        <v>6509</v>
      </c>
      <c r="B346" s="76" t="s">
        <v>182</v>
      </c>
      <c r="C346" s="77">
        <v>60</v>
      </c>
      <c r="D346" s="81">
        <v>10</v>
      </c>
      <c r="E346" s="79">
        <v>7</v>
      </c>
      <c r="F346" s="186">
        <v>0</v>
      </c>
      <c r="G346" s="134">
        <v>0</v>
      </c>
      <c r="H346" s="90">
        <v>0</v>
      </c>
      <c r="I346" s="133">
        <v>0</v>
      </c>
      <c r="J346" s="134">
        <v>0</v>
      </c>
      <c r="K346" s="90">
        <v>0</v>
      </c>
      <c r="L346" s="183">
        <v>0</v>
      </c>
      <c r="M346" s="134">
        <v>0</v>
      </c>
      <c r="N346" s="90">
        <v>0</v>
      </c>
      <c r="O346" s="80">
        <f t="shared" si="56"/>
        <v>60</v>
      </c>
      <c r="P346" s="81">
        <f t="shared" si="57"/>
        <v>10</v>
      </c>
      <c r="Q346" s="82">
        <f t="shared" si="58"/>
        <v>7</v>
      </c>
    </row>
    <row r="347" spans="1:17" ht="17.100000000000001" customHeight="1" x14ac:dyDescent="0.25">
      <c r="A347" s="75">
        <v>6510</v>
      </c>
      <c r="B347" s="76" t="s">
        <v>98</v>
      </c>
      <c r="C347" s="77">
        <v>3</v>
      </c>
      <c r="D347" s="81">
        <v>0</v>
      </c>
      <c r="E347" s="79">
        <v>0</v>
      </c>
      <c r="F347" s="186">
        <v>0</v>
      </c>
      <c r="G347" s="134">
        <v>0</v>
      </c>
      <c r="H347" s="90">
        <v>0</v>
      </c>
      <c r="I347" s="133">
        <v>0</v>
      </c>
      <c r="J347" s="134">
        <v>0</v>
      </c>
      <c r="K347" s="90">
        <v>0</v>
      </c>
      <c r="L347" s="183">
        <v>0</v>
      </c>
      <c r="M347" s="134">
        <v>0</v>
      </c>
      <c r="N347" s="90">
        <v>0</v>
      </c>
      <c r="O347" s="80">
        <f t="shared" si="56"/>
        <v>3</v>
      </c>
      <c r="P347" s="81">
        <f t="shared" si="57"/>
        <v>0</v>
      </c>
      <c r="Q347" s="82">
        <f t="shared" si="58"/>
        <v>0</v>
      </c>
    </row>
    <row r="348" spans="1:17" ht="17.100000000000001" customHeight="1" x14ac:dyDescent="0.25">
      <c r="A348" s="75">
        <v>6511</v>
      </c>
      <c r="B348" s="76" t="s">
        <v>103</v>
      </c>
      <c r="C348" s="77">
        <v>0</v>
      </c>
      <c r="D348" s="81">
        <v>0</v>
      </c>
      <c r="E348" s="79">
        <v>0</v>
      </c>
      <c r="F348" s="186">
        <v>0</v>
      </c>
      <c r="G348" s="134">
        <v>0</v>
      </c>
      <c r="H348" s="90">
        <v>0</v>
      </c>
      <c r="I348" s="133">
        <v>0</v>
      </c>
      <c r="J348" s="134">
        <v>0</v>
      </c>
      <c r="K348" s="90">
        <v>0</v>
      </c>
      <c r="L348" s="183">
        <v>0</v>
      </c>
      <c r="M348" s="134">
        <v>0</v>
      </c>
      <c r="N348" s="90">
        <v>0</v>
      </c>
      <c r="O348" s="80">
        <f t="shared" si="56"/>
        <v>0</v>
      </c>
      <c r="P348" s="81">
        <f t="shared" si="57"/>
        <v>0</v>
      </c>
      <c r="Q348" s="82">
        <f t="shared" si="58"/>
        <v>0</v>
      </c>
    </row>
    <row r="349" spans="1:17" ht="17.100000000000001" customHeight="1" x14ac:dyDescent="0.25">
      <c r="A349" s="75">
        <v>6512</v>
      </c>
      <c r="B349" s="76" t="s">
        <v>183</v>
      </c>
      <c r="C349" s="77">
        <v>0</v>
      </c>
      <c r="D349" s="81">
        <v>0</v>
      </c>
      <c r="E349" s="79">
        <v>0</v>
      </c>
      <c r="F349" s="186">
        <v>0</v>
      </c>
      <c r="G349" s="134">
        <v>0</v>
      </c>
      <c r="H349" s="90">
        <v>0</v>
      </c>
      <c r="I349" s="133">
        <v>0</v>
      </c>
      <c r="J349" s="134">
        <v>0</v>
      </c>
      <c r="K349" s="90">
        <v>0</v>
      </c>
      <c r="L349" s="183">
        <v>0</v>
      </c>
      <c r="M349" s="134">
        <v>0</v>
      </c>
      <c r="N349" s="90">
        <v>0</v>
      </c>
      <c r="O349" s="80">
        <f t="shared" si="56"/>
        <v>0</v>
      </c>
      <c r="P349" s="81">
        <f t="shared" si="57"/>
        <v>0</v>
      </c>
      <c r="Q349" s="82">
        <f t="shared" si="58"/>
        <v>0</v>
      </c>
    </row>
    <row r="350" spans="1:17" ht="17.100000000000001" customHeight="1" x14ac:dyDescent="0.25">
      <c r="A350" s="75">
        <v>6513</v>
      </c>
      <c r="B350" s="76" t="s">
        <v>184</v>
      </c>
      <c r="C350" s="77">
        <v>0</v>
      </c>
      <c r="D350" s="81">
        <v>0</v>
      </c>
      <c r="E350" s="79">
        <v>0</v>
      </c>
      <c r="F350" s="186">
        <v>0</v>
      </c>
      <c r="G350" s="134">
        <v>0</v>
      </c>
      <c r="H350" s="90">
        <v>0</v>
      </c>
      <c r="I350" s="133">
        <v>0</v>
      </c>
      <c r="J350" s="134">
        <v>0</v>
      </c>
      <c r="K350" s="90">
        <v>0</v>
      </c>
      <c r="L350" s="183">
        <v>0</v>
      </c>
      <c r="M350" s="134">
        <v>0</v>
      </c>
      <c r="N350" s="90">
        <v>0</v>
      </c>
      <c r="O350" s="80">
        <f t="shared" si="56"/>
        <v>0</v>
      </c>
      <c r="P350" s="81">
        <f t="shared" si="57"/>
        <v>0</v>
      </c>
      <c r="Q350" s="82">
        <f t="shared" si="58"/>
        <v>0</v>
      </c>
    </row>
    <row r="351" spans="1:17" ht="17.100000000000001" customHeight="1" x14ac:dyDescent="0.25">
      <c r="A351" s="75">
        <v>6514</v>
      </c>
      <c r="B351" s="76" t="s">
        <v>108</v>
      </c>
      <c r="C351" s="77">
        <v>0</v>
      </c>
      <c r="D351" s="81">
        <v>0</v>
      </c>
      <c r="E351" s="79">
        <v>0</v>
      </c>
      <c r="F351" s="186">
        <v>0</v>
      </c>
      <c r="G351" s="134">
        <v>0</v>
      </c>
      <c r="H351" s="90">
        <v>0</v>
      </c>
      <c r="I351" s="133">
        <v>0</v>
      </c>
      <c r="J351" s="134">
        <v>0</v>
      </c>
      <c r="K351" s="90">
        <v>0</v>
      </c>
      <c r="L351" s="183">
        <v>0</v>
      </c>
      <c r="M351" s="134">
        <v>0</v>
      </c>
      <c r="N351" s="90">
        <v>0</v>
      </c>
      <c r="O351" s="80">
        <f t="shared" si="56"/>
        <v>0</v>
      </c>
      <c r="P351" s="81">
        <f t="shared" si="57"/>
        <v>0</v>
      </c>
      <c r="Q351" s="82">
        <f t="shared" si="58"/>
        <v>0</v>
      </c>
    </row>
    <row r="352" spans="1:17" ht="17.100000000000001" customHeight="1" x14ac:dyDescent="0.25">
      <c r="A352" s="75">
        <v>6515</v>
      </c>
      <c r="B352" s="76" t="s">
        <v>185</v>
      </c>
      <c r="C352" s="77">
        <v>0</v>
      </c>
      <c r="D352" s="81">
        <v>0</v>
      </c>
      <c r="E352" s="79">
        <v>0</v>
      </c>
      <c r="F352" s="186">
        <v>0</v>
      </c>
      <c r="G352" s="134">
        <v>0</v>
      </c>
      <c r="H352" s="90">
        <v>0</v>
      </c>
      <c r="I352" s="133">
        <v>0</v>
      </c>
      <c r="J352" s="134">
        <v>0</v>
      </c>
      <c r="K352" s="90">
        <v>0</v>
      </c>
      <c r="L352" s="183">
        <v>0</v>
      </c>
      <c r="M352" s="134">
        <v>0</v>
      </c>
      <c r="N352" s="90">
        <v>0</v>
      </c>
      <c r="O352" s="80">
        <f t="shared" si="56"/>
        <v>0</v>
      </c>
      <c r="P352" s="81">
        <f t="shared" si="57"/>
        <v>0</v>
      </c>
      <c r="Q352" s="82">
        <f t="shared" si="58"/>
        <v>0</v>
      </c>
    </row>
    <row r="353" spans="1:17" ht="17.100000000000001" customHeight="1" x14ac:dyDescent="0.25">
      <c r="A353" s="75">
        <v>6516</v>
      </c>
      <c r="B353" s="76" t="s">
        <v>109</v>
      </c>
      <c r="C353" s="77">
        <v>4</v>
      </c>
      <c r="D353" s="81">
        <v>0</v>
      </c>
      <c r="E353" s="79">
        <v>0</v>
      </c>
      <c r="F353" s="186">
        <v>0</v>
      </c>
      <c r="G353" s="134">
        <v>0</v>
      </c>
      <c r="H353" s="90">
        <v>0</v>
      </c>
      <c r="I353" s="133">
        <v>0</v>
      </c>
      <c r="J353" s="134">
        <v>0</v>
      </c>
      <c r="K353" s="90">
        <v>0</v>
      </c>
      <c r="L353" s="183">
        <v>0</v>
      </c>
      <c r="M353" s="134">
        <v>0</v>
      </c>
      <c r="N353" s="90">
        <v>0</v>
      </c>
      <c r="O353" s="80">
        <f t="shared" si="56"/>
        <v>4</v>
      </c>
      <c r="P353" s="81">
        <f t="shared" si="57"/>
        <v>0</v>
      </c>
      <c r="Q353" s="82">
        <f t="shared" si="58"/>
        <v>0</v>
      </c>
    </row>
    <row r="354" spans="1:17" ht="17.100000000000001" customHeight="1" x14ac:dyDescent="0.25">
      <c r="A354" s="75">
        <v>6517</v>
      </c>
      <c r="B354" s="76" t="s">
        <v>186</v>
      </c>
      <c r="C354" s="77">
        <v>0</v>
      </c>
      <c r="D354" s="81">
        <v>0</v>
      </c>
      <c r="E354" s="79">
        <v>0</v>
      </c>
      <c r="F354" s="186">
        <v>0</v>
      </c>
      <c r="G354" s="134">
        <v>0</v>
      </c>
      <c r="H354" s="90">
        <v>0</v>
      </c>
      <c r="I354" s="133">
        <v>0</v>
      </c>
      <c r="J354" s="134">
        <v>0</v>
      </c>
      <c r="K354" s="90">
        <v>0</v>
      </c>
      <c r="L354" s="183">
        <v>0</v>
      </c>
      <c r="M354" s="134">
        <v>0</v>
      </c>
      <c r="N354" s="90">
        <v>0</v>
      </c>
      <c r="O354" s="80">
        <f t="shared" si="56"/>
        <v>0</v>
      </c>
      <c r="P354" s="81">
        <f t="shared" si="57"/>
        <v>0</v>
      </c>
      <c r="Q354" s="82">
        <f t="shared" si="58"/>
        <v>0</v>
      </c>
    </row>
    <row r="355" spans="1:17" ht="17.100000000000001" customHeight="1" x14ac:dyDescent="0.25">
      <c r="A355" s="75">
        <v>6518</v>
      </c>
      <c r="B355" s="76" t="s">
        <v>187</v>
      </c>
      <c r="C355" s="77">
        <v>0</v>
      </c>
      <c r="D355" s="81">
        <v>0</v>
      </c>
      <c r="E355" s="79">
        <v>0</v>
      </c>
      <c r="F355" s="186">
        <v>0</v>
      </c>
      <c r="G355" s="134">
        <v>0</v>
      </c>
      <c r="H355" s="90">
        <v>0</v>
      </c>
      <c r="I355" s="133">
        <v>0</v>
      </c>
      <c r="J355" s="134">
        <v>0</v>
      </c>
      <c r="K355" s="90">
        <v>0</v>
      </c>
      <c r="L355" s="183">
        <v>0</v>
      </c>
      <c r="M355" s="134">
        <v>0</v>
      </c>
      <c r="N355" s="90">
        <v>0</v>
      </c>
      <c r="O355" s="80">
        <f t="shared" si="56"/>
        <v>0</v>
      </c>
      <c r="P355" s="81">
        <f t="shared" si="57"/>
        <v>0</v>
      </c>
      <c r="Q355" s="82">
        <f t="shared" si="58"/>
        <v>0</v>
      </c>
    </row>
    <row r="356" spans="1:17" ht="17.100000000000001" customHeight="1" x14ac:dyDescent="0.25">
      <c r="A356" s="75">
        <v>6519</v>
      </c>
      <c r="B356" s="76" t="s">
        <v>188</v>
      </c>
      <c r="C356" s="77">
        <v>0</v>
      </c>
      <c r="D356" s="81">
        <v>0</v>
      </c>
      <c r="E356" s="79">
        <v>0</v>
      </c>
      <c r="F356" s="186">
        <v>0</v>
      </c>
      <c r="G356" s="134">
        <v>0</v>
      </c>
      <c r="H356" s="90">
        <v>0</v>
      </c>
      <c r="I356" s="133">
        <v>0</v>
      </c>
      <c r="J356" s="134">
        <v>0</v>
      </c>
      <c r="K356" s="90">
        <v>0</v>
      </c>
      <c r="L356" s="183">
        <v>0</v>
      </c>
      <c r="M356" s="134">
        <v>0</v>
      </c>
      <c r="N356" s="90">
        <v>0</v>
      </c>
      <c r="O356" s="80">
        <f t="shared" si="56"/>
        <v>0</v>
      </c>
      <c r="P356" s="81">
        <f t="shared" si="57"/>
        <v>0</v>
      </c>
      <c r="Q356" s="82">
        <f t="shared" si="58"/>
        <v>0</v>
      </c>
    </row>
    <row r="357" spans="1:17" ht="17.100000000000001" customHeight="1" x14ac:dyDescent="0.25">
      <c r="A357" s="75">
        <v>6520</v>
      </c>
      <c r="B357" s="76" t="s">
        <v>227</v>
      </c>
      <c r="C357" s="77">
        <v>0</v>
      </c>
      <c r="D357" s="81">
        <v>0</v>
      </c>
      <c r="E357" s="79">
        <v>0</v>
      </c>
      <c r="F357" s="186">
        <v>0</v>
      </c>
      <c r="G357" s="134">
        <v>0</v>
      </c>
      <c r="H357" s="90">
        <v>0</v>
      </c>
      <c r="I357" s="133">
        <v>0</v>
      </c>
      <c r="J357" s="134">
        <v>0</v>
      </c>
      <c r="K357" s="90">
        <v>0</v>
      </c>
      <c r="L357" s="183">
        <v>0</v>
      </c>
      <c r="M357" s="134">
        <v>0</v>
      </c>
      <c r="N357" s="90">
        <v>0</v>
      </c>
      <c r="O357" s="80">
        <f t="shared" si="56"/>
        <v>0</v>
      </c>
      <c r="P357" s="81">
        <f t="shared" si="57"/>
        <v>0</v>
      </c>
      <c r="Q357" s="82">
        <f t="shared" si="58"/>
        <v>0</v>
      </c>
    </row>
    <row r="358" spans="1:17" ht="17.100000000000001" customHeight="1" x14ac:dyDescent="0.25">
      <c r="A358" s="75">
        <v>6521</v>
      </c>
      <c r="B358" s="76" t="s">
        <v>189</v>
      </c>
      <c r="C358" s="77">
        <v>0</v>
      </c>
      <c r="D358" s="81">
        <v>0</v>
      </c>
      <c r="E358" s="79">
        <v>0</v>
      </c>
      <c r="F358" s="186">
        <v>0</v>
      </c>
      <c r="G358" s="134">
        <v>0</v>
      </c>
      <c r="H358" s="90">
        <v>0</v>
      </c>
      <c r="I358" s="133">
        <v>0</v>
      </c>
      <c r="J358" s="134">
        <v>0</v>
      </c>
      <c r="K358" s="90">
        <v>0</v>
      </c>
      <c r="L358" s="183">
        <v>0</v>
      </c>
      <c r="M358" s="134">
        <v>0</v>
      </c>
      <c r="N358" s="90">
        <v>0</v>
      </c>
      <c r="O358" s="80">
        <f t="shared" si="56"/>
        <v>0</v>
      </c>
      <c r="P358" s="81">
        <f t="shared" si="57"/>
        <v>0</v>
      </c>
      <c r="Q358" s="82">
        <f t="shared" si="58"/>
        <v>0</v>
      </c>
    </row>
    <row r="359" spans="1:17" ht="17.100000000000001" customHeight="1" x14ac:dyDescent="0.25">
      <c r="A359" s="75">
        <v>6522</v>
      </c>
      <c r="B359" s="76" t="s">
        <v>237</v>
      </c>
      <c r="C359" s="77">
        <v>0</v>
      </c>
      <c r="D359" s="81">
        <v>0</v>
      </c>
      <c r="E359" s="79">
        <v>0</v>
      </c>
      <c r="F359" s="186">
        <v>0</v>
      </c>
      <c r="G359" s="134">
        <v>0</v>
      </c>
      <c r="H359" s="90">
        <v>0</v>
      </c>
      <c r="I359" s="133">
        <v>0</v>
      </c>
      <c r="J359" s="134">
        <v>0</v>
      </c>
      <c r="K359" s="90">
        <v>0</v>
      </c>
      <c r="L359" s="183">
        <v>0</v>
      </c>
      <c r="M359" s="134">
        <v>0</v>
      </c>
      <c r="N359" s="90">
        <v>0</v>
      </c>
      <c r="O359" s="80">
        <f t="shared" si="56"/>
        <v>0</v>
      </c>
      <c r="P359" s="81">
        <f t="shared" si="57"/>
        <v>0</v>
      </c>
      <c r="Q359" s="82">
        <f t="shared" si="58"/>
        <v>0</v>
      </c>
    </row>
    <row r="360" spans="1:17" ht="17.100000000000001" customHeight="1" x14ac:dyDescent="0.25">
      <c r="A360" s="75">
        <v>6523</v>
      </c>
      <c r="B360" s="76" t="s">
        <v>191</v>
      </c>
      <c r="C360" s="77">
        <v>0</v>
      </c>
      <c r="D360" s="81">
        <v>0</v>
      </c>
      <c r="E360" s="79">
        <v>0</v>
      </c>
      <c r="F360" s="186">
        <v>0</v>
      </c>
      <c r="G360" s="134">
        <v>0</v>
      </c>
      <c r="H360" s="90">
        <v>0</v>
      </c>
      <c r="I360" s="133">
        <v>0</v>
      </c>
      <c r="J360" s="134">
        <v>0</v>
      </c>
      <c r="K360" s="90">
        <v>0</v>
      </c>
      <c r="L360" s="183">
        <v>0</v>
      </c>
      <c r="M360" s="134">
        <v>0</v>
      </c>
      <c r="N360" s="90">
        <v>0</v>
      </c>
      <c r="O360" s="80">
        <f t="shared" si="56"/>
        <v>0</v>
      </c>
      <c r="P360" s="81">
        <f t="shared" si="57"/>
        <v>0</v>
      </c>
      <c r="Q360" s="82">
        <f t="shared" si="58"/>
        <v>0</v>
      </c>
    </row>
    <row r="361" spans="1:17" ht="17.100000000000001" customHeight="1" x14ac:dyDescent="0.25">
      <c r="A361" s="75">
        <v>6524</v>
      </c>
      <c r="B361" s="76" t="s">
        <v>192</v>
      </c>
      <c r="C361" s="77">
        <v>0</v>
      </c>
      <c r="D361" s="81">
        <v>0</v>
      </c>
      <c r="E361" s="79">
        <v>0</v>
      </c>
      <c r="F361" s="186">
        <v>0</v>
      </c>
      <c r="G361" s="134">
        <v>0</v>
      </c>
      <c r="H361" s="90">
        <v>0</v>
      </c>
      <c r="I361" s="133">
        <v>0</v>
      </c>
      <c r="J361" s="134">
        <v>0</v>
      </c>
      <c r="K361" s="90">
        <v>0</v>
      </c>
      <c r="L361" s="183">
        <v>0</v>
      </c>
      <c r="M361" s="134">
        <v>0</v>
      </c>
      <c r="N361" s="90">
        <v>0</v>
      </c>
      <c r="O361" s="80">
        <f t="shared" si="56"/>
        <v>0</v>
      </c>
      <c r="P361" s="81">
        <f t="shared" si="57"/>
        <v>0</v>
      </c>
      <c r="Q361" s="82">
        <f t="shared" si="58"/>
        <v>0</v>
      </c>
    </row>
    <row r="362" spans="1:17" ht="17.100000000000001" customHeight="1" x14ac:dyDescent="0.25">
      <c r="A362" s="75">
        <v>6525</v>
      </c>
      <c r="B362" s="76" t="s">
        <v>193</v>
      </c>
      <c r="C362" s="77">
        <v>1</v>
      </c>
      <c r="D362" s="81">
        <v>0</v>
      </c>
      <c r="E362" s="79">
        <v>0</v>
      </c>
      <c r="F362" s="186">
        <v>0</v>
      </c>
      <c r="G362" s="134">
        <v>0</v>
      </c>
      <c r="H362" s="90">
        <v>0</v>
      </c>
      <c r="I362" s="133">
        <v>0</v>
      </c>
      <c r="J362" s="134">
        <v>0</v>
      </c>
      <c r="K362" s="90">
        <v>0</v>
      </c>
      <c r="L362" s="183">
        <v>0</v>
      </c>
      <c r="M362" s="134">
        <v>0</v>
      </c>
      <c r="N362" s="90">
        <v>0</v>
      </c>
      <c r="O362" s="80">
        <f t="shared" si="56"/>
        <v>1</v>
      </c>
      <c r="P362" s="81">
        <f t="shared" si="57"/>
        <v>0</v>
      </c>
      <c r="Q362" s="82">
        <f t="shared" si="58"/>
        <v>0</v>
      </c>
    </row>
    <row r="363" spans="1:17" ht="17.100000000000001" customHeight="1" x14ac:dyDescent="0.25">
      <c r="A363" s="75">
        <v>6526</v>
      </c>
      <c r="B363" s="76" t="s">
        <v>228</v>
      </c>
      <c r="C363" s="77">
        <v>0</v>
      </c>
      <c r="D363" s="81">
        <v>0</v>
      </c>
      <c r="E363" s="79">
        <v>0</v>
      </c>
      <c r="F363" s="186">
        <v>0</v>
      </c>
      <c r="G363" s="134">
        <v>0</v>
      </c>
      <c r="H363" s="90">
        <v>0</v>
      </c>
      <c r="I363" s="133">
        <v>0</v>
      </c>
      <c r="J363" s="134">
        <v>0</v>
      </c>
      <c r="K363" s="90">
        <v>0</v>
      </c>
      <c r="L363" s="183">
        <v>0</v>
      </c>
      <c r="M363" s="134">
        <v>0</v>
      </c>
      <c r="N363" s="90">
        <v>0</v>
      </c>
      <c r="O363" s="80">
        <f t="shared" si="56"/>
        <v>0</v>
      </c>
      <c r="P363" s="81">
        <f t="shared" si="57"/>
        <v>0</v>
      </c>
      <c r="Q363" s="82">
        <f t="shared" si="58"/>
        <v>0</v>
      </c>
    </row>
    <row r="364" spans="1:17" ht="17.100000000000001" customHeight="1" x14ac:dyDescent="0.25">
      <c r="A364" s="75">
        <v>6527</v>
      </c>
      <c r="B364" s="76" t="s">
        <v>229</v>
      </c>
      <c r="C364" s="77">
        <v>2</v>
      </c>
      <c r="D364" s="81">
        <v>3</v>
      </c>
      <c r="E364" s="79">
        <v>0</v>
      </c>
      <c r="F364" s="186">
        <v>0</v>
      </c>
      <c r="G364" s="134">
        <v>0</v>
      </c>
      <c r="H364" s="90">
        <v>0</v>
      </c>
      <c r="I364" s="133">
        <v>0</v>
      </c>
      <c r="J364" s="134">
        <v>0</v>
      </c>
      <c r="K364" s="90">
        <v>0</v>
      </c>
      <c r="L364" s="183">
        <v>0</v>
      </c>
      <c r="M364" s="134">
        <v>0</v>
      </c>
      <c r="N364" s="90">
        <v>0</v>
      </c>
      <c r="O364" s="80">
        <f t="shared" si="56"/>
        <v>2</v>
      </c>
      <c r="P364" s="81">
        <f t="shared" si="57"/>
        <v>3</v>
      </c>
      <c r="Q364" s="82">
        <f t="shared" si="58"/>
        <v>0</v>
      </c>
    </row>
    <row r="365" spans="1:17" ht="17.100000000000001" customHeight="1" x14ac:dyDescent="0.25">
      <c r="A365" s="75">
        <v>6528</v>
      </c>
      <c r="B365" s="76" t="s">
        <v>197</v>
      </c>
      <c r="C365" s="77">
        <v>0</v>
      </c>
      <c r="D365" s="81">
        <v>0</v>
      </c>
      <c r="E365" s="79">
        <v>0</v>
      </c>
      <c r="F365" s="186">
        <v>0</v>
      </c>
      <c r="G365" s="134">
        <v>0</v>
      </c>
      <c r="H365" s="90">
        <v>0</v>
      </c>
      <c r="I365" s="133">
        <v>0</v>
      </c>
      <c r="J365" s="134">
        <v>0</v>
      </c>
      <c r="K365" s="90">
        <v>0</v>
      </c>
      <c r="L365" s="183">
        <v>0</v>
      </c>
      <c r="M365" s="134">
        <v>0</v>
      </c>
      <c r="N365" s="90">
        <v>0</v>
      </c>
      <c r="O365" s="80">
        <f t="shared" si="56"/>
        <v>0</v>
      </c>
      <c r="P365" s="81">
        <f t="shared" si="57"/>
        <v>0</v>
      </c>
      <c r="Q365" s="82">
        <f t="shared" si="58"/>
        <v>0</v>
      </c>
    </row>
    <row r="366" spans="1:17" ht="17.100000000000001" customHeight="1" x14ac:dyDescent="0.25">
      <c r="A366" s="75">
        <v>6529</v>
      </c>
      <c r="B366" s="76" t="s">
        <v>201</v>
      </c>
      <c r="C366" s="77">
        <v>3</v>
      </c>
      <c r="D366" s="81">
        <v>4</v>
      </c>
      <c r="E366" s="79">
        <v>2</v>
      </c>
      <c r="F366" s="186">
        <v>0</v>
      </c>
      <c r="G366" s="134">
        <v>0</v>
      </c>
      <c r="H366" s="90">
        <v>0</v>
      </c>
      <c r="I366" s="133">
        <v>0</v>
      </c>
      <c r="J366" s="134">
        <v>0</v>
      </c>
      <c r="K366" s="90">
        <v>0</v>
      </c>
      <c r="L366" s="183">
        <v>0</v>
      </c>
      <c r="M366" s="134">
        <v>0</v>
      </c>
      <c r="N366" s="90">
        <v>0</v>
      </c>
      <c r="O366" s="80">
        <f t="shared" si="56"/>
        <v>3</v>
      </c>
      <c r="P366" s="81">
        <f t="shared" si="57"/>
        <v>4</v>
      </c>
      <c r="Q366" s="82">
        <f t="shared" si="58"/>
        <v>2</v>
      </c>
    </row>
    <row r="367" spans="1:17" ht="17.100000000000001" customHeight="1" thickBot="1" x14ac:dyDescent="0.3">
      <c r="A367" s="36">
        <v>6530</v>
      </c>
      <c r="B367" s="108" t="s">
        <v>202</v>
      </c>
      <c r="C367" s="38">
        <v>0</v>
      </c>
      <c r="D367" s="39">
        <v>0</v>
      </c>
      <c r="E367" s="40">
        <v>0</v>
      </c>
      <c r="F367" s="183">
        <v>0</v>
      </c>
      <c r="G367" s="134">
        <v>0</v>
      </c>
      <c r="H367" s="90">
        <v>0</v>
      </c>
      <c r="I367" s="133">
        <v>0</v>
      </c>
      <c r="J367" s="134">
        <v>0</v>
      </c>
      <c r="K367" s="90">
        <v>0</v>
      </c>
      <c r="L367" s="183">
        <v>0</v>
      </c>
      <c r="M367" s="134">
        <v>0</v>
      </c>
      <c r="N367" s="90">
        <v>0</v>
      </c>
      <c r="O367" s="112">
        <f t="shared" si="56"/>
        <v>0</v>
      </c>
      <c r="P367" s="39">
        <f t="shared" si="57"/>
        <v>0</v>
      </c>
      <c r="Q367" s="113">
        <f t="shared" si="58"/>
        <v>0</v>
      </c>
    </row>
    <row r="368" spans="1:17" ht="27" customHeight="1" thickBot="1" x14ac:dyDescent="0.3">
      <c r="A368" s="106">
        <v>6600</v>
      </c>
      <c r="B368" s="107" t="s">
        <v>959</v>
      </c>
      <c r="C368" s="63"/>
      <c r="D368" s="63"/>
      <c r="E368" s="64"/>
      <c r="F368" s="179"/>
      <c r="G368" s="149"/>
      <c r="H368" s="170"/>
      <c r="I368" s="169"/>
      <c r="J368" s="149"/>
      <c r="K368" s="170"/>
      <c r="L368" s="179"/>
      <c r="M368" s="149"/>
      <c r="N368" s="170"/>
      <c r="O368" s="125"/>
      <c r="P368" s="126"/>
      <c r="Q368" s="143"/>
    </row>
    <row r="369" spans="1:17" ht="17.100000000000001" customHeight="1" x14ac:dyDescent="0.25">
      <c r="A369" s="36">
        <v>6601</v>
      </c>
      <c r="B369" s="108" t="s">
        <v>230</v>
      </c>
      <c r="C369" s="38">
        <v>0</v>
      </c>
      <c r="D369" s="39">
        <v>0</v>
      </c>
      <c r="E369" s="40">
        <v>0</v>
      </c>
      <c r="F369" s="180">
        <v>0</v>
      </c>
      <c r="G369" s="181">
        <v>0</v>
      </c>
      <c r="H369" s="182">
        <v>0</v>
      </c>
      <c r="I369" s="187">
        <v>0</v>
      </c>
      <c r="J369" s="181">
        <v>0</v>
      </c>
      <c r="K369" s="182">
        <v>0</v>
      </c>
      <c r="L369" s="180">
        <v>0</v>
      </c>
      <c r="M369" s="181">
        <v>0</v>
      </c>
      <c r="N369" s="182">
        <v>0</v>
      </c>
      <c r="O369" s="112">
        <f t="shared" ref="O369:O408" si="59">C369+F369-I369-L369</f>
        <v>0</v>
      </c>
      <c r="P369" s="39">
        <f t="shared" ref="P369:P408" si="60">D369+G369-J369-M369</f>
        <v>0</v>
      </c>
      <c r="Q369" s="113">
        <f t="shared" ref="Q369:Q408" si="61">E369+H369-K369-N369</f>
        <v>0</v>
      </c>
    </row>
    <row r="370" spans="1:17" ht="17.100000000000001" customHeight="1" x14ac:dyDescent="0.25">
      <c r="A370" s="75">
        <v>6602</v>
      </c>
      <c r="B370" s="76" t="s">
        <v>205</v>
      </c>
      <c r="C370" s="77">
        <v>0</v>
      </c>
      <c r="D370" s="81">
        <v>0</v>
      </c>
      <c r="E370" s="79">
        <v>0</v>
      </c>
      <c r="F370" s="183">
        <v>0</v>
      </c>
      <c r="G370" s="134">
        <v>0</v>
      </c>
      <c r="H370" s="90">
        <v>0</v>
      </c>
      <c r="I370" s="133">
        <v>0</v>
      </c>
      <c r="J370" s="134">
        <v>0</v>
      </c>
      <c r="K370" s="90">
        <v>0</v>
      </c>
      <c r="L370" s="183">
        <v>0</v>
      </c>
      <c r="M370" s="134">
        <v>0</v>
      </c>
      <c r="N370" s="90">
        <v>0</v>
      </c>
      <c r="O370" s="80">
        <f t="shared" si="59"/>
        <v>0</v>
      </c>
      <c r="P370" s="81">
        <f t="shared" si="60"/>
        <v>0</v>
      </c>
      <c r="Q370" s="82">
        <f t="shared" si="61"/>
        <v>0</v>
      </c>
    </row>
    <row r="371" spans="1:17" ht="17.100000000000001" customHeight="1" x14ac:dyDescent="0.25">
      <c r="A371" s="75">
        <v>6603</v>
      </c>
      <c r="B371" s="76" t="s">
        <v>231</v>
      </c>
      <c r="C371" s="77">
        <v>1</v>
      </c>
      <c r="D371" s="81">
        <v>0</v>
      </c>
      <c r="E371" s="79">
        <v>0</v>
      </c>
      <c r="F371" s="183">
        <v>0</v>
      </c>
      <c r="G371" s="134">
        <v>0</v>
      </c>
      <c r="H371" s="90">
        <v>0</v>
      </c>
      <c r="I371" s="133">
        <v>0</v>
      </c>
      <c r="J371" s="134">
        <v>0</v>
      </c>
      <c r="K371" s="90">
        <v>0</v>
      </c>
      <c r="L371" s="183">
        <v>0</v>
      </c>
      <c r="M371" s="134">
        <v>0</v>
      </c>
      <c r="N371" s="90">
        <v>0</v>
      </c>
      <c r="O371" s="80">
        <f t="shared" si="59"/>
        <v>1</v>
      </c>
      <c r="P371" s="81">
        <f t="shared" si="60"/>
        <v>0</v>
      </c>
      <c r="Q371" s="82">
        <f t="shared" si="61"/>
        <v>0</v>
      </c>
    </row>
    <row r="372" spans="1:17" ht="17.100000000000001" customHeight="1" x14ac:dyDescent="0.25">
      <c r="A372" s="75">
        <v>6604</v>
      </c>
      <c r="B372" s="76" t="s">
        <v>204</v>
      </c>
      <c r="C372" s="77">
        <v>0</v>
      </c>
      <c r="D372" s="81">
        <v>0</v>
      </c>
      <c r="E372" s="79">
        <v>0</v>
      </c>
      <c r="F372" s="183">
        <v>0</v>
      </c>
      <c r="G372" s="134">
        <v>0</v>
      </c>
      <c r="H372" s="90">
        <v>0</v>
      </c>
      <c r="I372" s="133">
        <v>0</v>
      </c>
      <c r="J372" s="134">
        <v>0</v>
      </c>
      <c r="K372" s="90">
        <v>0</v>
      </c>
      <c r="L372" s="183">
        <v>0</v>
      </c>
      <c r="M372" s="134">
        <v>0</v>
      </c>
      <c r="N372" s="90">
        <v>0</v>
      </c>
      <c r="O372" s="80">
        <f t="shared" si="59"/>
        <v>0</v>
      </c>
      <c r="P372" s="81">
        <f t="shared" si="60"/>
        <v>0</v>
      </c>
      <c r="Q372" s="82">
        <f t="shared" si="61"/>
        <v>0</v>
      </c>
    </row>
    <row r="373" spans="1:17" ht="17.100000000000001" customHeight="1" x14ac:dyDescent="0.25">
      <c r="A373" s="75">
        <v>6605</v>
      </c>
      <c r="B373" s="76" t="s">
        <v>98</v>
      </c>
      <c r="C373" s="77">
        <v>2</v>
      </c>
      <c r="D373" s="81">
        <v>0</v>
      </c>
      <c r="E373" s="79">
        <v>0</v>
      </c>
      <c r="F373" s="183">
        <v>0</v>
      </c>
      <c r="G373" s="134">
        <v>0</v>
      </c>
      <c r="H373" s="90">
        <v>0</v>
      </c>
      <c r="I373" s="133">
        <v>0</v>
      </c>
      <c r="J373" s="134">
        <v>0</v>
      </c>
      <c r="K373" s="90">
        <v>0</v>
      </c>
      <c r="L373" s="183">
        <v>0</v>
      </c>
      <c r="M373" s="134">
        <v>0</v>
      </c>
      <c r="N373" s="90">
        <v>0</v>
      </c>
      <c r="O373" s="80">
        <f t="shared" si="59"/>
        <v>2</v>
      </c>
      <c r="P373" s="81">
        <f t="shared" si="60"/>
        <v>0</v>
      </c>
      <c r="Q373" s="82">
        <f t="shared" si="61"/>
        <v>0</v>
      </c>
    </row>
    <row r="374" spans="1:17" ht="17.100000000000001" customHeight="1" x14ac:dyDescent="0.25">
      <c r="A374" s="75">
        <v>6606</v>
      </c>
      <c r="B374" s="76" t="s">
        <v>238</v>
      </c>
      <c r="C374" s="77">
        <v>0</v>
      </c>
      <c r="D374" s="81">
        <v>0</v>
      </c>
      <c r="E374" s="79">
        <v>0</v>
      </c>
      <c r="F374" s="183">
        <v>0</v>
      </c>
      <c r="G374" s="134">
        <v>0</v>
      </c>
      <c r="H374" s="90">
        <v>0</v>
      </c>
      <c r="I374" s="133">
        <v>0</v>
      </c>
      <c r="J374" s="134">
        <v>0</v>
      </c>
      <c r="K374" s="90">
        <v>0</v>
      </c>
      <c r="L374" s="183">
        <v>0</v>
      </c>
      <c r="M374" s="134">
        <v>0</v>
      </c>
      <c r="N374" s="90">
        <v>0</v>
      </c>
      <c r="O374" s="80">
        <f t="shared" si="59"/>
        <v>0</v>
      </c>
      <c r="P374" s="81">
        <f t="shared" si="60"/>
        <v>0</v>
      </c>
      <c r="Q374" s="82">
        <f t="shared" si="61"/>
        <v>0</v>
      </c>
    </row>
    <row r="375" spans="1:17" ht="17.100000000000001" customHeight="1" x14ac:dyDescent="0.25">
      <c r="A375" s="75">
        <v>6607</v>
      </c>
      <c r="B375" s="76" t="s">
        <v>100</v>
      </c>
      <c r="C375" s="77">
        <v>1</v>
      </c>
      <c r="D375" s="81">
        <v>0</v>
      </c>
      <c r="E375" s="79">
        <v>0</v>
      </c>
      <c r="F375" s="183">
        <v>0</v>
      </c>
      <c r="G375" s="134">
        <v>0</v>
      </c>
      <c r="H375" s="90">
        <v>0</v>
      </c>
      <c r="I375" s="133">
        <v>0</v>
      </c>
      <c r="J375" s="134">
        <v>0</v>
      </c>
      <c r="K375" s="90">
        <v>0</v>
      </c>
      <c r="L375" s="183">
        <v>0</v>
      </c>
      <c r="M375" s="134">
        <v>0</v>
      </c>
      <c r="N375" s="90">
        <v>0</v>
      </c>
      <c r="O375" s="80">
        <f t="shared" si="59"/>
        <v>1</v>
      </c>
      <c r="P375" s="81">
        <f t="shared" si="60"/>
        <v>0</v>
      </c>
      <c r="Q375" s="82">
        <f t="shared" si="61"/>
        <v>0</v>
      </c>
    </row>
    <row r="376" spans="1:17" ht="17.100000000000001" customHeight="1" x14ac:dyDescent="0.25">
      <c r="A376" s="75">
        <v>6608</v>
      </c>
      <c r="B376" s="76" t="s">
        <v>197</v>
      </c>
      <c r="C376" s="77">
        <v>0</v>
      </c>
      <c r="D376" s="81">
        <v>0</v>
      </c>
      <c r="E376" s="79">
        <v>0</v>
      </c>
      <c r="F376" s="183">
        <v>0</v>
      </c>
      <c r="G376" s="134">
        <v>0</v>
      </c>
      <c r="H376" s="90">
        <v>0</v>
      </c>
      <c r="I376" s="133">
        <v>0</v>
      </c>
      <c r="J376" s="134">
        <v>0</v>
      </c>
      <c r="K376" s="90">
        <v>0</v>
      </c>
      <c r="L376" s="183">
        <v>0</v>
      </c>
      <c r="M376" s="134">
        <v>0</v>
      </c>
      <c r="N376" s="90">
        <v>0</v>
      </c>
      <c r="O376" s="80">
        <f t="shared" si="59"/>
        <v>0</v>
      </c>
      <c r="P376" s="81">
        <f t="shared" si="60"/>
        <v>0</v>
      </c>
      <c r="Q376" s="82">
        <f t="shared" si="61"/>
        <v>0</v>
      </c>
    </row>
    <row r="377" spans="1:17" ht="17.100000000000001" customHeight="1" x14ac:dyDescent="0.25">
      <c r="A377" s="75">
        <v>6609</v>
      </c>
      <c r="B377" s="76" t="s">
        <v>193</v>
      </c>
      <c r="C377" s="77">
        <v>0</v>
      </c>
      <c r="D377" s="81">
        <v>0</v>
      </c>
      <c r="E377" s="79">
        <v>0</v>
      </c>
      <c r="F377" s="183">
        <v>0</v>
      </c>
      <c r="G377" s="134">
        <v>0</v>
      </c>
      <c r="H377" s="90">
        <v>0</v>
      </c>
      <c r="I377" s="133">
        <v>0</v>
      </c>
      <c r="J377" s="134">
        <v>0</v>
      </c>
      <c r="K377" s="90">
        <v>0</v>
      </c>
      <c r="L377" s="183">
        <v>0</v>
      </c>
      <c r="M377" s="134">
        <v>0</v>
      </c>
      <c r="N377" s="90">
        <v>0</v>
      </c>
      <c r="O377" s="80">
        <f t="shared" si="59"/>
        <v>0</v>
      </c>
      <c r="P377" s="81">
        <f t="shared" si="60"/>
        <v>0</v>
      </c>
      <c r="Q377" s="82">
        <f t="shared" si="61"/>
        <v>0</v>
      </c>
    </row>
    <row r="378" spans="1:17" ht="17.100000000000001" customHeight="1" x14ac:dyDescent="0.25">
      <c r="A378" s="75">
        <v>6610</v>
      </c>
      <c r="B378" s="76" t="s">
        <v>87</v>
      </c>
      <c r="C378" s="77">
        <v>0</v>
      </c>
      <c r="D378" s="81">
        <v>0</v>
      </c>
      <c r="E378" s="79">
        <v>0</v>
      </c>
      <c r="F378" s="183">
        <v>0</v>
      </c>
      <c r="G378" s="134">
        <v>0</v>
      </c>
      <c r="H378" s="90">
        <v>0</v>
      </c>
      <c r="I378" s="133">
        <v>0</v>
      </c>
      <c r="J378" s="134">
        <v>0</v>
      </c>
      <c r="K378" s="90">
        <v>0</v>
      </c>
      <c r="L378" s="183">
        <v>0</v>
      </c>
      <c r="M378" s="134">
        <v>0</v>
      </c>
      <c r="N378" s="90">
        <v>0</v>
      </c>
      <c r="O378" s="80">
        <f t="shared" si="59"/>
        <v>0</v>
      </c>
      <c r="P378" s="81">
        <f t="shared" si="60"/>
        <v>0</v>
      </c>
      <c r="Q378" s="82">
        <f t="shared" si="61"/>
        <v>0</v>
      </c>
    </row>
    <row r="379" spans="1:17" ht="17.100000000000001" customHeight="1" x14ac:dyDescent="0.25">
      <c r="A379" s="75">
        <v>6611</v>
      </c>
      <c r="B379" s="76" t="s">
        <v>102</v>
      </c>
      <c r="C379" s="77">
        <v>0</v>
      </c>
      <c r="D379" s="81">
        <v>0</v>
      </c>
      <c r="E379" s="79">
        <v>0</v>
      </c>
      <c r="F379" s="183">
        <v>0</v>
      </c>
      <c r="G379" s="134">
        <v>0</v>
      </c>
      <c r="H379" s="90">
        <v>0</v>
      </c>
      <c r="I379" s="133">
        <v>0</v>
      </c>
      <c r="J379" s="134">
        <v>0</v>
      </c>
      <c r="K379" s="90">
        <v>0</v>
      </c>
      <c r="L379" s="183">
        <v>0</v>
      </c>
      <c r="M379" s="134">
        <v>0</v>
      </c>
      <c r="N379" s="90">
        <v>0</v>
      </c>
      <c r="O379" s="80">
        <f t="shared" si="59"/>
        <v>0</v>
      </c>
      <c r="P379" s="81">
        <f t="shared" si="60"/>
        <v>0</v>
      </c>
      <c r="Q379" s="82">
        <f t="shared" si="61"/>
        <v>0</v>
      </c>
    </row>
    <row r="380" spans="1:17" ht="17.100000000000001" customHeight="1" x14ac:dyDescent="0.25">
      <c r="A380" s="75">
        <v>6612</v>
      </c>
      <c r="B380" s="76" t="s">
        <v>121</v>
      </c>
      <c r="C380" s="77">
        <v>0</v>
      </c>
      <c r="D380" s="81">
        <v>0</v>
      </c>
      <c r="E380" s="79">
        <v>0</v>
      </c>
      <c r="F380" s="183">
        <v>0</v>
      </c>
      <c r="G380" s="134">
        <v>0</v>
      </c>
      <c r="H380" s="90">
        <v>0</v>
      </c>
      <c r="I380" s="133">
        <v>0</v>
      </c>
      <c r="J380" s="134">
        <v>0</v>
      </c>
      <c r="K380" s="90">
        <v>0</v>
      </c>
      <c r="L380" s="183">
        <v>0</v>
      </c>
      <c r="M380" s="134">
        <v>0</v>
      </c>
      <c r="N380" s="90">
        <v>0</v>
      </c>
      <c r="O380" s="80">
        <f t="shared" si="59"/>
        <v>0</v>
      </c>
      <c r="P380" s="81">
        <f t="shared" si="60"/>
        <v>0</v>
      </c>
      <c r="Q380" s="82">
        <f t="shared" si="61"/>
        <v>0</v>
      </c>
    </row>
    <row r="381" spans="1:17" ht="17.100000000000001" customHeight="1" x14ac:dyDescent="0.25">
      <c r="A381" s="75">
        <v>6613</v>
      </c>
      <c r="B381" s="76" t="s">
        <v>103</v>
      </c>
      <c r="C381" s="77">
        <v>2</v>
      </c>
      <c r="D381" s="81">
        <v>0</v>
      </c>
      <c r="E381" s="79">
        <v>0</v>
      </c>
      <c r="F381" s="183">
        <v>0</v>
      </c>
      <c r="G381" s="134">
        <v>0</v>
      </c>
      <c r="H381" s="90">
        <v>0</v>
      </c>
      <c r="I381" s="133">
        <v>0</v>
      </c>
      <c r="J381" s="134">
        <v>0</v>
      </c>
      <c r="K381" s="90">
        <v>0</v>
      </c>
      <c r="L381" s="183">
        <v>0</v>
      </c>
      <c r="M381" s="134">
        <v>0</v>
      </c>
      <c r="N381" s="90">
        <v>0</v>
      </c>
      <c r="O381" s="80">
        <f t="shared" si="59"/>
        <v>2</v>
      </c>
      <c r="P381" s="81">
        <f t="shared" si="60"/>
        <v>0</v>
      </c>
      <c r="Q381" s="82">
        <f t="shared" si="61"/>
        <v>0</v>
      </c>
    </row>
    <row r="382" spans="1:17" ht="17.100000000000001" customHeight="1" x14ac:dyDescent="0.25">
      <c r="A382" s="75">
        <v>6614</v>
      </c>
      <c r="B382" s="76" t="s">
        <v>108</v>
      </c>
      <c r="C382" s="77">
        <v>1</v>
      </c>
      <c r="D382" s="81">
        <v>0</v>
      </c>
      <c r="E382" s="79">
        <v>0</v>
      </c>
      <c r="F382" s="183">
        <v>0</v>
      </c>
      <c r="G382" s="134">
        <v>0</v>
      </c>
      <c r="H382" s="90">
        <v>0</v>
      </c>
      <c r="I382" s="133">
        <v>0</v>
      </c>
      <c r="J382" s="134">
        <v>0</v>
      </c>
      <c r="K382" s="90">
        <v>0</v>
      </c>
      <c r="L382" s="183">
        <v>0</v>
      </c>
      <c r="M382" s="134">
        <v>0</v>
      </c>
      <c r="N382" s="90">
        <v>0</v>
      </c>
      <c r="O382" s="80">
        <f t="shared" si="59"/>
        <v>1</v>
      </c>
      <c r="P382" s="81">
        <f t="shared" si="60"/>
        <v>0</v>
      </c>
      <c r="Q382" s="82">
        <f t="shared" si="61"/>
        <v>0</v>
      </c>
    </row>
    <row r="383" spans="1:17" ht="17.100000000000001" customHeight="1" x14ac:dyDescent="0.25">
      <c r="A383" s="75">
        <v>6615</v>
      </c>
      <c r="B383" s="76" t="s">
        <v>185</v>
      </c>
      <c r="C383" s="77">
        <v>0</v>
      </c>
      <c r="D383" s="81">
        <v>0</v>
      </c>
      <c r="E383" s="79">
        <v>0</v>
      </c>
      <c r="F383" s="183">
        <v>0</v>
      </c>
      <c r="G383" s="134">
        <v>0</v>
      </c>
      <c r="H383" s="90">
        <v>0</v>
      </c>
      <c r="I383" s="133">
        <v>0</v>
      </c>
      <c r="J383" s="134">
        <v>0</v>
      </c>
      <c r="K383" s="90">
        <v>0</v>
      </c>
      <c r="L383" s="183">
        <v>0</v>
      </c>
      <c r="M383" s="134">
        <v>0</v>
      </c>
      <c r="N383" s="90">
        <v>0</v>
      </c>
      <c r="O383" s="80">
        <f t="shared" si="59"/>
        <v>0</v>
      </c>
      <c r="P383" s="81">
        <f t="shared" si="60"/>
        <v>0</v>
      </c>
      <c r="Q383" s="82">
        <f t="shared" si="61"/>
        <v>0</v>
      </c>
    </row>
    <row r="384" spans="1:17" ht="17.100000000000001" customHeight="1" x14ac:dyDescent="0.25">
      <c r="A384" s="75">
        <v>6616</v>
      </c>
      <c r="B384" s="76" t="s">
        <v>109</v>
      </c>
      <c r="C384" s="77">
        <v>2</v>
      </c>
      <c r="D384" s="81">
        <v>2</v>
      </c>
      <c r="E384" s="79">
        <v>0</v>
      </c>
      <c r="F384" s="183">
        <v>0</v>
      </c>
      <c r="G384" s="134">
        <v>0</v>
      </c>
      <c r="H384" s="90">
        <v>0</v>
      </c>
      <c r="I384" s="133">
        <v>0</v>
      </c>
      <c r="J384" s="134">
        <v>0</v>
      </c>
      <c r="K384" s="90">
        <v>0</v>
      </c>
      <c r="L384" s="183">
        <v>0</v>
      </c>
      <c r="M384" s="134">
        <v>0</v>
      </c>
      <c r="N384" s="90">
        <v>0</v>
      </c>
      <c r="O384" s="80">
        <f t="shared" si="59"/>
        <v>2</v>
      </c>
      <c r="P384" s="81">
        <f t="shared" si="60"/>
        <v>2</v>
      </c>
      <c r="Q384" s="82">
        <f t="shared" si="61"/>
        <v>0</v>
      </c>
    </row>
    <row r="385" spans="1:17" ht="17.100000000000001" customHeight="1" x14ac:dyDescent="0.25">
      <c r="A385" s="75">
        <v>6617</v>
      </c>
      <c r="B385" s="76" t="s">
        <v>186</v>
      </c>
      <c r="C385" s="77">
        <v>0</v>
      </c>
      <c r="D385" s="81">
        <v>0</v>
      </c>
      <c r="E385" s="79">
        <v>0</v>
      </c>
      <c r="F385" s="183">
        <v>0</v>
      </c>
      <c r="G385" s="134">
        <v>0</v>
      </c>
      <c r="H385" s="90">
        <v>0</v>
      </c>
      <c r="I385" s="133">
        <v>0</v>
      </c>
      <c r="J385" s="134">
        <v>0</v>
      </c>
      <c r="K385" s="90">
        <v>0</v>
      </c>
      <c r="L385" s="183">
        <v>0</v>
      </c>
      <c r="M385" s="134">
        <v>0</v>
      </c>
      <c r="N385" s="90">
        <v>0</v>
      </c>
      <c r="O385" s="80">
        <f t="shared" si="59"/>
        <v>0</v>
      </c>
      <c r="P385" s="81">
        <f t="shared" si="60"/>
        <v>0</v>
      </c>
      <c r="Q385" s="82">
        <f t="shared" si="61"/>
        <v>0</v>
      </c>
    </row>
    <row r="386" spans="1:17" ht="17.100000000000001" customHeight="1" x14ac:dyDescent="0.25">
      <c r="A386" s="75">
        <v>6618</v>
      </c>
      <c r="B386" s="76" t="s">
        <v>187</v>
      </c>
      <c r="C386" s="77">
        <v>0</v>
      </c>
      <c r="D386" s="81">
        <v>0</v>
      </c>
      <c r="E386" s="79">
        <v>0</v>
      </c>
      <c r="F386" s="183">
        <v>0</v>
      </c>
      <c r="G386" s="134">
        <v>0</v>
      </c>
      <c r="H386" s="90">
        <v>0</v>
      </c>
      <c r="I386" s="133">
        <v>0</v>
      </c>
      <c r="J386" s="134">
        <v>0</v>
      </c>
      <c r="K386" s="90">
        <v>0</v>
      </c>
      <c r="L386" s="183">
        <v>0</v>
      </c>
      <c r="M386" s="134">
        <v>0</v>
      </c>
      <c r="N386" s="90">
        <v>0</v>
      </c>
      <c r="O386" s="80">
        <f t="shared" si="59"/>
        <v>0</v>
      </c>
      <c r="P386" s="81">
        <f t="shared" si="60"/>
        <v>0</v>
      </c>
      <c r="Q386" s="82">
        <f t="shared" si="61"/>
        <v>0</v>
      </c>
    </row>
    <row r="387" spans="1:17" ht="17.100000000000001" customHeight="1" x14ac:dyDescent="0.25">
      <c r="A387" s="75">
        <v>6619</v>
      </c>
      <c r="B387" s="76" t="s">
        <v>188</v>
      </c>
      <c r="C387" s="77">
        <v>0</v>
      </c>
      <c r="D387" s="81">
        <v>0</v>
      </c>
      <c r="E387" s="79">
        <v>0</v>
      </c>
      <c r="F387" s="183">
        <v>0</v>
      </c>
      <c r="G387" s="134">
        <v>0</v>
      </c>
      <c r="H387" s="90">
        <v>0</v>
      </c>
      <c r="I387" s="133">
        <v>0</v>
      </c>
      <c r="J387" s="134">
        <v>0</v>
      </c>
      <c r="K387" s="90">
        <v>0</v>
      </c>
      <c r="L387" s="183">
        <v>0</v>
      </c>
      <c r="M387" s="134">
        <v>0</v>
      </c>
      <c r="N387" s="90">
        <v>0</v>
      </c>
      <c r="O387" s="80">
        <f t="shared" si="59"/>
        <v>0</v>
      </c>
      <c r="P387" s="81">
        <f t="shared" si="60"/>
        <v>0</v>
      </c>
      <c r="Q387" s="82">
        <f t="shared" si="61"/>
        <v>0</v>
      </c>
    </row>
    <row r="388" spans="1:17" ht="17.100000000000001" customHeight="1" x14ac:dyDescent="0.25">
      <c r="A388" s="75">
        <v>6620</v>
      </c>
      <c r="B388" s="76" t="s">
        <v>191</v>
      </c>
      <c r="C388" s="77">
        <v>0</v>
      </c>
      <c r="D388" s="81">
        <v>0</v>
      </c>
      <c r="E388" s="79">
        <v>0</v>
      </c>
      <c r="F388" s="183">
        <v>0</v>
      </c>
      <c r="G388" s="134">
        <v>0</v>
      </c>
      <c r="H388" s="90">
        <v>0</v>
      </c>
      <c r="I388" s="133">
        <v>0</v>
      </c>
      <c r="J388" s="134">
        <v>0</v>
      </c>
      <c r="K388" s="90">
        <v>0</v>
      </c>
      <c r="L388" s="183">
        <v>0</v>
      </c>
      <c r="M388" s="134">
        <v>0</v>
      </c>
      <c r="N388" s="90">
        <v>0</v>
      </c>
      <c r="O388" s="80">
        <f t="shared" si="59"/>
        <v>0</v>
      </c>
      <c r="P388" s="81">
        <f t="shared" si="60"/>
        <v>0</v>
      </c>
      <c r="Q388" s="82">
        <f t="shared" si="61"/>
        <v>0</v>
      </c>
    </row>
    <row r="389" spans="1:17" ht="17.100000000000001" customHeight="1" x14ac:dyDescent="0.25">
      <c r="A389" s="75">
        <v>6621</v>
      </c>
      <c r="B389" s="76" t="s">
        <v>110</v>
      </c>
      <c r="C389" s="77">
        <v>1</v>
      </c>
      <c r="D389" s="81">
        <v>0</v>
      </c>
      <c r="E389" s="79">
        <v>0</v>
      </c>
      <c r="F389" s="183">
        <v>0</v>
      </c>
      <c r="G389" s="134">
        <v>0</v>
      </c>
      <c r="H389" s="90">
        <v>0</v>
      </c>
      <c r="I389" s="133">
        <v>0</v>
      </c>
      <c r="J389" s="134">
        <v>0</v>
      </c>
      <c r="K389" s="90">
        <v>0</v>
      </c>
      <c r="L389" s="183">
        <v>0</v>
      </c>
      <c r="M389" s="134">
        <v>0</v>
      </c>
      <c r="N389" s="90">
        <v>0</v>
      </c>
      <c r="O389" s="80">
        <f t="shared" si="59"/>
        <v>1</v>
      </c>
      <c r="P389" s="81">
        <f t="shared" si="60"/>
        <v>0</v>
      </c>
      <c r="Q389" s="82">
        <f t="shared" si="61"/>
        <v>0</v>
      </c>
    </row>
    <row r="390" spans="1:17" ht="17.100000000000001" customHeight="1" x14ac:dyDescent="0.25">
      <c r="A390" s="75">
        <v>6622</v>
      </c>
      <c r="B390" s="76" t="s">
        <v>129</v>
      </c>
      <c r="C390" s="77">
        <v>0</v>
      </c>
      <c r="D390" s="81">
        <v>0</v>
      </c>
      <c r="E390" s="79">
        <v>0</v>
      </c>
      <c r="F390" s="183">
        <v>0</v>
      </c>
      <c r="G390" s="134">
        <v>0</v>
      </c>
      <c r="H390" s="90">
        <v>0</v>
      </c>
      <c r="I390" s="133">
        <v>0</v>
      </c>
      <c r="J390" s="134">
        <v>0</v>
      </c>
      <c r="K390" s="90">
        <v>0</v>
      </c>
      <c r="L390" s="183">
        <v>0</v>
      </c>
      <c r="M390" s="134">
        <v>0</v>
      </c>
      <c r="N390" s="90">
        <v>0</v>
      </c>
      <c r="O390" s="80">
        <f t="shared" si="59"/>
        <v>0</v>
      </c>
      <c r="P390" s="81">
        <f t="shared" si="60"/>
        <v>0</v>
      </c>
      <c r="Q390" s="82">
        <f t="shared" si="61"/>
        <v>0</v>
      </c>
    </row>
    <row r="391" spans="1:17" ht="17.100000000000001" customHeight="1" x14ac:dyDescent="0.25">
      <c r="A391" s="75">
        <v>6623</v>
      </c>
      <c r="B391" s="76" t="s">
        <v>77</v>
      </c>
      <c r="C391" s="77">
        <v>0</v>
      </c>
      <c r="D391" s="81">
        <v>0</v>
      </c>
      <c r="E391" s="79">
        <v>0</v>
      </c>
      <c r="F391" s="183">
        <v>0</v>
      </c>
      <c r="G391" s="134">
        <v>0</v>
      </c>
      <c r="H391" s="90">
        <v>0</v>
      </c>
      <c r="I391" s="133">
        <v>0</v>
      </c>
      <c r="J391" s="134">
        <v>0</v>
      </c>
      <c r="K391" s="90">
        <v>0</v>
      </c>
      <c r="L391" s="183">
        <v>0</v>
      </c>
      <c r="M391" s="134">
        <v>0</v>
      </c>
      <c r="N391" s="90">
        <v>0</v>
      </c>
      <c r="O391" s="80">
        <f t="shared" si="59"/>
        <v>0</v>
      </c>
      <c r="P391" s="81">
        <f t="shared" si="60"/>
        <v>0</v>
      </c>
      <c r="Q391" s="82">
        <f t="shared" si="61"/>
        <v>0</v>
      </c>
    </row>
    <row r="392" spans="1:17" ht="17.100000000000001" customHeight="1" x14ac:dyDescent="0.25">
      <c r="A392" s="75">
        <v>6624</v>
      </c>
      <c r="B392" s="76" t="s">
        <v>234</v>
      </c>
      <c r="C392" s="77">
        <v>0</v>
      </c>
      <c r="D392" s="81">
        <v>0</v>
      </c>
      <c r="E392" s="79">
        <v>0</v>
      </c>
      <c r="F392" s="183">
        <v>0</v>
      </c>
      <c r="G392" s="134">
        <v>0</v>
      </c>
      <c r="H392" s="90">
        <v>0</v>
      </c>
      <c r="I392" s="133">
        <v>0</v>
      </c>
      <c r="J392" s="134">
        <v>0</v>
      </c>
      <c r="K392" s="90">
        <v>0</v>
      </c>
      <c r="L392" s="183">
        <v>0</v>
      </c>
      <c r="M392" s="134">
        <v>0</v>
      </c>
      <c r="N392" s="90">
        <v>0</v>
      </c>
      <c r="O392" s="80">
        <f t="shared" si="59"/>
        <v>0</v>
      </c>
      <c r="P392" s="81">
        <f t="shared" si="60"/>
        <v>0</v>
      </c>
      <c r="Q392" s="82">
        <f t="shared" si="61"/>
        <v>0</v>
      </c>
    </row>
    <row r="393" spans="1:17" ht="17.100000000000001" customHeight="1" x14ac:dyDescent="0.25">
      <c r="A393" s="75">
        <v>6625</v>
      </c>
      <c r="B393" s="76" t="s">
        <v>107</v>
      </c>
      <c r="C393" s="77">
        <v>2</v>
      </c>
      <c r="D393" s="81">
        <v>1</v>
      </c>
      <c r="E393" s="79">
        <v>0</v>
      </c>
      <c r="F393" s="183">
        <v>0</v>
      </c>
      <c r="G393" s="134">
        <v>0</v>
      </c>
      <c r="H393" s="90">
        <v>0</v>
      </c>
      <c r="I393" s="133">
        <v>0</v>
      </c>
      <c r="J393" s="134">
        <v>0</v>
      </c>
      <c r="K393" s="90">
        <v>0</v>
      </c>
      <c r="L393" s="183">
        <v>0</v>
      </c>
      <c r="M393" s="134">
        <v>0</v>
      </c>
      <c r="N393" s="90">
        <v>0</v>
      </c>
      <c r="O393" s="80">
        <f t="shared" si="59"/>
        <v>2</v>
      </c>
      <c r="P393" s="81">
        <f t="shared" si="60"/>
        <v>1</v>
      </c>
      <c r="Q393" s="82">
        <f t="shared" si="61"/>
        <v>0</v>
      </c>
    </row>
    <row r="394" spans="1:17" ht="17.100000000000001" customHeight="1" x14ac:dyDescent="0.25">
      <c r="A394" s="75">
        <v>6626</v>
      </c>
      <c r="B394" s="76" t="s">
        <v>112</v>
      </c>
      <c r="C394" s="77">
        <v>2</v>
      </c>
      <c r="D394" s="81">
        <v>1</v>
      </c>
      <c r="E394" s="79">
        <v>1</v>
      </c>
      <c r="F394" s="183">
        <v>0</v>
      </c>
      <c r="G394" s="134">
        <v>0</v>
      </c>
      <c r="H394" s="90">
        <v>0</v>
      </c>
      <c r="I394" s="133">
        <v>0</v>
      </c>
      <c r="J394" s="134">
        <v>0</v>
      </c>
      <c r="K394" s="90">
        <v>0</v>
      </c>
      <c r="L394" s="183">
        <v>0</v>
      </c>
      <c r="M394" s="134">
        <v>0</v>
      </c>
      <c r="N394" s="90">
        <v>0</v>
      </c>
      <c r="O394" s="80">
        <f t="shared" si="59"/>
        <v>2</v>
      </c>
      <c r="P394" s="81">
        <f t="shared" si="60"/>
        <v>1</v>
      </c>
      <c r="Q394" s="82">
        <f t="shared" si="61"/>
        <v>1</v>
      </c>
    </row>
    <row r="395" spans="1:17" ht="17.100000000000001" customHeight="1" x14ac:dyDescent="0.25">
      <c r="A395" s="75">
        <v>6627</v>
      </c>
      <c r="B395" s="76" t="s">
        <v>104</v>
      </c>
      <c r="C395" s="77">
        <v>0</v>
      </c>
      <c r="D395" s="81">
        <v>0</v>
      </c>
      <c r="E395" s="79">
        <v>0</v>
      </c>
      <c r="F395" s="183">
        <v>0</v>
      </c>
      <c r="G395" s="134">
        <v>0</v>
      </c>
      <c r="H395" s="90">
        <v>0</v>
      </c>
      <c r="I395" s="133">
        <v>0</v>
      </c>
      <c r="J395" s="134">
        <v>0</v>
      </c>
      <c r="K395" s="90">
        <v>0</v>
      </c>
      <c r="L395" s="183">
        <v>0</v>
      </c>
      <c r="M395" s="134">
        <v>0</v>
      </c>
      <c r="N395" s="90">
        <v>0</v>
      </c>
      <c r="O395" s="80">
        <f t="shared" si="59"/>
        <v>0</v>
      </c>
      <c r="P395" s="81">
        <f t="shared" si="60"/>
        <v>0</v>
      </c>
      <c r="Q395" s="82">
        <f t="shared" si="61"/>
        <v>0</v>
      </c>
    </row>
    <row r="396" spans="1:17" ht="17.100000000000001" customHeight="1" x14ac:dyDescent="0.25">
      <c r="A396" s="75">
        <v>6628</v>
      </c>
      <c r="B396" s="76" t="s">
        <v>239</v>
      </c>
      <c r="C396" s="77">
        <v>0</v>
      </c>
      <c r="D396" s="81">
        <v>0</v>
      </c>
      <c r="E396" s="79">
        <v>0</v>
      </c>
      <c r="F396" s="183">
        <v>0</v>
      </c>
      <c r="G396" s="134">
        <v>0</v>
      </c>
      <c r="H396" s="90">
        <v>0</v>
      </c>
      <c r="I396" s="133">
        <v>0</v>
      </c>
      <c r="J396" s="134">
        <v>0</v>
      </c>
      <c r="K396" s="90">
        <v>0</v>
      </c>
      <c r="L396" s="183">
        <v>0</v>
      </c>
      <c r="M396" s="134">
        <v>0</v>
      </c>
      <c r="N396" s="90">
        <v>0</v>
      </c>
      <c r="O396" s="80">
        <f t="shared" si="59"/>
        <v>0</v>
      </c>
      <c r="P396" s="81">
        <f t="shared" si="60"/>
        <v>0</v>
      </c>
      <c r="Q396" s="82">
        <f t="shared" si="61"/>
        <v>0</v>
      </c>
    </row>
    <row r="397" spans="1:17" ht="17.100000000000001" customHeight="1" x14ac:dyDescent="0.25">
      <c r="A397" s="75">
        <v>6629</v>
      </c>
      <c r="B397" s="76" t="s">
        <v>121</v>
      </c>
      <c r="C397" s="77">
        <v>2</v>
      </c>
      <c r="D397" s="81">
        <v>1</v>
      </c>
      <c r="E397" s="79">
        <v>0</v>
      </c>
      <c r="F397" s="183">
        <v>0</v>
      </c>
      <c r="G397" s="134">
        <v>0</v>
      </c>
      <c r="H397" s="90">
        <v>0</v>
      </c>
      <c r="I397" s="133">
        <v>0</v>
      </c>
      <c r="J397" s="134">
        <v>0</v>
      </c>
      <c r="K397" s="90">
        <v>0</v>
      </c>
      <c r="L397" s="183">
        <v>0</v>
      </c>
      <c r="M397" s="134">
        <v>0</v>
      </c>
      <c r="N397" s="90">
        <v>0</v>
      </c>
      <c r="O397" s="80">
        <f t="shared" si="59"/>
        <v>2</v>
      </c>
      <c r="P397" s="81">
        <f t="shared" si="60"/>
        <v>1</v>
      </c>
      <c r="Q397" s="82">
        <f t="shared" si="61"/>
        <v>0</v>
      </c>
    </row>
    <row r="398" spans="1:17" ht="17.100000000000001" customHeight="1" x14ac:dyDescent="0.25">
      <c r="A398" s="75">
        <v>6630</v>
      </c>
      <c r="B398" s="76" t="s">
        <v>136</v>
      </c>
      <c r="C398" s="77">
        <v>0</v>
      </c>
      <c r="D398" s="81">
        <v>0</v>
      </c>
      <c r="E398" s="79">
        <v>0</v>
      </c>
      <c r="F398" s="183">
        <v>0</v>
      </c>
      <c r="G398" s="134">
        <v>0</v>
      </c>
      <c r="H398" s="90">
        <v>0</v>
      </c>
      <c r="I398" s="133">
        <v>0</v>
      </c>
      <c r="J398" s="134">
        <v>0</v>
      </c>
      <c r="K398" s="90">
        <v>0</v>
      </c>
      <c r="L398" s="183">
        <v>0</v>
      </c>
      <c r="M398" s="134">
        <v>0</v>
      </c>
      <c r="N398" s="90">
        <v>0</v>
      </c>
      <c r="O398" s="80">
        <f t="shared" si="59"/>
        <v>0</v>
      </c>
      <c r="P398" s="81">
        <f t="shared" si="60"/>
        <v>0</v>
      </c>
      <c r="Q398" s="82">
        <f t="shared" si="61"/>
        <v>0</v>
      </c>
    </row>
    <row r="399" spans="1:17" ht="17.100000000000001" customHeight="1" x14ac:dyDescent="0.25">
      <c r="A399" s="75">
        <v>6631</v>
      </c>
      <c r="B399" s="76" t="s">
        <v>117</v>
      </c>
      <c r="C399" s="77">
        <v>1</v>
      </c>
      <c r="D399" s="81">
        <v>0</v>
      </c>
      <c r="E399" s="79">
        <v>1</v>
      </c>
      <c r="F399" s="183">
        <v>0</v>
      </c>
      <c r="G399" s="134">
        <v>0</v>
      </c>
      <c r="H399" s="90">
        <v>0</v>
      </c>
      <c r="I399" s="133">
        <v>0</v>
      </c>
      <c r="J399" s="134">
        <v>0</v>
      </c>
      <c r="K399" s="90">
        <v>0</v>
      </c>
      <c r="L399" s="183">
        <v>0</v>
      </c>
      <c r="M399" s="134">
        <v>0</v>
      </c>
      <c r="N399" s="90">
        <v>0</v>
      </c>
      <c r="O399" s="80">
        <f t="shared" si="59"/>
        <v>1</v>
      </c>
      <c r="P399" s="81">
        <f t="shared" si="60"/>
        <v>0</v>
      </c>
      <c r="Q399" s="82">
        <f t="shared" si="61"/>
        <v>1</v>
      </c>
    </row>
    <row r="400" spans="1:17" ht="17.100000000000001" customHeight="1" x14ac:dyDescent="0.25">
      <c r="A400" s="75">
        <v>6632</v>
      </c>
      <c r="B400" s="76" t="s">
        <v>116</v>
      </c>
      <c r="C400" s="77">
        <v>1</v>
      </c>
      <c r="D400" s="81">
        <v>1</v>
      </c>
      <c r="E400" s="79">
        <v>1</v>
      </c>
      <c r="F400" s="183">
        <v>0</v>
      </c>
      <c r="G400" s="134">
        <v>0</v>
      </c>
      <c r="H400" s="90">
        <v>0</v>
      </c>
      <c r="I400" s="133">
        <v>0</v>
      </c>
      <c r="J400" s="134">
        <v>0</v>
      </c>
      <c r="K400" s="90">
        <v>0</v>
      </c>
      <c r="L400" s="183">
        <v>0</v>
      </c>
      <c r="M400" s="134">
        <v>0</v>
      </c>
      <c r="N400" s="90">
        <v>0</v>
      </c>
      <c r="O400" s="80">
        <f t="shared" si="59"/>
        <v>1</v>
      </c>
      <c r="P400" s="81">
        <f t="shared" si="60"/>
        <v>1</v>
      </c>
      <c r="Q400" s="82">
        <f t="shared" si="61"/>
        <v>1</v>
      </c>
    </row>
    <row r="401" spans="1:17" ht="17.100000000000001" customHeight="1" x14ac:dyDescent="0.25">
      <c r="A401" s="75">
        <v>6633</v>
      </c>
      <c r="B401" s="76" t="s">
        <v>114</v>
      </c>
      <c r="C401" s="77">
        <v>2</v>
      </c>
      <c r="D401" s="81">
        <v>2</v>
      </c>
      <c r="E401" s="79">
        <v>0</v>
      </c>
      <c r="F401" s="183">
        <v>0</v>
      </c>
      <c r="G401" s="134">
        <v>0</v>
      </c>
      <c r="H401" s="90">
        <v>0</v>
      </c>
      <c r="I401" s="133">
        <v>0</v>
      </c>
      <c r="J401" s="134">
        <v>0</v>
      </c>
      <c r="K401" s="90">
        <v>0</v>
      </c>
      <c r="L401" s="183">
        <v>0</v>
      </c>
      <c r="M401" s="134">
        <v>0</v>
      </c>
      <c r="N401" s="90">
        <v>0</v>
      </c>
      <c r="O401" s="80">
        <f t="shared" si="59"/>
        <v>2</v>
      </c>
      <c r="P401" s="81">
        <f t="shared" si="60"/>
        <v>2</v>
      </c>
      <c r="Q401" s="82">
        <f t="shared" si="61"/>
        <v>0</v>
      </c>
    </row>
    <row r="402" spans="1:17" ht="17.100000000000001" customHeight="1" x14ac:dyDescent="0.25">
      <c r="A402" s="75">
        <v>6634</v>
      </c>
      <c r="B402" s="76" t="s">
        <v>55</v>
      </c>
      <c r="C402" s="77">
        <v>0</v>
      </c>
      <c r="D402" s="81">
        <v>0</v>
      </c>
      <c r="E402" s="79">
        <v>0</v>
      </c>
      <c r="F402" s="183">
        <v>0</v>
      </c>
      <c r="G402" s="134">
        <v>0</v>
      </c>
      <c r="H402" s="90">
        <v>0</v>
      </c>
      <c r="I402" s="133">
        <v>0</v>
      </c>
      <c r="J402" s="134">
        <v>0</v>
      </c>
      <c r="K402" s="90">
        <v>0</v>
      </c>
      <c r="L402" s="183">
        <v>0</v>
      </c>
      <c r="M402" s="134">
        <v>0</v>
      </c>
      <c r="N402" s="90">
        <v>0</v>
      </c>
      <c r="O402" s="80">
        <f t="shared" si="59"/>
        <v>0</v>
      </c>
      <c r="P402" s="81">
        <f t="shared" si="60"/>
        <v>0</v>
      </c>
      <c r="Q402" s="82">
        <f t="shared" si="61"/>
        <v>0</v>
      </c>
    </row>
    <row r="403" spans="1:17" ht="17.100000000000001" customHeight="1" x14ac:dyDescent="0.25">
      <c r="A403" s="75">
        <v>6635</v>
      </c>
      <c r="B403" s="76" t="s">
        <v>119</v>
      </c>
      <c r="C403" s="77">
        <v>0</v>
      </c>
      <c r="D403" s="81">
        <v>0</v>
      </c>
      <c r="E403" s="79">
        <v>0</v>
      </c>
      <c r="F403" s="183">
        <v>0</v>
      </c>
      <c r="G403" s="134">
        <v>0</v>
      </c>
      <c r="H403" s="90">
        <v>0</v>
      </c>
      <c r="I403" s="133">
        <v>0</v>
      </c>
      <c r="J403" s="134">
        <v>0</v>
      </c>
      <c r="K403" s="90">
        <v>0</v>
      </c>
      <c r="L403" s="183">
        <v>0</v>
      </c>
      <c r="M403" s="134">
        <v>0</v>
      </c>
      <c r="N403" s="90">
        <v>0</v>
      </c>
      <c r="O403" s="80">
        <f t="shared" si="59"/>
        <v>0</v>
      </c>
      <c r="P403" s="81">
        <f t="shared" si="60"/>
        <v>0</v>
      </c>
      <c r="Q403" s="82">
        <f t="shared" si="61"/>
        <v>0</v>
      </c>
    </row>
    <row r="404" spans="1:17" ht="17.100000000000001" customHeight="1" x14ac:dyDescent="0.25">
      <c r="A404" s="75">
        <v>6636</v>
      </c>
      <c r="B404" s="76" t="s">
        <v>145</v>
      </c>
      <c r="C404" s="77">
        <v>0</v>
      </c>
      <c r="D404" s="81">
        <v>0</v>
      </c>
      <c r="E404" s="79">
        <v>0</v>
      </c>
      <c r="F404" s="183">
        <v>0</v>
      </c>
      <c r="G404" s="134">
        <v>0</v>
      </c>
      <c r="H404" s="90">
        <v>0</v>
      </c>
      <c r="I404" s="133">
        <v>0</v>
      </c>
      <c r="J404" s="134">
        <v>0</v>
      </c>
      <c r="K404" s="90">
        <v>0</v>
      </c>
      <c r="L404" s="183">
        <v>0</v>
      </c>
      <c r="M404" s="134">
        <v>0</v>
      </c>
      <c r="N404" s="90">
        <v>0</v>
      </c>
      <c r="O404" s="80">
        <f t="shared" si="59"/>
        <v>0</v>
      </c>
      <c r="P404" s="81">
        <f t="shared" si="60"/>
        <v>0</v>
      </c>
      <c r="Q404" s="82">
        <f t="shared" si="61"/>
        <v>0</v>
      </c>
    </row>
    <row r="405" spans="1:17" ht="17.100000000000001" customHeight="1" x14ac:dyDescent="0.25">
      <c r="A405" s="75">
        <v>6637</v>
      </c>
      <c r="B405" s="76" t="s">
        <v>65</v>
      </c>
      <c r="C405" s="77">
        <v>0</v>
      </c>
      <c r="D405" s="81">
        <v>0</v>
      </c>
      <c r="E405" s="79">
        <v>0</v>
      </c>
      <c r="F405" s="183">
        <v>0</v>
      </c>
      <c r="G405" s="134">
        <v>0</v>
      </c>
      <c r="H405" s="90">
        <v>0</v>
      </c>
      <c r="I405" s="133">
        <v>0</v>
      </c>
      <c r="J405" s="134">
        <v>0</v>
      </c>
      <c r="K405" s="90">
        <v>0</v>
      </c>
      <c r="L405" s="183">
        <v>0</v>
      </c>
      <c r="M405" s="134">
        <v>0</v>
      </c>
      <c r="N405" s="90">
        <v>0</v>
      </c>
      <c r="O405" s="80">
        <f t="shared" si="59"/>
        <v>0</v>
      </c>
      <c r="P405" s="81">
        <f t="shared" si="60"/>
        <v>0</v>
      </c>
      <c r="Q405" s="82">
        <f t="shared" si="61"/>
        <v>0</v>
      </c>
    </row>
    <row r="406" spans="1:17" ht="17.100000000000001" customHeight="1" x14ac:dyDescent="0.25">
      <c r="A406" s="75">
        <v>6638</v>
      </c>
      <c r="B406" s="76" t="s">
        <v>120</v>
      </c>
      <c r="C406" s="77">
        <v>0</v>
      </c>
      <c r="D406" s="81">
        <v>0</v>
      </c>
      <c r="E406" s="79">
        <v>1</v>
      </c>
      <c r="F406" s="183">
        <v>0</v>
      </c>
      <c r="G406" s="134">
        <v>0</v>
      </c>
      <c r="H406" s="90">
        <v>0</v>
      </c>
      <c r="I406" s="133">
        <v>0</v>
      </c>
      <c r="J406" s="134">
        <v>0</v>
      </c>
      <c r="K406" s="90">
        <v>0</v>
      </c>
      <c r="L406" s="183">
        <v>0</v>
      </c>
      <c r="M406" s="134">
        <v>0</v>
      </c>
      <c r="N406" s="90">
        <v>0</v>
      </c>
      <c r="O406" s="80">
        <f t="shared" si="59"/>
        <v>0</v>
      </c>
      <c r="P406" s="81">
        <f t="shared" si="60"/>
        <v>0</v>
      </c>
      <c r="Q406" s="82">
        <f t="shared" si="61"/>
        <v>1</v>
      </c>
    </row>
    <row r="407" spans="1:17" ht="30" customHeight="1" x14ac:dyDescent="0.25">
      <c r="A407" s="75">
        <v>6639</v>
      </c>
      <c r="B407" s="76" t="s">
        <v>216</v>
      </c>
      <c r="C407" s="85">
        <v>7</v>
      </c>
      <c r="D407" s="134">
        <v>1</v>
      </c>
      <c r="E407" s="87">
        <v>1</v>
      </c>
      <c r="F407" s="183">
        <v>0</v>
      </c>
      <c r="G407" s="134">
        <v>0</v>
      </c>
      <c r="H407" s="90">
        <v>0</v>
      </c>
      <c r="I407" s="133">
        <v>0</v>
      </c>
      <c r="J407" s="134">
        <v>0</v>
      </c>
      <c r="K407" s="90">
        <v>0</v>
      </c>
      <c r="L407" s="183">
        <v>0</v>
      </c>
      <c r="M407" s="134">
        <v>0</v>
      </c>
      <c r="N407" s="90">
        <v>0</v>
      </c>
      <c r="O407" s="133">
        <f t="shared" si="59"/>
        <v>7</v>
      </c>
      <c r="P407" s="134">
        <f t="shared" si="60"/>
        <v>1</v>
      </c>
      <c r="Q407" s="90">
        <f t="shared" si="61"/>
        <v>1</v>
      </c>
    </row>
    <row r="408" spans="1:17" ht="30" customHeight="1" thickBot="1" x14ac:dyDescent="0.3">
      <c r="A408" s="36">
        <v>6640</v>
      </c>
      <c r="B408" s="108" t="s">
        <v>217</v>
      </c>
      <c r="C408" s="163">
        <v>0</v>
      </c>
      <c r="D408" s="167">
        <v>0</v>
      </c>
      <c r="E408" s="165">
        <v>0</v>
      </c>
      <c r="F408" s="183">
        <v>0</v>
      </c>
      <c r="G408" s="134">
        <v>0</v>
      </c>
      <c r="H408" s="90">
        <v>0</v>
      </c>
      <c r="I408" s="133">
        <v>0</v>
      </c>
      <c r="J408" s="134">
        <v>0</v>
      </c>
      <c r="K408" s="90">
        <v>0</v>
      </c>
      <c r="L408" s="183">
        <v>0</v>
      </c>
      <c r="M408" s="134">
        <v>0</v>
      </c>
      <c r="N408" s="90">
        <v>0</v>
      </c>
      <c r="O408" s="166">
        <f t="shared" si="59"/>
        <v>0</v>
      </c>
      <c r="P408" s="167">
        <f t="shared" si="60"/>
        <v>0</v>
      </c>
      <c r="Q408" s="168">
        <f t="shared" si="61"/>
        <v>0</v>
      </c>
    </row>
    <row r="409" spans="1:17" ht="17.100000000000001" customHeight="1" thickBot="1" x14ac:dyDescent="0.3">
      <c r="A409" s="189"/>
      <c r="B409" s="172" t="s">
        <v>960</v>
      </c>
      <c r="C409" s="34"/>
      <c r="D409" s="34"/>
      <c r="E409" s="42"/>
      <c r="F409" s="173"/>
      <c r="G409" s="160"/>
      <c r="H409" s="174"/>
      <c r="I409" s="173"/>
      <c r="J409" s="160"/>
      <c r="K409" s="174"/>
      <c r="L409" s="173"/>
      <c r="M409" s="160"/>
      <c r="N409" s="174"/>
      <c r="O409" s="118"/>
      <c r="P409" s="119"/>
      <c r="Q409" s="141"/>
    </row>
    <row r="410" spans="1:17" ht="17.100000000000001" customHeight="1" thickBot="1" x14ac:dyDescent="0.3">
      <c r="A410" s="146">
        <v>7100</v>
      </c>
      <c r="B410" s="147" t="s">
        <v>961</v>
      </c>
      <c r="C410" s="63"/>
      <c r="D410" s="63"/>
      <c r="E410" s="64"/>
      <c r="F410" s="169"/>
      <c r="G410" s="149"/>
      <c r="H410" s="170"/>
      <c r="I410" s="169"/>
      <c r="J410" s="149"/>
      <c r="K410" s="170"/>
      <c r="L410" s="169"/>
      <c r="M410" s="149"/>
      <c r="N410" s="170"/>
      <c r="O410" s="125"/>
      <c r="P410" s="126"/>
      <c r="Q410" s="143"/>
    </row>
    <row r="411" spans="1:17" ht="17.100000000000001" customHeight="1" x14ac:dyDescent="0.25">
      <c r="A411" s="36">
        <v>7101</v>
      </c>
      <c r="B411" s="108" t="s">
        <v>136</v>
      </c>
      <c r="C411" s="38">
        <v>0</v>
      </c>
      <c r="D411" s="39">
        <v>0</v>
      </c>
      <c r="E411" s="40">
        <v>0</v>
      </c>
      <c r="F411" s="187">
        <v>0</v>
      </c>
      <c r="G411" s="181">
        <v>0</v>
      </c>
      <c r="H411" s="182">
        <v>0</v>
      </c>
      <c r="I411" s="187">
        <v>0</v>
      </c>
      <c r="J411" s="181">
        <v>0</v>
      </c>
      <c r="K411" s="182">
        <v>0</v>
      </c>
      <c r="L411" s="187">
        <v>0</v>
      </c>
      <c r="M411" s="181">
        <v>0</v>
      </c>
      <c r="N411" s="182">
        <v>0</v>
      </c>
      <c r="O411" s="112">
        <f t="shared" ref="O411:O420" si="62">C411+F411-I411-L411</f>
        <v>0</v>
      </c>
      <c r="P411" s="39">
        <f t="shared" ref="P411:P420" si="63">D411+G411-J411-M411</f>
        <v>0</v>
      </c>
      <c r="Q411" s="113">
        <f t="shared" ref="Q411:Q420" si="64">E411+H411-K411-N411</f>
        <v>0</v>
      </c>
    </row>
    <row r="412" spans="1:17" ht="17.100000000000001" customHeight="1" x14ac:dyDescent="0.25">
      <c r="A412" s="75">
        <v>7102</v>
      </c>
      <c r="B412" s="76" t="s">
        <v>219</v>
      </c>
      <c r="C412" s="77">
        <v>0</v>
      </c>
      <c r="D412" s="81">
        <v>0</v>
      </c>
      <c r="E412" s="79">
        <v>0</v>
      </c>
      <c r="F412" s="133">
        <v>0</v>
      </c>
      <c r="G412" s="134">
        <v>0</v>
      </c>
      <c r="H412" s="90">
        <v>0</v>
      </c>
      <c r="I412" s="133">
        <v>0</v>
      </c>
      <c r="J412" s="134">
        <v>0</v>
      </c>
      <c r="K412" s="90">
        <v>0</v>
      </c>
      <c r="L412" s="133">
        <v>0</v>
      </c>
      <c r="M412" s="134">
        <v>0</v>
      </c>
      <c r="N412" s="90">
        <v>0</v>
      </c>
      <c r="O412" s="80">
        <f t="shared" si="62"/>
        <v>0</v>
      </c>
      <c r="P412" s="81">
        <f t="shared" si="63"/>
        <v>0</v>
      </c>
      <c r="Q412" s="82">
        <f t="shared" si="64"/>
        <v>0</v>
      </c>
    </row>
    <row r="413" spans="1:17" ht="17.100000000000001" customHeight="1" x14ac:dyDescent="0.25">
      <c r="A413" s="75">
        <v>7103</v>
      </c>
      <c r="B413" s="76" t="s">
        <v>132</v>
      </c>
      <c r="C413" s="77">
        <v>0</v>
      </c>
      <c r="D413" s="81">
        <v>0</v>
      </c>
      <c r="E413" s="79">
        <v>0</v>
      </c>
      <c r="F413" s="133">
        <v>0</v>
      </c>
      <c r="G413" s="134">
        <v>0</v>
      </c>
      <c r="H413" s="90">
        <v>0</v>
      </c>
      <c r="I413" s="133">
        <v>0</v>
      </c>
      <c r="J413" s="134">
        <v>0</v>
      </c>
      <c r="K413" s="90">
        <v>0</v>
      </c>
      <c r="L413" s="133">
        <v>0</v>
      </c>
      <c r="M413" s="134">
        <v>0</v>
      </c>
      <c r="N413" s="90">
        <v>0</v>
      </c>
      <c r="O413" s="80">
        <f t="shared" si="62"/>
        <v>0</v>
      </c>
      <c r="P413" s="81">
        <f t="shared" si="63"/>
        <v>0</v>
      </c>
      <c r="Q413" s="82">
        <f t="shared" si="64"/>
        <v>0</v>
      </c>
    </row>
    <row r="414" spans="1:17" ht="17.100000000000001" customHeight="1" x14ac:dyDescent="0.25">
      <c r="A414" s="75">
        <v>7104</v>
      </c>
      <c r="B414" s="76" t="s">
        <v>116</v>
      </c>
      <c r="C414" s="77">
        <v>0</v>
      </c>
      <c r="D414" s="81">
        <v>0</v>
      </c>
      <c r="E414" s="79">
        <v>0</v>
      </c>
      <c r="F414" s="133">
        <v>0</v>
      </c>
      <c r="G414" s="134">
        <v>0</v>
      </c>
      <c r="H414" s="90">
        <v>0</v>
      </c>
      <c r="I414" s="133">
        <v>0</v>
      </c>
      <c r="J414" s="134">
        <v>0</v>
      </c>
      <c r="K414" s="90">
        <v>0</v>
      </c>
      <c r="L414" s="133">
        <v>0</v>
      </c>
      <c r="M414" s="134">
        <v>0</v>
      </c>
      <c r="N414" s="90">
        <v>0</v>
      </c>
      <c r="O414" s="80">
        <f t="shared" si="62"/>
        <v>0</v>
      </c>
      <c r="P414" s="81">
        <f t="shared" si="63"/>
        <v>0</v>
      </c>
      <c r="Q414" s="82">
        <f t="shared" si="64"/>
        <v>0</v>
      </c>
    </row>
    <row r="415" spans="1:17" ht="17.100000000000001" customHeight="1" x14ac:dyDescent="0.25">
      <c r="A415" s="75">
        <v>7105</v>
      </c>
      <c r="B415" s="76" t="s">
        <v>220</v>
      </c>
      <c r="C415" s="77">
        <v>0</v>
      </c>
      <c r="D415" s="81">
        <v>0</v>
      </c>
      <c r="E415" s="79">
        <v>0</v>
      </c>
      <c r="F415" s="133">
        <v>0</v>
      </c>
      <c r="G415" s="134">
        <v>0</v>
      </c>
      <c r="H415" s="90">
        <v>0</v>
      </c>
      <c r="I415" s="133">
        <v>0</v>
      </c>
      <c r="J415" s="134">
        <v>0</v>
      </c>
      <c r="K415" s="90">
        <v>0</v>
      </c>
      <c r="L415" s="133">
        <v>0</v>
      </c>
      <c r="M415" s="134">
        <v>0</v>
      </c>
      <c r="N415" s="90">
        <v>0</v>
      </c>
      <c r="O415" s="80">
        <f t="shared" si="62"/>
        <v>0</v>
      </c>
      <c r="P415" s="81">
        <f t="shared" si="63"/>
        <v>0</v>
      </c>
      <c r="Q415" s="82">
        <f t="shared" si="64"/>
        <v>0</v>
      </c>
    </row>
    <row r="416" spans="1:17" ht="17.100000000000001" customHeight="1" x14ac:dyDescent="0.25">
      <c r="A416" s="75">
        <v>7106</v>
      </c>
      <c r="B416" s="76" t="s">
        <v>114</v>
      </c>
      <c r="C416" s="77">
        <v>0</v>
      </c>
      <c r="D416" s="81">
        <v>0</v>
      </c>
      <c r="E416" s="79">
        <v>0</v>
      </c>
      <c r="F416" s="133">
        <v>0</v>
      </c>
      <c r="G416" s="134">
        <v>0</v>
      </c>
      <c r="H416" s="90">
        <v>0</v>
      </c>
      <c r="I416" s="133">
        <v>0</v>
      </c>
      <c r="J416" s="134">
        <v>0</v>
      </c>
      <c r="K416" s="90">
        <v>0</v>
      </c>
      <c r="L416" s="133">
        <v>0</v>
      </c>
      <c r="M416" s="134">
        <v>0</v>
      </c>
      <c r="N416" s="90">
        <v>0</v>
      </c>
      <c r="O416" s="80">
        <f t="shared" si="62"/>
        <v>0</v>
      </c>
      <c r="P416" s="81">
        <f t="shared" si="63"/>
        <v>0</v>
      </c>
      <c r="Q416" s="82">
        <f t="shared" si="64"/>
        <v>0</v>
      </c>
    </row>
    <row r="417" spans="1:17" ht="17.100000000000001" customHeight="1" x14ac:dyDescent="0.25">
      <c r="A417" s="75">
        <v>7107</v>
      </c>
      <c r="B417" s="76" t="s">
        <v>221</v>
      </c>
      <c r="C417" s="77">
        <v>0</v>
      </c>
      <c r="D417" s="81">
        <v>0</v>
      </c>
      <c r="E417" s="79">
        <v>0</v>
      </c>
      <c r="F417" s="133">
        <v>0</v>
      </c>
      <c r="G417" s="134">
        <v>0</v>
      </c>
      <c r="H417" s="90">
        <v>0</v>
      </c>
      <c r="I417" s="133">
        <v>0</v>
      </c>
      <c r="J417" s="134">
        <v>0</v>
      </c>
      <c r="K417" s="90">
        <v>0</v>
      </c>
      <c r="L417" s="133">
        <v>0</v>
      </c>
      <c r="M417" s="134">
        <v>0</v>
      </c>
      <c r="N417" s="90">
        <v>0</v>
      </c>
      <c r="O417" s="80">
        <f t="shared" si="62"/>
        <v>0</v>
      </c>
      <c r="P417" s="81">
        <f t="shared" si="63"/>
        <v>0</v>
      </c>
      <c r="Q417" s="82">
        <f t="shared" si="64"/>
        <v>0</v>
      </c>
    </row>
    <row r="418" spans="1:17" ht="17.100000000000001" customHeight="1" x14ac:dyDescent="0.25">
      <c r="A418" s="75">
        <v>7108</v>
      </c>
      <c r="B418" s="76" t="s">
        <v>222</v>
      </c>
      <c r="C418" s="77">
        <v>0</v>
      </c>
      <c r="D418" s="81">
        <v>0</v>
      </c>
      <c r="E418" s="79">
        <v>0</v>
      </c>
      <c r="F418" s="133">
        <v>0</v>
      </c>
      <c r="G418" s="134">
        <v>0</v>
      </c>
      <c r="H418" s="90">
        <v>0</v>
      </c>
      <c r="I418" s="133">
        <v>0</v>
      </c>
      <c r="J418" s="134">
        <v>0</v>
      </c>
      <c r="K418" s="90">
        <v>0</v>
      </c>
      <c r="L418" s="133">
        <v>0</v>
      </c>
      <c r="M418" s="134">
        <v>0</v>
      </c>
      <c r="N418" s="90">
        <v>0</v>
      </c>
      <c r="O418" s="80">
        <f t="shared" si="62"/>
        <v>0</v>
      </c>
      <c r="P418" s="81">
        <f t="shared" si="63"/>
        <v>0</v>
      </c>
      <c r="Q418" s="82">
        <f t="shared" si="64"/>
        <v>0</v>
      </c>
    </row>
    <row r="419" spans="1:17" ht="17.100000000000001" customHeight="1" x14ac:dyDescent="0.25">
      <c r="A419" s="75">
        <v>7109</v>
      </c>
      <c r="B419" s="76" t="s">
        <v>223</v>
      </c>
      <c r="C419" s="77">
        <v>0</v>
      </c>
      <c r="D419" s="81">
        <v>0</v>
      </c>
      <c r="E419" s="79">
        <v>0</v>
      </c>
      <c r="F419" s="133">
        <v>0</v>
      </c>
      <c r="G419" s="134">
        <v>0</v>
      </c>
      <c r="H419" s="90">
        <v>0</v>
      </c>
      <c r="I419" s="133">
        <v>0</v>
      </c>
      <c r="J419" s="134">
        <v>0</v>
      </c>
      <c r="K419" s="90">
        <v>0</v>
      </c>
      <c r="L419" s="133">
        <v>0</v>
      </c>
      <c r="M419" s="134">
        <v>0</v>
      </c>
      <c r="N419" s="90">
        <v>0</v>
      </c>
      <c r="O419" s="80">
        <f t="shared" si="62"/>
        <v>0</v>
      </c>
      <c r="P419" s="81">
        <f t="shared" si="63"/>
        <v>0</v>
      </c>
      <c r="Q419" s="82">
        <f t="shared" si="64"/>
        <v>0</v>
      </c>
    </row>
    <row r="420" spans="1:17" ht="30" customHeight="1" thickBot="1" x14ac:dyDescent="0.3">
      <c r="A420" s="36">
        <v>7110</v>
      </c>
      <c r="B420" s="108" t="s">
        <v>224</v>
      </c>
      <c r="C420" s="163">
        <v>0</v>
      </c>
      <c r="D420" s="167">
        <v>0</v>
      </c>
      <c r="E420" s="165">
        <v>0</v>
      </c>
      <c r="F420" s="166">
        <v>0</v>
      </c>
      <c r="G420" s="167">
        <v>0</v>
      </c>
      <c r="H420" s="168">
        <v>0</v>
      </c>
      <c r="I420" s="166">
        <v>0</v>
      </c>
      <c r="J420" s="167">
        <v>0</v>
      </c>
      <c r="K420" s="168">
        <v>0</v>
      </c>
      <c r="L420" s="166">
        <v>0</v>
      </c>
      <c r="M420" s="167">
        <v>0</v>
      </c>
      <c r="N420" s="168">
        <v>0</v>
      </c>
      <c r="O420" s="166">
        <f t="shared" si="62"/>
        <v>0</v>
      </c>
      <c r="P420" s="167">
        <f t="shared" si="63"/>
        <v>0</v>
      </c>
      <c r="Q420" s="168">
        <f t="shared" si="64"/>
        <v>0</v>
      </c>
    </row>
    <row r="421" spans="1:17" ht="17.100000000000001" customHeight="1" thickBot="1" x14ac:dyDescent="0.3">
      <c r="A421" s="146">
        <v>7200</v>
      </c>
      <c r="B421" s="147" t="s">
        <v>962</v>
      </c>
      <c r="C421" s="63"/>
      <c r="D421" s="63"/>
      <c r="E421" s="63"/>
      <c r="F421" s="190"/>
      <c r="G421" s="191"/>
      <c r="H421" s="192"/>
      <c r="I421" s="190"/>
      <c r="J421" s="191"/>
      <c r="K421" s="192"/>
      <c r="L421" s="190"/>
      <c r="M421" s="191"/>
      <c r="N421" s="192"/>
      <c r="O421" s="125"/>
      <c r="P421" s="126"/>
      <c r="Q421" s="143"/>
    </row>
    <row r="422" spans="1:17" ht="17.100000000000001" customHeight="1" x14ac:dyDescent="0.25">
      <c r="A422" s="36">
        <v>7201</v>
      </c>
      <c r="B422" s="108" t="s">
        <v>632</v>
      </c>
      <c r="C422" s="38">
        <v>0</v>
      </c>
      <c r="D422" s="39">
        <v>0</v>
      </c>
      <c r="E422" s="40">
        <v>0</v>
      </c>
      <c r="F422" s="187">
        <v>0</v>
      </c>
      <c r="G422" s="181">
        <v>0</v>
      </c>
      <c r="H422" s="182">
        <v>0</v>
      </c>
      <c r="I422" s="187">
        <v>0</v>
      </c>
      <c r="J422" s="181">
        <v>0</v>
      </c>
      <c r="K422" s="182">
        <v>0</v>
      </c>
      <c r="L422" s="187">
        <v>0</v>
      </c>
      <c r="M422" s="181">
        <v>0</v>
      </c>
      <c r="N422" s="182">
        <v>0</v>
      </c>
      <c r="O422" s="112">
        <f t="shared" ref="O422:O444" si="65">C422+F422-I422-L422</f>
        <v>0</v>
      </c>
      <c r="P422" s="39">
        <f t="shared" ref="P422:P444" si="66">D422+G422-J422-M422</f>
        <v>0</v>
      </c>
      <c r="Q422" s="113">
        <f t="shared" ref="Q422:Q444" si="67">E422+H422-K422-N422</f>
        <v>0</v>
      </c>
    </row>
    <row r="423" spans="1:17" ht="17.100000000000001" customHeight="1" x14ac:dyDescent="0.25">
      <c r="A423" s="75">
        <v>7202</v>
      </c>
      <c r="B423" s="76" t="s">
        <v>63</v>
      </c>
      <c r="C423" s="77">
        <v>0</v>
      </c>
      <c r="D423" s="81">
        <v>0</v>
      </c>
      <c r="E423" s="79">
        <v>0</v>
      </c>
      <c r="F423" s="133">
        <v>0</v>
      </c>
      <c r="G423" s="134">
        <v>0</v>
      </c>
      <c r="H423" s="90">
        <v>0</v>
      </c>
      <c r="I423" s="133">
        <v>0</v>
      </c>
      <c r="J423" s="134">
        <v>0</v>
      </c>
      <c r="K423" s="90">
        <v>0</v>
      </c>
      <c r="L423" s="133">
        <v>0</v>
      </c>
      <c r="M423" s="134">
        <v>0</v>
      </c>
      <c r="N423" s="90">
        <v>0</v>
      </c>
      <c r="O423" s="80">
        <f t="shared" si="65"/>
        <v>0</v>
      </c>
      <c r="P423" s="81">
        <f t="shared" si="66"/>
        <v>0</v>
      </c>
      <c r="Q423" s="82">
        <f t="shared" si="67"/>
        <v>0</v>
      </c>
    </row>
    <row r="424" spans="1:17" ht="17.100000000000001" customHeight="1" x14ac:dyDescent="0.25">
      <c r="A424" s="75">
        <v>7203</v>
      </c>
      <c r="B424" s="76" t="s">
        <v>119</v>
      </c>
      <c r="C424" s="77">
        <v>0</v>
      </c>
      <c r="D424" s="81">
        <v>0</v>
      </c>
      <c r="E424" s="79">
        <v>0</v>
      </c>
      <c r="F424" s="133">
        <v>0</v>
      </c>
      <c r="G424" s="134">
        <v>0</v>
      </c>
      <c r="H424" s="90">
        <v>0</v>
      </c>
      <c r="I424" s="133">
        <v>0</v>
      </c>
      <c r="J424" s="134">
        <v>0</v>
      </c>
      <c r="K424" s="90">
        <v>0</v>
      </c>
      <c r="L424" s="133">
        <v>0</v>
      </c>
      <c r="M424" s="134">
        <v>0</v>
      </c>
      <c r="N424" s="90">
        <v>0</v>
      </c>
      <c r="O424" s="80">
        <f t="shared" si="65"/>
        <v>0</v>
      </c>
      <c r="P424" s="81">
        <f t="shared" si="66"/>
        <v>0</v>
      </c>
      <c r="Q424" s="82">
        <f t="shared" si="67"/>
        <v>0</v>
      </c>
    </row>
    <row r="425" spans="1:17" ht="17.100000000000001" customHeight="1" x14ac:dyDescent="0.25">
      <c r="A425" s="75">
        <v>7204</v>
      </c>
      <c r="B425" s="76" t="s">
        <v>145</v>
      </c>
      <c r="C425" s="77">
        <v>0</v>
      </c>
      <c r="D425" s="81">
        <v>0</v>
      </c>
      <c r="E425" s="79">
        <v>0</v>
      </c>
      <c r="F425" s="133">
        <v>0</v>
      </c>
      <c r="G425" s="134">
        <v>0</v>
      </c>
      <c r="H425" s="90">
        <v>0</v>
      </c>
      <c r="I425" s="133">
        <v>0</v>
      </c>
      <c r="J425" s="134">
        <v>0</v>
      </c>
      <c r="K425" s="90">
        <v>0</v>
      </c>
      <c r="L425" s="133">
        <v>0</v>
      </c>
      <c r="M425" s="134">
        <v>0</v>
      </c>
      <c r="N425" s="90">
        <v>0</v>
      </c>
      <c r="O425" s="80">
        <f t="shared" si="65"/>
        <v>0</v>
      </c>
      <c r="P425" s="81">
        <f t="shared" si="66"/>
        <v>0</v>
      </c>
      <c r="Q425" s="82">
        <f t="shared" si="67"/>
        <v>0</v>
      </c>
    </row>
    <row r="426" spans="1:17" ht="17.100000000000001" customHeight="1" x14ac:dyDescent="0.25">
      <c r="A426" s="75">
        <v>7205</v>
      </c>
      <c r="B426" s="76" t="s">
        <v>120</v>
      </c>
      <c r="C426" s="77">
        <v>0</v>
      </c>
      <c r="D426" s="81">
        <v>0</v>
      </c>
      <c r="E426" s="79">
        <v>0</v>
      </c>
      <c r="F426" s="133">
        <v>0</v>
      </c>
      <c r="G426" s="134">
        <v>0</v>
      </c>
      <c r="H426" s="90">
        <v>0</v>
      </c>
      <c r="I426" s="133">
        <v>0</v>
      </c>
      <c r="J426" s="134">
        <v>0</v>
      </c>
      <c r="K426" s="90">
        <v>0</v>
      </c>
      <c r="L426" s="133">
        <v>0</v>
      </c>
      <c r="M426" s="134">
        <v>0</v>
      </c>
      <c r="N426" s="90">
        <v>0</v>
      </c>
      <c r="O426" s="80">
        <f t="shared" si="65"/>
        <v>0</v>
      </c>
      <c r="P426" s="81">
        <f t="shared" si="66"/>
        <v>0</v>
      </c>
      <c r="Q426" s="82">
        <f t="shared" si="67"/>
        <v>0</v>
      </c>
    </row>
    <row r="427" spans="1:17" ht="17.100000000000001" customHeight="1" x14ac:dyDescent="0.25">
      <c r="A427" s="75">
        <v>7206</v>
      </c>
      <c r="B427" s="76" t="s">
        <v>55</v>
      </c>
      <c r="C427" s="77">
        <v>0</v>
      </c>
      <c r="D427" s="81">
        <v>0</v>
      </c>
      <c r="E427" s="79">
        <v>0</v>
      </c>
      <c r="F427" s="133">
        <v>0</v>
      </c>
      <c r="G427" s="134">
        <v>0</v>
      </c>
      <c r="H427" s="90">
        <v>0</v>
      </c>
      <c r="I427" s="133">
        <v>0</v>
      </c>
      <c r="J427" s="134">
        <v>0</v>
      </c>
      <c r="K427" s="90">
        <v>0</v>
      </c>
      <c r="L427" s="133">
        <v>0</v>
      </c>
      <c r="M427" s="134">
        <v>0</v>
      </c>
      <c r="N427" s="90">
        <v>0</v>
      </c>
      <c r="O427" s="80">
        <f t="shared" si="65"/>
        <v>0</v>
      </c>
      <c r="P427" s="81">
        <f t="shared" si="66"/>
        <v>0</v>
      </c>
      <c r="Q427" s="82">
        <f t="shared" si="67"/>
        <v>0</v>
      </c>
    </row>
    <row r="428" spans="1:17" ht="17.100000000000001" customHeight="1" x14ac:dyDescent="0.25">
      <c r="A428" s="75">
        <v>7207</v>
      </c>
      <c r="B428" s="76" t="s">
        <v>65</v>
      </c>
      <c r="C428" s="77">
        <v>0</v>
      </c>
      <c r="D428" s="81">
        <v>0</v>
      </c>
      <c r="E428" s="79">
        <v>0</v>
      </c>
      <c r="F428" s="133">
        <v>0</v>
      </c>
      <c r="G428" s="134">
        <v>0</v>
      </c>
      <c r="H428" s="90">
        <v>0</v>
      </c>
      <c r="I428" s="133">
        <v>0</v>
      </c>
      <c r="J428" s="134">
        <v>0</v>
      </c>
      <c r="K428" s="90">
        <v>0</v>
      </c>
      <c r="L428" s="133">
        <v>0</v>
      </c>
      <c r="M428" s="134">
        <v>0</v>
      </c>
      <c r="N428" s="90">
        <v>0</v>
      </c>
      <c r="O428" s="80">
        <f t="shared" si="65"/>
        <v>0</v>
      </c>
      <c r="P428" s="81">
        <f t="shared" si="66"/>
        <v>0</v>
      </c>
      <c r="Q428" s="82">
        <f t="shared" si="67"/>
        <v>0</v>
      </c>
    </row>
    <row r="429" spans="1:17" ht="17.100000000000001" customHeight="1" x14ac:dyDescent="0.25">
      <c r="A429" s="75">
        <v>7208</v>
      </c>
      <c r="B429" s="76" t="s">
        <v>146</v>
      </c>
      <c r="C429" s="77">
        <v>0</v>
      </c>
      <c r="D429" s="81">
        <v>0</v>
      </c>
      <c r="E429" s="79">
        <v>0</v>
      </c>
      <c r="F429" s="133">
        <v>0</v>
      </c>
      <c r="G429" s="134">
        <v>0</v>
      </c>
      <c r="H429" s="90">
        <v>0</v>
      </c>
      <c r="I429" s="133">
        <v>0</v>
      </c>
      <c r="J429" s="134">
        <v>0</v>
      </c>
      <c r="K429" s="90">
        <v>0</v>
      </c>
      <c r="L429" s="133">
        <v>0</v>
      </c>
      <c r="M429" s="134">
        <v>0</v>
      </c>
      <c r="N429" s="90">
        <v>0</v>
      </c>
      <c r="O429" s="80">
        <f t="shared" si="65"/>
        <v>0</v>
      </c>
      <c r="P429" s="81">
        <f t="shared" si="66"/>
        <v>0</v>
      </c>
      <c r="Q429" s="82">
        <f t="shared" si="67"/>
        <v>0</v>
      </c>
    </row>
    <row r="430" spans="1:17" ht="17.100000000000001" customHeight="1" x14ac:dyDescent="0.25">
      <c r="A430" s="75">
        <v>7209</v>
      </c>
      <c r="B430" s="76" t="s">
        <v>147</v>
      </c>
      <c r="C430" s="77">
        <v>0</v>
      </c>
      <c r="D430" s="81">
        <v>0</v>
      </c>
      <c r="E430" s="79">
        <v>0</v>
      </c>
      <c r="F430" s="133">
        <v>0</v>
      </c>
      <c r="G430" s="134">
        <v>0</v>
      </c>
      <c r="H430" s="90">
        <v>0</v>
      </c>
      <c r="I430" s="133">
        <v>0</v>
      </c>
      <c r="J430" s="134">
        <v>0</v>
      </c>
      <c r="K430" s="90">
        <v>0</v>
      </c>
      <c r="L430" s="133">
        <v>0</v>
      </c>
      <c r="M430" s="134">
        <v>0</v>
      </c>
      <c r="N430" s="90">
        <v>0</v>
      </c>
      <c r="O430" s="80">
        <f t="shared" si="65"/>
        <v>0</v>
      </c>
      <c r="P430" s="81">
        <f t="shared" si="66"/>
        <v>0</v>
      </c>
      <c r="Q430" s="82">
        <f t="shared" si="67"/>
        <v>0</v>
      </c>
    </row>
    <row r="431" spans="1:17" ht="17.100000000000001" customHeight="1" x14ac:dyDescent="0.25">
      <c r="A431" s="75">
        <v>7210</v>
      </c>
      <c r="B431" s="76" t="s">
        <v>148</v>
      </c>
      <c r="C431" s="77">
        <v>0</v>
      </c>
      <c r="D431" s="81">
        <v>0</v>
      </c>
      <c r="E431" s="79">
        <v>0</v>
      </c>
      <c r="F431" s="133">
        <v>0</v>
      </c>
      <c r="G431" s="134">
        <v>0</v>
      </c>
      <c r="H431" s="90">
        <v>0</v>
      </c>
      <c r="I431" s="133">
        <v>0</v>
      </c>
      <c r="J431" s="134">
        <v>0</v>
      </c>
      <c r="K431" s="90">
        <v>0</v>
      </c>
      <c r="L431" s="133">
        <v>0</v>
      </c>
      <c r="M431" s="134">
        <v>0</v>
      </c>
      <c r="N431" s="90">
        <v>0</v>
      </c>
      <c r="O431" s="80">
        <f t="shared" si="65"/>
        <v>0</v>
      </c>
      <c r="P431" s="81">
        <f t="shared" si="66"/>
        <v>0</v>
      </c>
      <c r="Q431" s="82">
        <f t="shared" si="67"/>
        <v>0</v>
      </c>
    </row>
    <row r="432" spans="1:17" ht="17.100000000000001" customHeight="1" x14ac:dyDescent="0.25">
      <c r="A432" s="75">
        <v>7211</v>
      </c>
      <c r="B432" s="76" t="s">
        <v>149</v>
      </c>
      <c r="C432" s="77">
        <v>0</v>
      </c>
      <c r="D432" s="81">
        <v>0</v>
      </c>
      <c r="E432" s="79">
        <v>0</v>
      </c>
      <c r="F432" s="133">
        <v>0</v>
      </c>
      <c r="G432" s="134">
        <v>0</v>
      </c>
      <c r="H432" s="90">
        <v>0</v>
      </c>
      <c r="I432" s="133">
        <v>0</v>
      </c>
      <c r="J432" s="134">
        <v>0</v>
      </c>
      <c r="K432" s="90">
        <v>0</v>
      </c>
      <c r="L432" s="133">
        <v>0</v>
      </c>
      <c r="M432" s="134">
        <v>0</v>
      </c>
      <c r="N432" s="90">
        <v>0</v>
      </c>
      <c r="O432" s="80">
        <f t="shared" si="65"/>
        <v>0</v>
      </c>
      <c r="P432" s="81">
        <f t="shared" si="66"/>
        <v>0</v>
      </c>
      <c r="Q432" s="82">
        <f t="shared" si="67"/>
        <v>0</v>
      </c>
    </row>
    <row r="433" spans="1:17" ht="17.100000000000001" customHeight="1" x14ac:dyDescent="0.25">
      <c r="A433" s="75">
        <v>7212</v>
      </c>
      <c r="B433" s="76" t="s">
        <v>150</v>
      </c>
      <c r="C433" s="77">
        <v>0</v>
      </c>
      <c r="D433" s="81">
        <v>0</v>
      </c>
      <c r="E433" s="79">
        <v>0</v>
      </c>
      <c r="F433" s="133">
        <v>0</v>
      </c>
      <c r="G433" s="134">
        <v>0</v>
      </c>
      <c r="H433" s="90">
        <v>0</v>
      </c>
      <c r="I433" s="133">
        <v>0</v>
      </c>
      <c r="J433" s="134">
        <v>0</v>
      </c>
      <c r="K433" s="90">
        <v>0</v>
      </c>
      <c r="L433" s="133">
        <v>0</v>
      </c>
      <c r="M433" s="134">
        <v>0</v>
      </c>
      <c r="N433" s="90">
        <v>0</v>
      </c>
      <c r="O433" s="80">
        <f t="shared" si="65"/>
        <v>0</v>
      </c>
      <c r="P433" s="81">
        <f t="shared" si="66"/>
        <v>0</v>
      </c>
      <c r="Q433" s="82">
        <f t="shared" si="67"/>
        <v>0</v>
      </c>
    </row>
    <row r="434" spans="1:17" ht="17.100000000000001" customHeight="1" x14ac:dyDescent="0.25">
      <c r="A434" s="75">
        <v>7213</v>
      </c>
      <c r="B434" s="76" t="s">
        <v>151</v>
      </c>
      <c r="C434" s="77">
        <v>0</v>
      </c>
      <c r="D434" s="81">
        <v>0</v>
      </c>
      <c r="E434" s="79">
        <v>0</v>
      </c>
      <c r="F434" s="133">
        <v>0</v>
      </c>
      <c r="G434" s="134">
        <v>0</v>
      </c>
      <c r="H434" s="90">
        <v>0</v>
      </c>
      <c r="I434" s="133">
        <v>0</v>
      </c>
      <c r="J434" s="134">
        <v>0</v>
      </c>
      <c r="K434" s="90">
        <v>0</v>
      </c>
      <c r="L434" s="133">
        <v>0</v>
      </c>
      <c r="M434" s="134">
        <v>0</v>
      </c>
      <c r="N434" s="90">
        <v>0</v>
      </c>
      <c r="O434" s="80">
        <f t="shared" si="65"/>
        <v>0</v>
      </c>
      <c r="P434" s="81">
        <f t="shared" si="66"/>
        <v>0</v>
      </c>
      <c r="Q434" s="82">
        <f t="shared" si="67"/>
        <v>0</v>
      </c>
    </row>
    <row r="435" spans="1:17" ht="17.100000000000001" customHeight="1" x14ac:dyDescent="0.25">
      <c r="A435" s="75">
        <v>7214</v>
      </c>
      <c r="B435" s="76" t="s">
        <v>59</v>
      </c>
      <c r="C435" s="77">
        <v>0</v>
      </c>
      <c r="D435" s="81">
        <v>0</v>
      </c>
      <c r="E435" s="79">
        <v>0</v>
      </c>
      <c r="F435" s="133">
        <v>0</v>
      </c>
      <c r="G435" s="134">
        <v>0</v>
      </c>
      <c r="H435" s="90">
        <v>0</v>
      </c>
      <c r="I435" s="133">
        <v>0</v>
      </c>
      <c r="J435" s="134">
        <v>0</v>
      </c>
      <c r="K435" s="90">
        <v>0</v>
      </c>
      <c r="L435" s="133">
        <v>0</v>
      </c>
      <c r="M435" s="134">
        <v>0</v>
      </c>
      <c r="N435" s="90">
        <v>0</v>
      </c>
      <c r="O435" s="80">
        <f t="shared" si="65"/>
        <v>0</v>
      </c>
      <c r="P435" s="81">
        <f t="shared" si="66"/>
        <v>0</v>
      </c>
      <c r="Q435" s="82">
        <f t="shared" si="67"/>
        <v>0</v>
      </c>
    </row>
    <row r="436" spans="1:17" ht="17.100000000000001" customHeight="1" x14ac:dyDescent="0.25">
      <c r="A436" s="75">
        <v>7215</v>
      </c>
      <c r="B436" s="76" t="s">
        <v>60</v>
      </c>
      <c r="C436" s="77">
        <v>0</v>
      </c>
      <c r="D436" s="81">
        <v>0</v>
      </c>
      <c r="E436" s="79">
        <v>0</v>
      </c>
      <c r="F436" s="133">
        <v>0</v>
      </c>
      <c r="G436" s="134">
        <v>0</v>
      </c>
      <c r="H436" s="90">
        <v>0</v>
      </c>
      <c r="I436" s="133">
        <v>0</v>
      </c>
      <c r="J436" s="134">
        <v>0</v>
      </c>
      <c r="K436" s="90">
        <v>0</v>
      </c>
      <c r="L436" s="133">
        <v>0</v>
      </c>
      <c r="M436" s="134">
        <v>0</v>
      </c>
      <c r="N436" s="90">
        <v>0</v>
      </c>
      <c r="O436" s="80">
        <f t="shared" si="65"/>
        <v>0</v>
      </c>
      <c r="P436" s="81">
        <f t="shared" si="66"/>
        <v>0</v>
      </c>
      <c r="Q436" s="82">
        <f t="shared" si="67"/>
        <v>0</v>
      </c>
    </row>
    <row r="437" spans="1:17" ht="17.100000000000001" customHeight="1" x14ac:dyDescent="0.25">
      <c r="A437" s="75">
        <v>7216</v>
      </c>
      <c r="B437" s="76" t="s">
        <v>153</v>
      </c>
      <c r="C437" s="77">
        <v>0</v>
      </c>
      <c r="D437" s="81">
        <v>0</v>
      </c>
      <c r="E437" s="79">
        <v>0</v>
      </c>
      <c r="F437" s="133">
        <v>0</v>
      </c>
      <c r="G437" s="134">
        <v>0</v>
      </c>
      <c r="H437" s="90">
        <v>0</v>
      </c>
      <c r="I437" s="133">
        <v>0</v>
      </c>
      <c r="J437" s="134">
        <v>0</v>
      </c>
      <c r="K437" s="90">
        <v>0</v>
      </c>
      <c r="L437" s="133">
        <v>0</v>
      </c>
      <c r="M437" s="134">
        <v>0</v>
      </c>
      <c r="N437" s="90">
        <v>0</v>
      </c>
      <c r="O437" s="80">
        <f t="shared" si="65"/>
        <v>0</v>
      </c>
      <c r="P437" s="81">
        <f t="shared" si="66"/>
        <v>0</v>
      </c>
      <c r="Q437" s="82">
        <f t="shared" si="67"/>
        <v>0</v>
      </c>
    </row>
    <row r="438" spans="1:17" ht="17.100000000000001" customHeight="1" x14ac:dyDescent="0.25">
      <c r="A438" s="75">
        <v>7217</v>
      </c>
      <c r="B438" s="76" t="s">
        <v>154</v>
      </c>
      <c r="C438" s="77">
        <v>0</v>
      </c>
      <c r="D438" s="81">
        <v>0</v>
      </c>
      <c r="E438" s="79">
        <v>0</v>
      </c>
      <c r="F438" s="133">
        <v>0</v>
      </c>
      <c r="G438" s="134">
        <v>0</v>
      </c>
      <c r="H438" s="90">
        <v>0</v>
      </c>
      <c r="I438" s="133">
        <v>0</v>
      </c>
      <c r="J438" s="134">
        <v>0</v>
      </c>
      <c r="K438" s="90">
        <v>0</v>
      </c>
      <c r="L438" s="133">
        <v>0</v>
      </c>
      <c r="M438" s="134">
        <v>0</v>
      </c>
      <c r="N438" s="90">
        <v>0</v>
      </c>
      <c r="O438" s="80">
        <f t="shared" si="65"/>
        <v>0</v>
      </c>
      <c r="P438" s="81">
        <f t="shared" si="66"/>
        <v>0</v>
      </c>
      <c r="Q438" s="82">
        <f t="shared" si="67"/>
        <v>0</v>
      </c>
    </row>
    <row r="439" spans="1:17" ht="17.100000000000001" customHeight="1" x14ac:dyDescent="0.25">
      <c r="A439" s="75">
        <v>7218</v>
      </c>
      <c r="B439" s="76" t="s">
        <v>155</v>
      </c>
      <c r="C439" s="77">
        <v>0</v>
      </c>
      <c r="D439" s="81">
        <v>0</v>
      </c>
      <c r="E439" s="79">
        <v>0</v>
      </c>
      <c r="F439" s="133">
        <v>0</v>
      </c>
      <c r="G439" s="134">
        <v>0</v>
      </c>
      <c r="H439" s="90">
        <v>0</v>
      </c>
      <c r="I439" s="133">
        <v>0</v>
      </c>
      <c r="J439" s="134">
        <v>0</v>
      </c>
      <c r="K439" s="90">
        <v>0</v>
      </c>
      <c r="L439" s="133">
        <v>0</v>
      </c>
      <c r="M439" s="134">
        <v>0</v>
      </c>
      <c r="N439" s="90">
        <v>0</v>
      </c>
      <c r="O439" s="80">
        <f t="shared" si="65"/>
        <v>0</v>
      </c>
      <c r="P439" s="81">
        <f t="shared" si="66"/>
        <v>0</v>
      </c>
      <c r="Q439" s="82">
        <f t="shared" si="67"/>
        <v>0</v>
      </c>
    </row>
    <row r="440" spans="1:17" ht="17.100000000000001" customHeight="1" x14ac:dyDescent="0.25">
      <c r="A440" s="75">
        <v>7219</v>
      </c>
      <c r="B440" s="76" t="s">
        <v>944</v>
      </c>
      <c r="C440" s="77">
        <v>0</v>
      </c>
      <c r="D440" s="81">
        <v>0</v>
      </c>
      <c r="E440" s="79">
        <v>0</v>
      </c>
      <c r="F440" s="133">
        <v>0</v>
      </c>
      <c r="G440" s="134">
        <v>0</v>
      </c>
      <c r="H440" s="90">
        <v>0</v>
      </c>
      <c r="I440" s="133">
        <v>0</v>
      </c>
      <c r="J440" s="134">
        <v>0</v>
      </c>
      <c r="K440" s="90">
        <v>0</v>
      </c>
      <c r="L440" s="133">
        <v>0</v>
      </c>
      <c r="M440" s="134">
        <v>0</v>
      </c>
      <c r="N440" s="90">
        <v>0</v>
      </c>
      <c r="O440" s="80">
        <f t="shared" si="65"/>
        <v>0</v>
      </c>
      <c r="P440" s="81">
        <f t="shared" si="66"/>
        <v>0</v>
      </c>
      <c r="Q440" s="82">
        <f t="shared" si="67"/>
        <v>0</v>
      </c>
    </row>
    <row r="441" spans="1:17" ht="17.100000000000001" customHeight="1" x14ac:dyDescent="0.25">
      <c r="A441" s="75">
        <v>7220</v>
      </c>
      <c r="B441" s="76" t="s">
        <v>943</v>
      </c>
      <c r="C441" s="77">
        <v>0</v>
      </c>
      <c r="D441" s="81">
        <v>0</v>
      </c>
      <c r="E441" s="79">
        <v>0</v>
      </c>
      <c r="F441" s="133">
        <v>0</v>
      </c>
      <c r="G441" s="134">
        <v>0</v>
      </c>
      <c r="H441" s="90">
        <v>0</v>
      </c>
      <c r="I441" s="133">
        <v>0</v>
      </c>
      <c r="J441" s="134">
        <v>0</v>
      </c>
      <c r="K441" s="90">
        <v>0</v>
      </c>
      <c r="L441" s="133">
        <v>0</v>
      </c>
      <c r="M441" s="134">
        <v>0</v>
      </c>
      <c r="N441" s="90">
        <v>0</v>
      </c>
      <c r="O441" s="80">
        <f t="shared" si="65"/>
        <v>0</v>
      </c>
      <c r="P441" s="81">
        <f t="shared" si="66"/>
        <v>0</v>
      </c>
      <c r="Q441" s="82">
        <f t="shared" si="67"/>
        <v>0</v>
      </c>
    </row>
    <row r="442" spans="1:17" ht="17.100000000000001" customHeight="1" x14ac:dyDescent="0.25">
      <c r="A442" s="75">
        <v>7221</v>
      </c>
      <c r="B442" s="76" t="s">
        <v>944</v>
      </c>
      <c r="C442" s="77">
        <v>0</v>
      </c>
      <c r="D442" s="81">
        <v>0</v>
      </c>
      <c r="E442" s="79">
        <v>0</v>
      </c>
      <c r="F442" s="133">
        <v>0</v>
      </c>
      <c r="G442" s="134">
        <v>0</v>
      </c>
      <c r="H442" s="90">
        <v>0</v>
      </c>
      <c r="I442" s="133">
        <v>0</v>
      </c>
      <c r="J442" s="134">
        <v>0</v>
      </c>
      <c r="K442" s="90">
        <v>0</v>
      </c>
      <c r="L442" s="133">
        <v>0</v>
      </c>
      <c r="M442" s="134">
        <v>0</v>
      </c>
      <c r="N442" s="90">
        <v>0</v>
      </c>
      <c r="O442" s="80">
        <f t="shared" si="65"/>
        <v>0</v>
      </c>
      <c r="P442" s="81">
        <f t="shared" si="66"/>
        <v>0</v>
      </c>
      <c r="Q442" s="82">
        <f t="shared" si="67"/>
        <v>0</v>
      </c>
    </row>
    <row r="443" spans="1:17" ht="17.100000000000001" customHeight="1" x14ac:dyDescent="0.25">
      <c r="A443" s="75">
        <v>7222</v>
      </c>
      <c r="B443" s="76" t="s">
        <v>955</v>
      </c>
      <c r="C443" s="77">
        <v>0</v>
      </c>
      <c r="D443" s="81">
        <v>0</v>
      </c>
      <c r="E443" s="79">
        <v>0</v>
      </c>
      <c r="F443" s="133">
        <v>0</v>
      </c>
      <c r="G443" s="134">
        <v>0</v>
      </c>
      <c r="H443" s="90">
        <v>0</v>
      </c>
      <c r="I443" s="133">
        <v>0</v>
      </c>
      <c r="J443" s="134">
        <v>0</v>
      </c>
      <c r="K443" s="90">
        <v>0</v>
      </c>
      <c r="L443" s="133">
        <v>0</v>
      </c>
      <c r="M443" s="134">
        <v>0</v>
      </c>
      <c r="N443" s="90">
        <v>0</v>
      </c>
      <c r="O443" s="80">
        <f t="shared" si="65"/>
        <v>0</v>
      </c>
      <c r="P443" s="81">
        <f t="shared" si="66"/>
        <v>0</v>
      </c>
      <c r="Q443" s="82">
        <f t="shared" si="67"/>
        <v>0</v>
      </c>
    </row>
    <row r="444" spans="1:17" ht="17.100000000000001" customHeight="1" thickBot="1" x14ac:dyDescent="0.3">
      <c r="A444" s="36">
        <v>7223</v>
      </c>
      <c r="B444" s="108" t="s">
        <v>945</v>
      </c>
      <c r="C444" s="38">
        <v>0</v>
      </c>
      <c r="D444" s="39">
        <v>0</v>
      </c>
      <c r="E444" s="40">
        <v>0</v>
      </c>
      <c r="F444" s="166">
        <v>0</v>
      </c>
      <c r="G444" s="167">
        <v>0</v>
      </c>
      <c r="H444" s="168">
        <v>0</v>
      </c>
      <c r="I444" s="166">
        <v>0</v>
      </c>
      <c r="J444" s="167">
        <v>0</v>
      </c>
      <c r="K444" s="168">
        <v>0</v>
      </c>
      <c r="L444" s="166">
        <v>0</v>
      </c>
      <c r="M444" s="167">
        <v>0</v>
      </c>
      <c r="N444" s="168">
        <v>0</v>
      </c>
      <c r="O444" s="112">
        <f t="shared" si="65"/>
        <v>0</v>
      </c>
      <c r="P444" s="39">
        <f t="shared" si="66"/>
        <v>0</v>
      </c>
      <c r="Q444" s="113">
        <f t="shared" si="67"/>
        <v>0</v>
      </c>
    </row>
    <row r="445" spans="1:17" ht="17.100000000000001" customHeight="1" thickBot="1" x14ac:dyDescent="0.3">
      <c r="A445" s="146">
        <v>7300</v>
      </c>
      <c r="B445" s="147" t="s">
        <v>963</v>
      </c>
      <c r="C445" s="63"/>
      <c r="D445" s="63"/>
      <c r="E445" s="64"/>
      <c r="F445" s="169"/>
      <c r="G445" s="149"/>
      <c r="H445" s="170"/>
      <c r="I445" s="169"/>
      <c r="J445" s="149"/>
      <c r="K445" s="170"/>
      <c r="L445" s="169"/>
      <c r="M445" s="149"/>
      <c r="N445" s="170"/>
      <c r="O445" s="125"/>
      <c r="P445" s="126"/>
      <c r="Q445" s="143"/>
    </row>
    <row r="446" spans="1:17" ht="17.100000000000001" customHeight="1" x14ac:dyDescent="0.25">
      <c r="A446" s="36">
        <v>7301</v>
      </c>
      <c r="B446" s="108" t="s">
        <v>156</v>
      </c>
      <c r="C446" s="38">
        <v>0</v>
      </c>
      <c r="D446" s="161">
        <v>0</v>
      </c>
      <c r="E446" s="40">
        <v>0</v>
      </c>
      <c r="F446" s="187">
        <v>0</v>
      </c>
      <c r="G446" s="181">
        <v>0</v>
      </c>
      <c r="H446" s="182">
        <v>0</v>
      </c>
      <c r="I446" s="187">
        <v>0</v>
      </c>
      <c r="J446" s="181">
        <v>0</v>
      </c>
      <c r="K446" s="182">
        <v>0</v>
      </c>
      <c r="L446" s="187">
        <v>0</v>
      </c>
      <c r="M446" s="181">
        <v>0</v>
      </c>
      <c r="N446" s="182">
        <v>0</v>
      </c>
      <c r="O446" s="112">
        <f t="shared" ref="O446:O457" si="68">C446+F446-I446-L446</f>
        <v>0</v>
      </c>
      <c r="P446" s="39">
        <f t="shared" ref="P446:P457" si="69">D446+G446-J446-M446</f>
        <v>0</v>
      </c>
      <c r="Q446" s="113">
        <f t="shared" ref="Q446:Q457" si="70">E446+H446-K446-N446</f>
        <v>0</v>
      </c>
    </row>
    <row r="447" spans="1:17" ht="17.100000000000001" customHeight="1" x14ac:dyDescent="0.25">
      <c r="A447" s="75">
        <v>7302</v>
      </c>
      <c r="B447" s="76" t="s">
        <v>157</v>
      </c>
      <c r="C447" s="77">
        <v>0</v>
      </c>
      <c r="D447" s="162">
        <v>0</v>
      </c>
      <c r="E447" s="79">
        <v>0</v>
      </c>
      <c r="F447" s="133">
        <v>0</v>
      </c>
      <c r="G447" s="134">
        <v>0</v>
      </c>
      <c r="H447" s="90">
        <v>0</v>
      </c>
      <c r="I447" s="133">
        <v>0</v>
      </c>
      <c r="J447" s="134">
        <v>0</v>
      </c>
      <c r="K447" s="90">
        <v>0</v>
      </c>
      <c r="L447" s="133">
        <v>0</v>
      </c>
      <c r="M447" s="134">
        <v>0</v>
      </c>
      <c r="N447" s="90">
        <v>0</v>
      </c>
      <c r="O447" s="80">
        <f t="shared" si="68"/>
        <v>0</v>
      </c>
      <c r="P447" s="81">
        <f t="shared" si="69"/>
        <v>0</v>
      </c>
      <c r="Q447" s="82">
        <f t="shared" si="70"/>
        <v>0</v>
      </c>
    </row>
    <row r="448" spans="1:17" ht="17.100000000000001" customHeight="1" x14ac:dyDescent="0.25">
      <c r="A448" s="75">
        <v>7303</v>
      </c>
      <c r="B448" s="76" t="s">
        <v>158</v>
      </c>
      <c r="C448" s="77">
        <v>0</v>
      </c>
      <c r="D448" s="162">
        <v>0</v>
      </c>
      <c r="E448" s="79">
        <v>0</v>
      </c>
      <c r="F448" s="133">
        <v>0</v>
      </c>
      <c r="G448" s="134">
        <v>0</v>
      </c>
      <c r="H448" s="90">
        <v>0</v>
      </c>
      <c r="I448" s="133">
        <v>0</v>
      </c>
      <c r="J448" s="134">
        <v>0</v>
      </c>
      <c r="K448" s="90">
        <v>0</v>
      </c>
      <c r="L448" s="133">
        <v>0</v>
      </c>
      <c r="M448" s="134">
        <v>0</v>
      </c>
      <c r="N448" s="90">
        <v>0</v>
      </c>
      <c r="O448" s="80">
        <f t="shared" si="68"/>
        <v>0</v>
      </c>
      <c r="P448" s="81">
        <f t="shared" si="69"/>
        <v>0</v>
      </c>
      <c r="Q448" s="82">
        <f t="shared" si="70"/>
        <v>0</v>
      </c>
    </row>
    <row r="449" spans="1:17" ht="17.100000000000001" customHeight="1" x14ac:dyDescent="0.25">
      <c r="A449" s="75">
        <v>7304</v>
      </c>
      <c r="B449" s="76" t="s">
        <v>159</v>
      </c>
      <c r="C449" s="77">
        <v>0</v>
      </c>
      <c r="D449" s="162">
        <v>0</v>
      </c>
      <c r="E449" s="79">
        <v>0</v>
      </c>
      <c r="F449" s="133">
        <v>0</v>
      </c>
      <c r="G449" s="134">
        <v>0</v>
      </c>
      <c r="H449" s="90">
        <v>0</v>
      </c>
      <c r="I449" s="133">
        <v>0</v>
      </c>
      <c r="J449" s="134">
        <v>0</v>
      </c>
      <c r="K449" s="90">
        <v>0</v>
      </c>
      <c r="L449" s="133">
        <v>0</v>
      </c>
      <c r="M449" s="134">
        <v>0</v>
      </c>
      <c r="N449" s="90">
        <v>0</v>
      </c>
      <c r="O449" s="80">
        <f t="shared" si="68"/>
        <v>0</v>
      </c>
      <c r="P449" s="81">
        <f t="shared" si="69"/>
        <v>0</v>
      </c>
      <c r="Q449" s="82">
        <f t="shared" si="70"/>
        <v>0</v>
      </c>
    </row>
    <row r="450" spans="1:17" ht="17.100000000000001" customHeight="1" x14ac:dyDescent="0.25">
      <c r="A450" s="75">
        <v>7305</v>
      </c>
      <c r="B450" s="76" t="s">
        <v>160</v>
      </c>
      <c r="C450" s="77">
        <v>0</v>
      </c>
      <c r="D450" s="162">
        <v>0</v>
      </c>
      <c r="E450" s="79">
        <v>0</v>
      </c>
      <c r="F450" s="133">
        <v>0</v>
      </c>
      <c r="G450" s="134">
        <v>0</v>
      </c>
      <c r="H450" s="90">
        <v>0</v>
      </c>
      <c r="I450" s="133">
        <v>0</v>
      </c>
      <c r="J450" s="134">
        <v>0</v>
      </c>
      <c r="K450" s="90">
        <v>0</v>
      </c>
      <c r="L450" s="133">
        <v>0</v>
      </c>
      <c r="M450" s="134">
        <v>0</v>
      </c>
      <c r="N450" s="90">
        <v>0</v>
      </c>
      <c r="O450" s="80">
        <f t="shared" si="68"/>
        <v>0</v>
      </c>
      <c r="P450" s="81">
        <f t="shared" si="69"/>
        <v>0</v>
      </c>
      <c r="Q450" s="82">
        <f t="shared" si="70"/>
        <v>0</v>
      </c>
    </row>
    <row r="451" spans="1:17" ht="17.100000000000001" customHeight="1" x14ac:dyDescent="0.25">
      <c r="A451" s="75">
        <v>7306</v>
      </c>
      <c r="B451" s="76" t="s">
        <v>161</v>
      </c>
      <c r="C451" s="77">
        <v>0</v>
      </c>
      <c r="D451" s="162">
        <v>0</v>
      </c>
      <c r="E451" s="79">
        <v>0</v>
      </c>
      <c r="F451" s="133">
        <v>0</v>
      </c>
      <c r="G451" s="134">
        <v>0</v>
      </c>
      <c r="H451" s="90">
        <v>0</v>
      </c>
      <c r="I451" s="133">
        <v>0</v>
      </c>
      <c r="J451" s="134">
        <v>0</v>
      </c>
      <c r="K451" s="90">
        <v>0</v>
      </c>
      <c r="L451" s="133">
        <v>0</v>
      </c>
      <c r="M451" s="134">
        <v>0</v>
      </c>
      <c r="N451" s="90">
        <v>0</v>
      </c>
      <c r="O451" s="80">
        <f t="shared" si="68"/>
        <v>0</v>
      </c>
      <c r="P451" s="81">
        <f t="shared" si="69"/>
        <v>0</v>
      </c>
      <c r="Q451" s="82">
        <f t="shared" si="70"/>
        <v>0</v>
      </c>
    </row>
    <row r="452" spans="1:17" ht="17.100000000000001" customHeight="1" x14ac:dyDescent="0.25">
      <c r="A452" s="75">
        <v>7307</v>
      </c>
      <c r="B452" s="76" t="s">
        <v>162</v>
      </c>
      <c r="C452" s="77">
        <v>0</v>
      </c>
      <c r="D452" s="162">
        <v>0</v>
      </c>
      <c r="E452" s="79">
        <v>0</v>
      </c>
      <c r="F452" s="133">
        <v>0</v>
      </c>
      <c r="G452" s="134">
        <v>0</v>
      </c>
      <c r="H452" s="90">
        <v>0</v>
      </c>
      <c r="I452" s="133">
        <v>0</v>
      </c>
      <c r="J452" s="134">
        <v>0</v>
      </c>
      <c r="K452" s="90">
        <v>0</v>
      </c>
      <c r="L452" s="133">
        <v>0</v>
      </c>
      <c r="M452" s="134">
        <v>0</v>
      </c>
      <c r="N452" s="90">
        <v>0</v>
      </c>
      <c r="O452" s="80">
        <f t="shared" si="68"/>
        <v>0</v>
      </c>
      <c r="P452" s="81">
        <f t="shared" si="69"/>
        <v>0</v>
      </c>
      <c r="Q452" s="82">
        <f t="shared" si="70"/>
        <v>0</v>
      </c>
    </row>
    <row r="453" spans="1:17" ht="17.100000000000001" customHeight="1" x14ac:dyDescent="0.25">
      <c r="A453" s="75">
        <v>7308</v>
      </c>
      <c r="B453" s="76" t="s">
        <v>225</v>
      </c>
      <c r="C453" s="77">
        <v>0</v>
      </c>
      <c r="D453" s="162">
        <v>0</v>
      </c>
      <c r="E453" s="79">
        <v>0</v>
      </c>
      <c r="F453" s="133">
        <v>0</v>
      </c>
      <c r="G453" s="134">
        <v>0</v>
      </c>
      <c r="H453" s="90">
        <v>0</v>
      </c>
      <c r="I453" s="133">
        <v>0</v>
      </c>
      <c r="J453" s="134">
        <v>0</v>
      </c>
      <c r="K453" s="90">
        <v>0</v>
      </c>
      <c r="L453" s="133">
        <v>0</v>
      </c>
      <c r="M453" s="134">
        <v>0</v>
      </c>
      <c r="N453" s="90">
        <v>0</v>
      </c>
      <c r="O453" s="80">
        <f t="shared" si="68"/>
        <v>0</v>
      </c>
      <c r="P453" s="81">
        <f t="shared" si="69"/>
        <v>0</v>
      </c>
      <c r="Q453" s="82">
        <f t="shared" si="70"/>
        <v>0</v>
      </c>
    </row>
    <row r="454" spans="1:17" ht="17.100000000000001" customHeight="1" x14ac:dyDescent="0.25">
      <c r="A454" s="75">
        <v>7309</v>
      </c>
      <c r="B454" s="76" t="s">
        <v>164</v>
      </c>
      <c r="C454" s="77">
        <v>0</v>
      </c>
      <c r="D454" s="162">
        <v>0</v>
      </c>
      <c r="E454" s="79">
        <v>0</v>
      </c>
      <c r="F454" s="133">
        <v>0</v>
      </c>
      <c r="G454" s="134">
        <v>0</v>
      </c>
      <c r="H454" s="90">
        <v>0</v>
      </c>
      <c r="I454" s="133">
        <v>0</v>
      </c>
      <c r="J454" s="134">
        <v>0</v>
      </c>
      <c r="K454" s="90">
        <v>0</v>
      </c>
      <c r="L454" s="133">
        <v>0</v>
      </c>
      <c r="M454" s="134">
        <v>0</v>
      </c>
      <c r="N454" s="90">
        <v>0</v>
      </c>
      <c r="O454" s="80">
        <f t="shared" si="68"/>
        <v>0</v>
      </c>
      <c r="P454" s="81">
        <f t="shared" si="69"/>
        <v>0</v>
      </c>
      <c r="Q454" s="82">
        <f t="shared" si="70"/>
        <v>0</v>
      </c>
    </row>
    <row r="455" spans="1:17" ht="17.100000000000001" customHeight="1" x14ac:dyDescent="0.25">
      <c r="A455" s="75">
        <v>7310</v>
      </c>
      <c r="B455" s="76" t="s">
        <v>86</v>
      </c>
      <c r="C455" s="77">
        <v>0</v>
      </c>
      <c r="D455" s="162">
        <v>0</v>
      </c>
      <c r="E455" s="79">
        <v>0</v>
      </c>
      <c r="F455" s="133">
        <v>0</v>
      </c>
      <c r="G455" s="134">
        <v>0</v>
      </c>
      <c r="H455" s="90">
        <v>0</v>
      </c>
      <c r="I455" s="133">
        <v>0</v>
      </c>
      <c r="J455" s="134">
        <v>0</v>
      </c>
      <c r="K455" s="90">
        <v>0</v>
      </c>
      <c r="L455" s="133">
        <v>0</v>
      </c>
      <c r="M455" s="134">
        <v>0</v>
      </c>
      <c r="N455" s="90">
        <v>0</v>
      </c>
      <c r="O455" s="80">
        <f t="shared" si="68"/>
        <v>0</v>
      </c>
      <c r="P455" s="81">
        <f t="shared" si="69"/>
        <v>0</v>
      </c>
      <c r="Q455" s="82">
        <f t="shared" si="70"/>
        <v>0</v>
      </c>
    </row>
    <row r="456" spans="1:17" ht="17.100000000000001" customHeight="1" x14ac:dyDescent="0.25">
      <c r="A456" s="75">
        <v>7311</v>
      </c>
      <c r="B456" s="76" t="s">
        <v>165</v>
      </c>
      <c r="C456" s="77">
        <v>0</v>
      </c>
      <c r="D456" s="162">
        <v>0</v>
      </c>
      <c r="E456" s="79">
        <v>0</v>
      </c>
      <c r="F456" s="133">
        <v>0</v>
      </c>
      <c r="G456" s="134">
        <v>0</v>
      </c>
      <c r="H456" s="90">
        <v>0</v>
      </c>
      <c r="I456" s="133">
        <v>0</v>
      </c>
      <c r="J456" s="134">
        <v>0</v>
      </c>
      <c r="K456" s="90">
        <v>0</v>
      </c>
      <c r="L456" s="133">
        <v>0</v>
      </c>
      <c r="M456" s="134">
        <v>0</v>
      </c>
      <c r="N456" s="90">
        <v>0</v>
      </c>
      <c r="O456" s="80">
        <f t="shared" si="68"/>
        <v>0</v>
      </c>
      <c r="P456" s="81">
        <f t="shared" si="69"/>
        <v>0</v>
      </c>
      <c r="Q456" s="82">
        <f t="shared" si="70"/>
        <v>0</v>
      </c>
    </row>
    <row r="457" spans="1:17" ht="17.100000000000001" customHeight="1" thickBot="1" x14ac:dyDescent="0.3">
      <c r="A457" s="36">
        <v>7312</v>
      </c>
      <c r="B457" s="108" t="s">
        <v>166</v>
      </c>
      <c r="C457" s="38">
        <v>0</v>
      </c>
      <c r="D457" s="161">
        <v>0</v>
      </c>
      <c r="E457" s="40">
        <v>0</v>
      </c>
      <c r="F457" s="166">
        <v>0</v>
      </c>
      <c r="G457" s="167">
        <v>0</v>
      </c>
      <c r="H457" s="168">
        <v>0</v>
      </c>
      <c r="I457" s="166">
        <v>0</v>
      </c>
      <c r="J457" s="167">
        <v>0</v>
      </c>
      <c r="K457" s="168">
        <v>0</v>
      </c>
      <c r="L457" s="166">
        <v>0</v>
      </c>
      <c r="M457" s="167">
        <v>0</v>
      </c>
      <c r="N457" s="168">
        <v>0</v>
      </c>
      <c r="O457" s="112">
        <f t="shared" si="68"/>
        <v>0</v>
      </c>
      <c r="P457" s="39">
        <f t="shared" si="69"/>
        <v>0</v>
      </c>
      <c r="Q457" s="113">
        <f t="shared" si="70"/>
        <v>0</v>
      </c>
    </row>
    <row r="458" spans="1:17" ht="17.100000000000001" customHeight="1" thickBot="1" x14ac:dyDescent="0.3">
      <c r="A458" s="146">
        <v>7400</v>
      </c>
      <c r="B458" s="147" t="s">
        <v>964</v>
      </c>
      <c r="C458" s="63"/>
      <c r="D458" s="63"/>
      <c r="E458" s="64"/>
      <c r="F458" s="169"/>
      <c r="G458" s="149"/>
      <c r="H458" s="170"/>
      <c r="I458" s="169"/>
      <c r="J458" s="149"/>
      <c r="K458" s="170"/>
      <c r="L458" s="169"/>
      <c r="M458" s="149"/>
      <c r="N458" s="170"/>
      <c r="O458" s="125"/>
      <c r="P458" s="126"/>
      <c r="Q458" s="143"/>
    </row>
    <row r="459" spans="1:17" ht="17.100000000000001" customHeight="1" x14ac:dyDescent="0.25">
      <c r="A459" s="36">
        <v>7401</v>
      </c>
      <c r="B459" s="108" t="s">
        <v>167</v>
      </c>
      <c r="C459" s="38">
        <v>0</v>
      </c>
      <c r="D459" s="39">
        <v>0</v>
      </c>
      <c r="E459" s="40">
        <v>0</v>
      </c>
      <c r="F459" s="187">
        <v>0</v>
      </c>
      <c r="G459" s="181">
        <v>0</v>
      </c>
      <c r="H459" s="182">
        <v>0</v>
      </c>
      <c r="I459" s="187">
        <v>0</v>
      </c>
      <c r="J459" s="181">
        <v>0</v>
      </c>
      <c r="K459" s="182">
        <v>0</v>
      </c>
      <c r="L459" s="187">
        <v>0</v>
      </c>
      <c r="M459" s="181">
        <v>0</v>
      </c>
      <c r="N459" s="182">
        <v>0</v>
      </c>
      <c r="O459" s="112">
        <f t="shared" ref="O459:O463" si="71">C459+F459-I459-L459</f>
        <v>0</v>
      </c>
      <c r="P459" s="39">
        <f t="shared" ref="P459:P463" si="72">D459+G459-J459-M459</f>
        <v>0</v>
      </c>
      <c r="Q459" s="113">
        <f t="shared" ref="Q459:Q463" si="73">E459+H459-K459-N459</f>
        <v>0</v>
      </c>
    </row>
    <row r="460" spans="1:17" ht="17.100000000000001" customHeight="1" x14ac:dyDescent="0.25">
      <c r="A460" s="75">
        <v>7402</v>
      </c>
      <c r="B460" s="76" t="s">
        <v>168</v>
      </c>
      <c r="C460" s="77">
        <v>0</v>
      </c>
      <c r="D460" s="81">
        <v>0</v>
      </c>
      <c r="E460" s="79">
        <v>0</v>
      </c>
      <c r="F460" s="133">
        <v>0</v>
      </c>
      <c r="G460" s="134">
        <v>0</v>
      </c>
      <c r="H460" s="90">
        <v>0</v>
      </c>
      <c r="I460" s="133">
        <v>0</v>
      </c>
      <c r="J460" s="134">
        <v>0</v>
      </c>
      <c r="K460" s="90">
        <v>0</v>
      </c>
      <c r="L460" s="133">
        <v>0</v>
      </c>
      <c r="M460" s="134">
        <v>0</v>
      </c>
      <c r="N460" s="90">
        <v>0</v>
      </c>
      <c r="O460" s="80">
        <f t="shared" si="71"/>
        <v>0</v>
      </c>
      <c r="P460" s="81">
        <f t="shared" si="72"/>
        <v>0</v>
      </c>
      <c r="Q460" s="82">
        <f t="shared" si="73"/>
        <v>0</v>
      </c>
    </row>
    <row r="461" spans="1:17" ht="17.100000000000001" customHeight="1" x14ac:dyDescent="0.25">
      <c r="A461" s="75">
        <v>7403</v>
      </c>
      <c r="B461" s="76" t="s">
        <v>169</v>
      </c>
      <c r="C461" s="77">
        <v>0</v>
      </c>
      <c r="D461" s="81">
        <v>0</v>
      </c>
      <c r="E461" s="79">
        <v>0</v>
      </c>
      <c r="F461" s="133">
        <v>0</v>
      </c>
      <c r="G461" s="134">
        <v>0</v>
      </c>
      <c r="H461" s="90">
        <v>0</v>
      </c>
      <c r="I461" s="133">
        <v>0</v>
      </c>
      <c r="J461" s="134">
        <v>0</v>
      </c>
      <c r="K461" s="90">
        <v>0</v>
      </c>
      <c r="L461" s="133">
        <v>0</v>
      </c>
      <c r="M461" s="134">
        <v>0</v>
      </c>
      <c r="N461" s="90">
        <v>0</v>
      </c>
      <c r="O461" s="80">
        <f t="shared" si="71"/>
        <v>0</v>
      </c>
      <c r="P461" s="81">
        <f t="shared" si="72"/>
        <v>0</v>
      </c>
      <c r="Q461" s="82">
        <f t="shared" si="73"/>
        <v>0</v>
      </c>
    </row>
    <row r="462" spans="1:17" ht="17.100000000000001" customHeight="1" x14ac:dyDescent="0.25">
      <c r="A462" s="75">
        <v>7404</v>
      </c>
      <c r="B462" s="76" t="s">
        <v>175</v>
      </c>
      <c r="C462" s="77">
        <v>0</v>
      </c>
      <c r="D462" s="81">
        <v>0</v>
      </c>
      <c r="E462" s="79">
        <v>0</v>
      </c>
      <c r="F462" s="133">
        <v>0</v>
      </c>
      <c r="G462" s="134">
        <v>0</v>
      </c>
      <c r="H462" s="90">
        <v>0</v>
      </c>
      <c r="I462" s="133">
        <v>0</v>
      </c>
      <c r="J462" s="134">
        <v>0</v>
      </c>
      <c r="K462" s="90">
        <v>0</v>
      </c>
      <c r="L462" s="133">
        <v>0</v>
      </c>
      <c r="M462" s="134">
        <v>0</v>
      </c>
      <c r="N462" s="90">
        <v>0</v>
      </c>
      <c r="O462" s="80">
        <f t="shared" si="71"/>
        <v>0</v>
      </c>
      <c r="P462" s="81">
        <f t="shared" si="72"/>
        <v>0</v>
      </c>
      <c r="Q462" s="82">
        <f t="shared" si="73"/>
        <v>0</v>
      </c>
    </row>
    <row r="463" spans="1:17" ht="17.100000000000001" customHeight="1" thickBot="1" x14ac:dyDescent="0.3">
      <c r="A463" s="36">
        <v>7405</v>
      </c>
      <c r="B463" s="108" t="s">
        <v>176</v>
      </c>
      <c r="C463" s="38">
        <v>0</v>
      </c>
      <c r="D463" s="39">
        <v>0</v>
      </c>
      <c r="E463" s="40">
        <v>0</v>
      </c>
      <c r="F463" s="166">
        <v>0</v>
      </c>
      <c r="G463" s="167">
        <v>0</v>
      </c>
      <c r="H463" s="168">
        <v>0</v>
      </c>
      <c r="I463" s="166">
        <v>0</v>
      </c>
      <c r="J463" s="167">
        <v>0</v>
      </c>
      <c r="K463" s="168">
        <v>0</v>
      </c>
      <c r="L463" s="166">
        <v>0</v>
      </c>
      <c r="M463" s="167">
        <v>0</v>
      </c>
      <c r="N463" s="168">
        <v>0</v>
      </c>
      <c r="O463" s="112">
        <f t="shared" si="71"/>
        <v>0</v>
      </c>
      <c r="P463" s="39">
        <f t="shared" si="72"/>
        <v>0</v>
      </c>
      <c r="Q463" s="113">
        <f t="shared" si="73"/>
        <v>0</v>
      </c>
    </row>
    <row r="464" spans="1:17" ht="30" customHeight="1" thickBot="1" x14ac:dyDescent="0.3">
      <c r="A464" s="106">
        <v>7500</v>
      </c>
      <c r="B464" s="107" t="s">
        <v>965</v>
      </c>
      <c r="C464" s="63"/>
      <c r="D464" s="63"/>
      <c r="E464" s="64"/>
      <c r="F464" s="169"/>
      <c r="G464" s="149"/>
      <c r="H464" s="170"/>
      <c r="I464" s="169"/>
      <c r="J464" s="149"/>
      <c r="K464" s="170"/>
      <c r="L464" s="169"/>
      <c r="M464" s="149"/>
      <c r="N464" s="170"/>
      <c r="O464" s="125"/>
      <c r="P464" s="126"/>
      <c r="Q464" s="143"/>
    </row>
    <row r="465" spans="1:17" ht="17.100000000000001" customHeight="1" x14ac:dyDescent="0.25">
      <c r="A465" s="36">
        <v>7501</v>
      </c>
      <c r="B465" s="108" t="s">
        <v>112</v>
      </c>
      <c r="C465" s="38">
        <v>1</v>
      </c>
      <c r="D465" s="39">
        <v>0</v>
      </c>
      <c r="E465" s="40">
        <v>0</v>
      </c>
      <c r="F465" s="187">
        <v>0</v>
      </c>
      <c r="G465" s="181">
        <v>0</v>
      </c>
      <c r="H465" s="182">
        <v>0</v>
      </c>
      <c r="I465" s="187">
        <v>0</v>
      </c>
      <c r="J465" s="181">
        <v>0</v>
      </c>
      <c r="K465" s="182">
        <v>0</v>
      </c>
      <c r="L465" s="187">
        <v>0</v>
      </c>
      <c r="M465" s="181">
        <v>0</v>
      </c>
      <c r="N465" s="182">
        <v>0</v>
      </c>
      <c r="O465" s="112">
        <f t="shared" ref="O465:O494" si="74">C465+F465-I465-L465</f>
        <v>1</v>
      </c>
      <c r="P465" s="39">
        <f t="shared" ref="P465:P494" si="75">D465+G465-J465-M465</f>
        <v>0</v>
      </c>
      <c r="Q465" s="113">
        <f t="shared" ref="Q465:Q494" si="76">E465+H465-K465-N465</f>
        <v>0</v>
      </c>
    </row>
    <row r="466" spans="1:17" ht="17.100000000000001" customHeight="1" x14ac:dyDescent="0.25">
      <c r="A466" s="75">
        <v>7502</v>
      </c>
      <c r="B466" s="76" t="s">
        <v>177</v>
      </c>
      <c r="C466" s="77">
        <v>0</v>
      </c>
      <c r="D466" s="81">
        <v>0</v>
      </c>
      <c r="E466" s="79">
        <v>0</v>
      </c>
      <c r="F466" s="133">
        <v>0</v>
      </c>
      <c r="G466" s="134">
        <v>0</v>
      </c>
      <c r="H466" s="90">
        <v>0</v>
      </c>
      <c r="I466" s="133">
        <v>0</v>
      </c>
      <c r="J466" s="134">
        <v>0</v>
      </c>
      <c r="K466" s="90">
        <v>0</v>
      </c>
      <c r="L466" s="133">
        <v>0</v>
      </c>
      <c r="M466" s="134">
        <v>0</v>
      </c>
      <c r="N466" s="90">
        <v>0</v>
      </c>
      <c r="O466" s="80">
        <f t="shared" si="74"/>
        <v>0</v>
      </c>
      <c r="P466" s="81">
        <f t="shared" si="75"/>
        <v>0</v>
      </c>
      <c r="Q466" s="82">
        <f t="shared" si="76"/>
        <v>0</v>
      </c>
    </row>
    <row r="467" spans="1:17" ht="17.100000000000001" customHeight="1" x14ac:dyDescent="0.25">
      <c r="A467" s="75">
        <v>7503</v>
      </c>
      <c r="B467" s="76" t="s">
        <v>104</v>
      </c>
      <c r="C467" s="77">
        <v>0</v>
      </c>
      <c r="D467" s="81">
        <v>0</v>
      </c>
      <c r="E467" s="79">
        <v>0</v>
      </c>
      <c r="F467" s="133">
        <v>0</v>
      </c>
      <c r="G467" s="134">
        <v>0</v>
      </c>
      <c r="H467" s="90">
        <v>0</v>
      </c>
      <c r="I467" s="133">
        <v>0</v>
      </c>
      <c r="J467" s="134">
        <v>0</v>
      </c>
      <c r="K467" s="90">
        <v>0</v>
      </c>
      <c r="L467" s="133">
        <v>0</v>
      </c>
      <c r="M467" s="134">
        <v>0</v>
      </c>
      <c r="N467" s="90">
        <v>0</v>
      </c>
      <c r="O467" s="80">
        <f t="shared" si="74"/>
        <v>0</v>
      </c>
      <c r="P467" s="81">
        <f t="shared" si="75"/>
        <v>0</v>
      </c>
      <c r="Q467" s="82">
        <f t="shared" si="76"/>
        <v>0</v>
      </c>
    </row>
    <row r="468" spans="1:17" ht="17.100000000000001" customHeight="1" x14ac:dyDescent="0.25">
      <c r="A468" s="75">
        <v>7504</v>
      </c>
      <c r="B468" s="76" t="s">
        <v>179</v>
      </c>
      <c r="C468" s="77">
        <v>0</v>
      </c>
      <c r="D468" s="81">
        <v>0</v>
      </c>
      <c r="E468" s="79">
        <v>0</v>
      </c>
      <c r="F468" s="133">
        <v>0</v>
      </c>
      <c r="G468" s="134">
        <v>0</v>
      </c>
      <c r="H468" s="90">
        <v>0</v>
      </c>
      <c r="I468" s="133">
        <v>0</v>
      </c>
      <c r="J468" s="134">
        <v>0</v>
      </c>
      <c r="K468" s="90">
        <v>0</v>
      </c>
      <c r="L468" s="133">
        <v>0</v>
      </c>
      <c r="M468" s="134">
        <v>0</v>
      </c>
      <c r="N468" s="90">
        <v>0</v>
      </c>
      <c r="O468" s="80">
        <f t="shared" si="74"/>
        <v>0</v>
      </c>
      <c r="P468" s="81">
        <f t="shared" si="75"/>
        <v>0</v>
      </c>
      <c r="Q468" s="82">
        <f t="shared" si="76"/>
        <v>0</v>
      </c>
    </row>
    <row r="469" spans="1:17" ht="17.100000000000001" customHeight="1" x14ac:dyDescent="0.25">
      <c r="A469" s="75">
        <v>7505</v>
      </c>
      <c r="B469" s="76" t="s">
        <v>180</v>
      </c>
      <c r="C469" s="77">
        <v>0</v>
      </c>
      <c r="D469" s="81">
        <v>0</v>
      </c>
      <c r="E469" s="79">
        <v>0</v>
      </c>
      <c r="F469" s="133">
        <v>0</v>
      </c>
      <c r="G469" s="134">
        <v>0</v>
      </c>
      <c r="H469" s="90">
        <v>0</v>
      </c>
      <c r="I469" s="133">
        <v>0</v>
      </c>
      <c r="J469" s="134">
        <v>0</v>
      </c>
      <c r="K469" s="90">
        <v>0</v>
      </c>
      <c r="L469" s="133">
        <v>0</v>
      </c>
      <c r="M469" s="134">
        <v>0</v>
      </c>
      <c r="N469" s="90">
        <v>0</v>
      </c>
      <c r="O469" s="80">
        <f t="shared" si="74"/>
        <v>0</v>
      </c>
      <c r="P469" s="81">
        <f t="shared" si="75"/>
        <v>0</v>
      </c>
      <c r="Q469" s="82">
        <f t="shared" si="76"/>
        <v>0</v>
      </c>
    </row>
    <row r="470" spans="1:17" ht="17.100000000000001" customHeight="1" x14ac:dyDescent="0.25">
      <c r="A470" s="75">
        <v>7506</v>
      </c>
      <c r="B470" s="76" t="s">
        <v>102</v>
      </c>
      <c r="C470" s="77">
        <v>0</v>
      </c>
      <c r="D470" s="81">
        <v>0</v>
      </c>
      <c r="E470" s="79">
        <v>0</v>
      </c>
      <c r="F470" s="133">
        <v>0</v>
      </c>
      <c r="G470" s="134">
        <v>0</v>
      </c>
      <c r="H470" s="90">
        <v>0</v>
      </c>
      <c r="I470" s="133">
        <v>0</v>
      </c>
      <c r="J470" s="134">
        <v>0</v>
      </c>
      <c r="K470" s="90">
        <v>0</v>
      </c>
      <c r="L470" s="133">
        <v>0</v>
      </c>
      <c r="M470" s="134">
        <v>0</v>
      </c>
      <c r="N470" s="90">
        <v>0</v>
      </c>
      <c r="O470" s="80">
        <f t="shared" si="74"/>
        <v>0</v>
      </c>
      <c r="P470" s="81">
        <f t="shared" si="75"/>
        <v>0</v>
      </c>
      <c r="Q470" s="82">
        <f t="shared" si="76"/>
        <v>0</v>
      </c>
    </row>
    <row r="471" spans="1:17" ht="17.100000000000001" customHeight="1" x14ac:dyDescent="0.25">
      <c r="A471" s="75">
        <v>7507</v>
      </c>
      <c r="B471" s="76" t="s">
        <v>121</v>
      </c>
      <c r="C471" s="77">
        <v>0</v>
      </c>
      <c r="D471" s="81">
        <v>0</v>
      </c>
      <c r="E471" s="79">
        <v>0</v>
      </c>
      <c r="F471" s="133">
        <v>0</v>
      </c>
      <c r="G471" s="134">
        <v>0</v>
      </c>
      <c r="H471" s="90">
        <v>0</v>
      </c>
      <c r="I471" s="133">
        <v>0</v>
      </c>
      <c r="J471" s="134">
        <v>0</v>
      </c>
      <c r="K471" s="90">
        <v>0</v>
      </c>
      <c r="L471" s="133">
        <v>0</v>
      </c>
      <c r="M471" s="134">
        <v>0</v>
      </c>
      <c r="N471" s="90">
        <v>0</v>
      </c>
      <c r="O471" s="80">
        <f t="shared" si="74"/>
        <v>0</v>
      </c>
      <c r="P471" s="81">
        <f t="shared" si="75"/>
        <v>0</v>
      </c>
      <c r="Q471" s="82">
        <f t="shared" si="76"/>
        <v>0</v>
      </c>
    </row>
    <row r="472" spans="1:17" ht="17.100000000000001" customHeight="1" x14ac:dyDescent="0.25">
      <c r="A472" s="75">
        <v>7508</v>
      </c>
      <c r="B472" s="76" t="s">
        <v>87</v>
      </c>
      <c r="C472" s="77">
        <v>0</v>
      </c>
      <c r="D472" s="81">
        <v>0</v>
      </c>
      <c r="E472" s="79">
        <v>0</v>
      </c>
      <c r="F472" s="133">
        <v>0</v>
      </c>
      <c r="G472" s="134">
        <v>0</v>
      </c>
      <c r="H472" s="90">
        <v>0</v>
      </c>
      <c r="I472" s="133">
        <v>0</v>
      </c>
      <c r="J472" s="134">
        <v>0</v>
      </c>
      <c r="K472" s="90">
        <v>0</v>
      </c>
      <c r="L472" s="133">
        <v>0</v>
      </c>
      <c r="M472" s="134">
        <v>0</v>
      </c>
      <c r="N472" s="90">
        <v>0</v>
      </c>
      <c r="O472" s="80">
        <f t="shared" si="74"/>
        <v>0</v>
      </c>
      <c r="P472" s="81">
        <f t="shared" si="75"/>
        <v>0</v>
      </c>
      <c r="Q472" s="82">
        <f t="shared" si="76"/>
        <v>0</v>
      </c>
    </row>
    <row r="473" spans="1:17" ht="17.100000000000001" customHeight="1" x14ac:dyDescent="0.25">
      <c r="A473" s="75">
        <v>7509</v>
      </c>
      <c r="B473" s="76" t="s">
        <v>182</v>
      </c>
      <c r="C473" s="77">
        <v>0</v>
      </c>
      <c r="D473" s="81">
        <v>0</v>
      </c>
      <c r="E473" s="79">
        <v>0</v>
      </c>
      <c r="F473" s="133">
        <v>0</v>
      </c>
      <c r="G473" s="134">
        <v>0</v>
      </c>
      <c r="H473" s="90">
        <v>0</v>
      </c>
      <c r="I473" s="133">
        <v>0</v>
      </c>
      <c r="J473" s="134">
        <v>0</v>
      </c>
      <c r="K473" s="90">
        <v>0</v>
      </c>
      <c r="L473" s="133">
        <v>0</v>
      </c>
      <c r="M473" s="134">
        <v>0</v>
      </c>
      <c r="N473" s="90">
        <v>0</v>
      </c>
      <c r="O473" s="80">
        <f t="shared" si="74"/>
        <v>0</v>
      </c>
      <c r="P473" s="81">
        <f t="shared" si="75"/>
        <v>0</v>
      </c>
      <c r="Q473" s="82">
        <f t="shared" si="76"/>
        <v>0</v>
      </c>
    </row>
    <row r="474" spans="1:17" ht="17.100000000000001" customHeight="1" x14ac:dyDescent="0.25">
      <c r="A474" s="75">
        <v>7510</v>
      </c>
      <c r="B474" s="76" t="s">
        <v>98</v>
      </c>
      <c r="C474" s="77">
        <v>0</v>
      </c>
      <c r="D474" s="81">
        <v>0</v>
      </c>
      <c r="E474" s="79">
        <v>0</v>
      </c>
      <c r="F474" s="133">
        <v>0</v>
      </c>
      <c r="G474" s="134">
        <v>0</v>
      </c>
      <c r="H474" s="90">
        <v>0</v>
      </c>
      <c r="I474" s="133">
        <v>0</v>
      </c>
      <c r="J474" s="134">
        <v>0</v>
      </c>
      <c r="K474" s="90">
        <v>0</v>
      </c>
      <c r="L474" s="133">
        <v>0</v>
      </c>
      <c r="M474" s="134">
        <v>0</v>
      </c>
      <c r="N474" s="90">
        <v>0</v>
      </c>
      <c r="O474" s="80">
        <f t="shared" si="74"/>
        <v>0</v>
      </c>
      <c r="P474" s="81">
        <f t="shared" si="75"/>
        <v>0</v>
      </c>
      <c r="Q474" s="82">
        <f t="shared" si="76"/>
        <v>0</v>
      </c>
    </row>
    <row r="475" spans="1:17" ht="17.100000000000001" customHeight="1" x14ac:dyDescent="0.25">
      <c r="A475" s="75">
        <v>7511</v>
      </c>
      <c r="B475" s="76" t="s">
        <v>103</v>
      </c>
      <c r="C475" s="77">
        <v>0</v>
      </c>
      <c r="D475" s="81">
        <v>0</v>
      </c>
      <c r="E475" s="79">
        <v>0</v>
      </c>
      <c r="F475" s="133">
        <v>0</v>
      </c>
      <c r="G475" s="134">
        <v>0</v>
      </c>
      <c r="H475" s="90">
        <v>0</v>
      </c>
      <c r="I475" s="133">
        <v>0</v>
      </c>
      <c r="J475" s="134">
        <v>0</v>
      </c>
      <c r="K475" s="90">
        <v>0</v>
      </c>
      <c r="L475" s="133">
        <v>0</v>
      </c>
      <c r="M475" s="134">
        <v>0</v>
      </c>
      <c r="N475" s="90">
        <v>0</v>
      </c>
      <c r="O475" s="80">
        <f t="shared" si="74"/>
        <v>0</v>
      </c>
      <c r="P475" s="81">
        <f t="shared" si="75"/>
        <v>0</v>
      </c>
      <c r="Q475" s="82">
        <f t="shared" si="76"/>
        <v>0</v>
      </c>
    </row>
    <row r="476" spans="1:17" ht="17.100000000000001" customHeight="1" x14ac:dyDescent="0.25">
      <c r="A476" s="75">
        <v>7512</v>
      </c>
      <c r="B476" s="76" t="s">
        <v>183</v>
      </c>
      <c r="C476" s="77">
        <v>0</v>
      </c>
      <c r="D476" s="81">
        <v>0</v>
      </c>
      <c r="E476" s="79">
        <v>0</v>
      </c>
      <c r="F476" s="133">
        <v>0</v>
      </c>
      <c r="G476" s="134">
        <v>0</v>
      </c>
      <c r="H476" s="90">
        <v>0</v>
      </c>
      <c r="I476" s="133">
        <v>0</v>
      </c>
      <c r="J476" s="134">
        <v>0</v>
      </c>
      <c r="K476" s="90">
        <v>0</v>
      </c>
      <c r="L476" s="133">
        <v>0</v>
      </c>
      <c r="M476" s="134">
        <v>0</v>
      </c>
      <c r="N476" s="90">
        <v>0</v>
      </c>
      <c r="O476" s="80">
        <f t="shared" si="74"/>
        <v>0</v>
      </c>
      <c r="P476" s="81">
        <f t="shared" si="75"/>
        <v>0</v>
      </c>
      <c r="Q476" s="82">
        <f t="shared" si="76"/>
        <v>0</v>
      </c>
    </row>
    <row r="477" spans="1:17" ht="17.100000000000001" customHeight="1" x14ac:dyDescent="0.25">
      <c r="A477" s="75">
        <v>7513</v>
      </c>
      <c r="B477" s="76" t="s">
        <v>184</v>
      </c>
      <c r="C477" s="77">
        <v>0</v>
      </c>
      <c r="D477" s="81">
        <v>0</v>
      </c>
      <c r="E477" s="79">
        <v>0</v>
      </c>
      <c r="F477" s="133">
        <v>0</v>
      </c>
      <c r="G477" s="134">
        <v>0</v>
      </c>
      <c r="H477" s="90">
        <v>0</v>
      </c>
      <c r="I477" s="133">
        <v>0</v>
      </c>
      <c r="J477" s="134">
        <v>0</v>
      </c>
      <c r="K477" s="90">
        <v>0</v>
      </c>
      <c r="L477" s="133">
        <v>0</v>
      </c>
      <c r="M477" s="134">
        <v>0</v>
      </c>
      <c r="N477" s="90">
        <v>0</v>
      </c>
      <c r="O477" s="80">
        <f t="shared" si="74"/>
        <v>0</v>
      </c>
      <c r="P477" s="81">
        <f t="shared" si="75"/>
        <v>0</v>
      </c>
      <c r="Q477" s="82">
        <f t="shared" si="76"/>
        <v>0</v>
      </c>
    </row>
    <row r="478" spans="1:17" ht="17.100000000000001" customHeight="1" x14ac:dyDescent="0.25">
      <c r="A478" s="75">
        <v>7514</v>
      </c>
      <c r="B478" s="76" t="s">
        <v>108</v>
      </c>
      <c r="C478" s="77">
        <v>0</v>
      </c>
      <c r="D478" s="81">
        <v>0</v>
      </c>
      <c r="E478" s="79">
        <v>0</v>
      </c>
      <c r="F478" s="133">
        <v>0</v>
      </c>
      <c r="G478" s="134">
        <v>0</v>
      </c>
      <c r="H478" s="90">
        <v>0</v>
      </c>
      <c r="I478" s="133">
        <v>0</v>
      </c>
      <c r="J478" s="134">
        <v>0</v>
      </c>
      <c r="K478" s="90">
        <v>0</v>
      </c>
      <c r="L478" s="133">
        <v>0</v>
      </c>
      <c r="M478" s="134">
        <v>0</v>
      </c>
      <c r="N478" s="90">
        <v>0</v>
      </c>
      <c r="O478" s="80">
        <f t="shared" si="74"/>
        <v>0</v>
      </c>
      <c r="P478" s="81">
        <f t="shared" si="75"/>
        <v>0</v>
      </c>
      <c r="Q478" s="82">
        <f t="shared" si="76"/>
        <v>0</v>
      </c>
    </row>
    <row r="479" spans="1:17" ht="17.100000000000001" customHeight="1" x14ac:dyDescent="0.25">
      <c r="A479" s="75">
        <v>7515</v>
      </c>
      <c r="B479" s="76" t="s">
        <v>185</v>
      </c>
      <c r="C479" s="77">
        <v>0</v>
      </c>
      <c r="D479" s="81">
        <v>0</v>
      </c>
      <c r="E479" s="79">
        <v>0</v>
      </c>
      <c r="F479" s="133">
        <v>0</v>
      </c>
      <c r="G479" s="134">
        <v>0</v>
      </c>
      <c r="H479" s="90">
        <v>0</v>
      </c>
      <c r="I479" s="133">
        <v>0</v>
      </c>
      <c r="J479" s="134">
        <v>0</v>
      </c>
      <c r="K479" s="90">
        <v>0</v>
      </c>
      <c r="L479" s="133">
        <v>0</v>
      </c>
      <c r="M479" s="134">
        <v>0</v>
      </c>
      <c r="N479" s="90">
        <v>0</v>
      </c>
      <c r="O479" s="80">
        <f t="shared" si="74"/>
        <v>0</v>
      </c>
      <c r="P479" s="81">
        <f t="shared" si="75"/>
        <v>0</v>
      </c>
      <c r="Q479" s="82">
        <f t="shared" si="76"/>
        <v>0</v>
      </c>
    </row>
    <row r="480" spans="1:17" ht="17.100000000000001" customHeight="1" x14ac:dyDescent="0.25">
      <c r="A480" s="75">
        <v>7516</v>
      </c>
      <c r="B480" s="76" t="s">
        <v>109</v>
      </c>
      <c r="C480" s="77">
        <v>0</v>
      </c>
      <c r="D480" s="81">
        <v>0</v>
      </c>
      <c r="E480" s="79">
        <v>0</v>
      </c>
      <c r="F480" s="133">
        <v>0</v>
      </c>
      <c r="G480" s="134">
        <v>0</v>
      </c>
      <c r="H480" s="90">
        <v>0</v>
      </c>
      <c r="I480" s="133">
        <v>0</v>
      </c>
      <c r="J480" s="134">
        <v>0</v>
      </c>
      <c r="K480" s="90">
        <v>0</v>
      </c>
      <c r="L480" s="133">
        <v>0</v>
      </c>
      <c r="M480" s="134">
        <v>0</v>
      </c>
      <c r="N480" s="90">
        <v>0</v>
      </c>
      <c r="O480" s="80">
        <f t="shared" si="74"/>
        <v>0</v>
      </c>
      <c r="P480" s="81">
        <f t="shared" si="75"/>
        <v>0</v>
      </c>
      <c r="Q480" s="82">
        <f t="shared" si="76"/>
        <v>0</v>
      </c>
    </row>
    <row r="481" spans="1:17" ht="17.100000000000001" customHeight="1" x14ac:dyDescent="0.25">
      <c r="A481" s="75">
        <v>7517</v>
      </c>
      <c r="B481" s="76" t="s">
        <v>186</v>
      </c>
      <c r="C481" s="77">
        <v>0</v>
      </c>
      <c r="D481" s="81">
        <v>0</v>
      </c>
      <c r="E481" s="79">
        <v>0</v>
      </c>
      <c r="F481" s="133">
        <v>0</v>
      </c>
      <c r="G481" s="134">
        <v>0</v>
      </c>
      <c r="H481" s="90">
        <v>0</v>
      </c>
      <c r="I481" s="133">
        <v>0</v>
      </c>
      <c r="J481" s="134">
        <v>0</v>
      </c>
      <c r="K481" s="90">
        <v>0</v>
      </c>
      <c r="L481" s="133">
        <v>0</v>
      </c>
      <c r="M481" s="134">
        <v>0</v>
      </c>
      <c r="N481" s="90">
        <v>0</v>
      </c>
      <c r="O481" s="80">
        <f t="shared" si="74"/>
        <v>0</v>
      </c>
      <c r="P481" s="81">
        <f t="shared" si="75"/>
        <v>0</v>
      </c>
      <c r="Q481" s="82">
        <f t="shared" si="76"/>
        <v>0</v>
      </c>
    </row>
    <row r="482" spans="1:17" ht="17.100000000000001" customHeight="1" x14ac:dyDescent="0.25">
      <c r="A482" s="75">
        <v>7518</v>
      </c>
      <c r="B482" s="76" t="s">
        <v>187</v>
      </c>
      <c r="C482" s="77">
        <v>0</v>
      </c>
      <c r="D482" s="81">
        <v>0</v>
      </c>
      <c r="E482" s="79">
        <v>0</v>
      </c>
      <c r="F482" s="133">
        <v>0</v>
      </c>
      <c r="G482" s="134">
        <v>0</v>
      </c>
      <c r="H482" s="90">
        <v>0</v>
      </c>
      <c r="I482" s="133">
        <v>0</v>
      </c>
      <c r="J482" s="134">
        <v>0</v>
      </c>
      <c r="K482" s="90">
        <v>0</v>
      </c>
      <c r="L482" s="133">
        <v>0</v>
      </c>
      <c r="M482" s="134">
        <v>0</v>
      </c>
      <c r="N482" s="90">
        <v>0</v>
      </c>
      <c r="O482" s="80">
        <f t="shared" si="74"/>
        <v>0</v>
      </c>
      <c r="P482" s="81">
        <f t="shared" si="75"/>
        <v>0</v>
      </c>
      <c r="Q482" s="82">
        <f t="shared" si="76"/>
        <v>0</v>
      </c>
    </row>
    <row r="483" spans="1:17" ht="17.100000000000001" customHeight="1" x14ac:dyDescent="0.25">
      <c r="A483" s="75">
        <v>7519</v>
      </c>
      <c r="B483" s="76" t="s">
        <v>188</v>
      </c>
      <c r="C483" s="77">
        <v>0</v>
      </c>
      <c r="D483" s="81">
        <v>0</v>
      </c>
      <c r="E483" s="79">
        <v>0</v>
      </c>
      <c r="F483" s="133">
        <v>0</v>
      </c>
      <c r="G483" s="134">
        <v>0</v>
      </c>
      <c r="H483" s="90">
        <v>0</v>
      </c>
      <c r="I483" s="133">
        <v>0</v>
      </c>
      <c r="J483" s="134">
        <v>0</v>
      </c>
      <c r="K483" s="90">
        <v>0</v>
      </c>
      <c r="L483" s="133">
        <v>0</v>
      </c>
      <c r="M483" s="134">
        <v>0</v>
      </c>
      <c r="N483" s="90">
        <v>0</v>
      </c>
      <c r="O483" s="80">
        <f t="shared" si="74"/>
        <v>0</v>
      </c>
      <c r="P483" s="81">
        <f t="shared" si="75"/>
        <v>0</v>
      </c>
      <c r="Q483" s="82">
        <f t="shared" si="76"/>
        <v>0</v>
      </c>
    </row>
    <row r="484" spans="1:17" ht="17.100000000000001" customHeight="1" x14ac:dyDescent="0.25">
      <c r="A484" s="75">
        <v>7520</v>
      </c>
      <c r="B484" s="76" t="s">
        <v>227</v>
      </c>
      <c r="C484" s="77">
        <v>0</v>
      </c>
      <c r="D484" s="81">
        <v>0</v>
      </c>
      <c r="E484" s="79">
        <v>0</v>
      </c>
      <c r="F484" s="133">
        <v>0</v>
      </c>
      <c r="G484" s="134">
        <v>0</v>
      </c>
      <c r="H484" s="90">
        <v>0</v>
      </c>
      <c r="I484" s="133">
        <v>0</v>
      </c>
      <c r="J484" s="134">
        <v>0</v>
      </c>
      <c r="K484" s="90">
        <v>0</v>
      </c>
      <c r="L484" s="133">
        <v>0</v>
      </c>
      <c r="M484" s="134">
        <v>0</v>
      </c>
      <c r="N484" s="90">
        <v>0</v>
      </c>
      <c r="O484" s="80">
        <f t="shared" si="74"/>
        <v>0</v>
      </c>
      <c r="P484" s="81">
        <f t="shared" si="75"/>
        <v>0</v>
      </c>
      <c r="Q484" s="82">
        <f t="shared" si="76"/>
        <v>0</v>
      </c>
    </row>
    <row r="485" spans="1:17" ht="17.100000000000001" customHeight="1" x14ac:dyDescent="0.25">
      <c r="A485" s="75">
        <v>7521</v>
      </c>
      <c r="B485" s="76" t="s">
        <v>189</v>
      </c>
      <c r="C485" s="77">
        <v>0</v>
      </c>
      <c r="D485" s="81">
        <v>0</v>
      </c>
      <c r="E485" s="79">
        <v>0</v>
      </c>
      <c r="F485" s="133">
        <v>0</v>
      </c>
      <c r="G485" s="134">
        <v>0</v>
      </c>
      <c r="H485" s="90">
        <v>0</v>
      </c>
      <c r="I485" s="133">
        <v>0</v>
      </c>
      <c r="J485" s="134">
        <v>0</v>
      </c>
      <c r="K485" s="90">
        <v>0</v>
      </c>
      <c r="L485" s="133">
        <v>0</v>
      </c>
      <c r="M485" s="134">
        <v>0</v>
      </c>
      <c r="N485" s="90">
        <v>0</v>
      </c>
      <c r="O485" s="80">
        <f t="shared" si="74"/>
        <v>0</v>
      </c>
      <c r="P485" s="81">
        <f t="shared" si="75"/>
        <v>0</v>
      </c>
      <c r="Q485" s="82">
        <f t="shared" si="76"/>
        <v>0</v>
      </c>
    </row>
    <row r="486" spans="1:17" ht="17.100000000000001" customHeight="1" x14ac:dyDescent="0.25">
      <c r="A486" s="75">
        <v>7522</v>
      </c>
      <c r="B486" s="76" t="s">
        <v>237</v>
      </c>
      <c r="C486" s="77">
        <v>0</v>
      </c>
      <c r="D486" s="81">
        <v>0</v>
      </c>
      <c r="E486" s="79">
        <v>0</v>
      </c>
      <c r="F486" s="133">
        <v>0</v>
      </c>
      <c r="G486" s="134">
        <v>0</v>
      </c>
      <c r="H486" s="90">
        <v>0</v>
      </c>
      <c r="I486" s="133">
        <v>0</v>
      </c>
      <c r="J486" s="134">
        <v>0</v>
      </c>
      <c r="K486" s="90">
        <v>0</v>
      </c>
      <c r="L486" s="133">
        <v>0</v>
      </c>
      <c r="M486" s="134">
        <v>0</v>
      </c>
      <c r="N486" s="90">
        <v>0</v>
      </c>
      <c r="O486" s="80">
        <f t="shared" si="74"/>
        <v>0</v>
      </c>
      <c r="P486" s="81">
        <f t="shared" si="75"/>
        <v>0</v>
      </c>
      <c r="Q486" s="82">
        <f t="shared" si="76"/>
        <v>0</v>
      </c>
    </row>
    <row r="487" spans="1:17" ht="17.100000000000001" customHeight="1" x14ac:dyDescent="0.25">
      <c r="A487" s="75">
        <v>7523</v>
      </c>
      <c r="B487" s="76" t="s">
        <v>191</v>
      </c>
      <c r="C487" s="77">
        <v>0</v>
      </c>
      <c r="D487" s="81">
        <v>0</v>
      </c>
      <c r="E487" s="79">
        <v>0</v>
      </c>
      <c r="F487" s="133">
        <v>0</v>
      </c>
      <c r="G487" s="134">
        <v>0</v>
      </c>
      <c r="H487" s="90">
        <v>0</v>
      </c>
      <c r="I487" s="133">
        <v>0</v>
      </c>
      <c r="J487" s="134">
        <v>0</v>
      </c>
      <c r="K487" s="90">
        <v>0</v>
      </c>
      <c r="L487" s="133">
        <v>0</v>
      </c>
      <c r="M487" s="134">
        <v>0</v>
      </c>
      <c r="N487" s="90">
        <v>0</v>
      </c>
      <c r="O487" s="80">
        <f t="shared" si="74"/>
        <v>0</v>
      </c>
      <c r="P487" s="81">
        <f t="shared" si="75"/>
        <v>0</v>
      </c>
      <c r="Q487" s="82">
        <f t="shared" si="76"/>
        <v>0</v>
      </c>
    </row>
    <row r="488" spans="1:17" ht="30" customHeight="1" x14ac:dyDescent="0.25">
      <c r="A488" s="75">
        <v>7524</v>
      </c>
      <c r="B488" s="76" t="s">
        <v>192</v>
      </c>
      <c r="C488" s="85">
        <v>0</v>
      </c>
      <c r="D488" s="134">
        <v>0</v>
      </c>
      <c r="E488" s="87">
        <v>0</v>
      </c>
      <c r="F488" s="133">
        <v>0</v>
      </c>
      <c r="G488" s="134">
        <v>0</v>
      </c>
      <c r="H488" s="90">
        <v>0</v>
      </c>
      <c r="I488" s="133">
        <v>0</v>
      </c>
      <c r="J488" s="134">
        <v>0</v>
      </c>
      <c r="K488" s="90">
        <v>0</v>
      </c>
      <c r="L488" s="133">
        <v>0</v>
      </c>
      <c r="M488" s="134">
        <v>0</v>
      </c>
      <c r="N488" s="90">
        <v>0</v>
      </c>
      <c r="O488" s="133">
        <f t="shared" si="74"/>
        <v>0</v>
      </c>
      <c r="P488" s="134">
        <f t="shared" si="75"/>
        <v>0</v>
      </c>
      <c r="Q488" s="90">
        <f t="shared" si="76"/>
        <v>0</v>
      </c>
    </row>
    <row r="489" spans="1:17" ht="17.100000000000001" customHeight="1" x14ac:dyDescent="0.25">
      <c r="A489" s="75">
        <v>7525</v>
      </c>
      <c r="B489" s="76" t="s">
        <v>193</v>
      </c>
      <c r="C489" s="77">
        <v>0</v>
      </c>
      <c r="D489" s="81">
        <v>0</v>
      </c>
      <c r="E489" s="79">
        <v>0</v>
      </c>
      <c r="F489" s="133">
        <v>0</v>
      </c>
      <c r="G489" s="134">
        <v>0</v>
      </c>
      <c r="H489" s="90">
        <v>0</v>
      </c>
      <c r="I489" s="133">
        <v>0</v>
      </c>
      <c r="J489" s="134">
        <v>0</v>
      </c>
      <c r="K489" s="90">
        <v>0</v>
      </c>
      <c r="L489" s="133">
        <v>0</v>
      </c>
      <c r="M489" s="134">
        <v>0</v>
      </c>
      <c r="N489" s="90">
        <v>0</v>
      </c>
      <c r="O489" s="80">
        <f t="shared" si="74"/>
        <v>0</v>
      </c>
      <c r="P489" s="81">
        <f t="shared" si="75"/>
        <v>0</v>
      </c>
      <c r="Q489" s="82">
        <f t="shared" si="76"/>
        <v>0</v>
      </c>
    </row>
    <row r="490" spans="1:17" ht="17.100000000000001" customHeight="1" x14ac:dyDescent="0.25">
      <c r="A490" s="75">
        <v>7526</v>
      </c>
      <c r="B490" s="76" t="s">
        <v>228</v>
      </c>
      <c r="C490" s="77">
        <v>0</v>
      </c>
      <c r="D490" s="81">
        <v>0</v>
      </c>
      <c r="E490" s="79">
        <v>0</v>
      </c>
      <c r="F490" s="133">
        <v>0</v>
      </c>
      <c r="G490" s="134">
        <v>0</v>
      </c>
      <c r="H490" s="90">
        <v>0</v>
      </c>
      <c r="I490" s="133">
        <v>0</v>
      </c>
      <c r="J490" s="134">
        <v>0</v>
      </c>
      <c r="K490" s="90">
        <v>0</v>
      </c>
      <c r="L490" s="133">
        <v>0</v>
      </c>
      <c r="M490" s="134">
        <v>0</v>
      </c>
      <c r="N490" s="90">
        <v>0</v>
      </c>
      <c r="O490" s="80">
        <f t="shared" si="74"/>
        <v>0</v>
      </c>
      <c r="P490" s="81">
        <f t="shared" si="75"/>
        <v>0</v>
      </c>
      <c r="Q490" s="82">
        <f t="shared" si="76"/>
        <v>0</v>
      </c>
    </row>
    <row r="491" spans="1:17" ht="17.100000000000001" customHeight="1" x14ac:dyDescent="0.25">
      <c r="A491" s="75">
        <v>7527</v>
      </c>
      <c r="B491" s="76" t="s">
        <v>229</v>
      </c>
      <c r="C491" s="77">
        <v>0</v>
      </c>
      <c r="D491" s="81">
        <v>0</v>
      </c>
      <c r="E491" s="79">
        <v>0</v>
      </c>
      <c r="F491" s="133">
        <v>0</v>
      </c>
      <c r="G491" s="134">
        <v>0</v>
      </c>
      <c r="H491" s="90">
        <v>0</v>
      </c>
      <c r="I491" s="133">
        <v>0</v>
      </c>
      <c r="J491" s="134">
        <v>0</v>
      </c>
      <c r="K491" s="90">
        <v>0</v>
      </c>
      <c r="L491" s="133">
        <v>0</v>
      </c>
      <c r="M491" s="134">
        <v>0</v>
      </c>
      <c r="N491" s="90">
        <v>0</v>
      </c>
      <c r="O491" s="80">
        <f t="shared" si="74"/>
        <v>0</v>
      </c>
      <c r="P491" s="81">
        <f t="shared" si="75"/>
        <v>0</v>
      </c>
      <c r="Q491" s="82">
        <f t="shared" si="76"/>
        <v>0</v>
      </c>
    </row>
    <row r="492" spans="1:17" ht="17.100000000000001" customHeight="1" x14ac:dyDescent="0.25">
      <c r="A492" s="75">
        <v>7528</v>
      </c>
      <c r="B492" s="76" t="s">
        <v>197</v>
      </c>
      <c r="C492" s="77">
        <v>0</v>
      </c>
      <c r="D492" s="81">
        <v>0</v>
      </c>
      <c r="E492" s="79">
        <v>0</v>
      </c>
      <c r="F492" s="133">
        <v>0</v>
      </c>
      <c r="G492" s="134">
        <v>0</v>
      </c>
      <c r="H492" s="90">
        <v>0</v>
      </c>
      <c r="I492" s="133">
        <v>0</v>
      </c>
      <c r="J492" s="134">
        <v>0</v>
      </c>
      <c r="K492" s="90">
        <v>0</v>
      </c>
      <c r="L492" s="133">
        <v>0</v>
      </c>
      <c r="M492" s="134">
        <v>0</v>
      </c>
      <c r="N492" s="90">
        <v>0</v>
      </c>
      <c r="O492" s="80">
        <f t="shared" si="74"/>
        <v>0</v>
      </c>
      <c r="P492" s="81">
        <f t="shared" si="75"/>
        <v>0</v>
      </c>
      <c r="Q492" s="82">
        <f t="shared" si="76"/>
        <v>0</v>
      </c>
    </row>
    <row r="493" spans="1:17" ht="30" customHeight="1" x14ac:dyDescent="0.25">
      <c r="A493" s="75">
        <v>7529</v>
      </c>
      <c r="B493" s="76" t="s">
        <v>201</v>
      </c>
      <c r="C493" s="85">
        <v>0</v>
      </c>
      <c r="D493" s="134">
        <v>0</v>
      </c>
      <c r="E493" s="87">
        <v>0</v>
      </c>
      <c r="F493" s="133">
        <v>0</v>
      </c>
      <c r="G493" s="134">
        <v>0</v>
      </c>
      <c r="H493" s="90">
        <v>0</v>
      </c>
      <c r="I493" s="133">
        <v>0</v>
      </c>
      <c r="J493" s="134">
        <v>0</v>
      </c>
      <c r="K493" s="90">
        <v>0</v>
      </c>
      <c r="L493" s="133">
        <v>0</v>
      </c>
      <c r="M493" s="134">
        <v>0</v>
      </c>
      <c r="N493" s="90">
        <v>0</v>
      </c>
      <c r="O493" s="133">
        <f t="shared" si="74"/>
        <v>0</v>
      </c>
      <c r="P493" s="134">
        <f t="shared" si="75"/>
        <v>0</v>
      </c>
      <c r="Q493" s="90">
        <f t="shared" si="76"/>
        <v>0</v>
      </c>
    </row>
    <row r="494" spans="1:17" ht="30" customHeight="1" thickBot="1" x14ac:dyDescent="0.3">
      <c r="A494" s="36">
        <v>7530</v>
      </c>
      <c r="B494" s="108" t="s">
        <v>202</v>
      </c>
      <c r="C494" s="163">
        <v>0</v>
      </c>
      <c r="D494" s="167">
        <v>0</v>
      </c>
      <c r="E494" s="165">
        <v>0</v>
      </c>
      <c r="F494" s="166">
        <v>0</v>
      </c>
      <c r="G494" s="167">
        <v>0</v>
      </c>
      <c r="H494" s="168">
        <v>0</v>
      </c>
      <c r="I494" s="166">
        <v>0</v>
      </c>
      <c r="J494" s="167">
        <v>0</v>
      </c>
      <c r="K494" s="168">
        <v>0</v>
      </c>
      <c r="L494" s="166">
        <v>0</v>
      </c>
      <c r="M494" s="167">
        <v>0</v>
      </c>
      <c r="N494" s="168">
        <v>0</v>
      </c>
      <c r="O494" s="166">
        <f t="shared" si="74"/>
        <v>0</v>
      </c>
      <c r="P494" s="167">
        <f t="shared" si="75"/>
        <v>0</v>
      </c>
      <c r="Q494" s="168">
        <f t="shared" si="76"/>
        <v>0</v>
      </c>
    </row>
    <row r="495" spans="1:17" ht="17.100000000000001" customHeight="1" thickBot="1" x14ac:dyDescent="0.3">
      <c r="A495" s="106">
        <v>7600</v>
      </c>
      <c r="B495" s="107" t="s">
        <v>966</v>
      </c>
      <c r="C495" s="63"/>
      <c r="D495" s="63"/>
      <c r="E495" s="64"/>
      <c r="F495" s="169"/>
      <c r="G495" s="149"/>
      <c r="H495" s="170"/>
      <c r="I495" s="169"/>
      <c r="J495" s="149"/>
      <c r="K495" s="170"/>
      <c r="L495" s="169"/>
      <c r="M495" s="149"/>
      <c r="N495" s="170"/>
      <c r="O495" s="125"/>
      <c r="P495" s="126"/>
      <c r="Q495" s="143"/>
    </row>
    <row r="496" spans="1:17" ht="17.100000000000001" customHeight="1" x14ac:dyDescent="0.25">
      <c r="A496" s="36">
        <v>7601</v>
      </c>
      <c r="B496" s="108" t="s">
        <v>230</v>
      </c>
      <c r="C496" s="38">
        <v>0</v>
      </c>
      <c r="D496" s="39">
        <v>0</v>
      </c>
      <c r="E496" s="40">
        <v>0</v>
      </c>
      <c r="F496" s="187">
        <v>0</v>
      </c>
      <c r="G496" s="181">
        <v>0</v>
      </c>
      <c r="H496" s="182">
        <v>0</v>
      </c>
      <c r="I496" s="187">
        <v>0</v>
      </c>
      <c r="J496" s="181">
        <v>0</v>
      </c>
      <c r="K496" s="182">
        <v>0</v>
      </c>
      <c r="L496" s="187">
        <v>0</v>
      </c>
      <c r="M496" s="181">
        <v>0</v>
      </c>
      <c r="N496" s="182">
        <v>0</v>
      </c>
      <c r="O496" s="112">
        <f t="shared" ref="O496:O535" si="77">C496+F496-I496-L496</f>
        <v>0</v>
      </c>
      <c r="P496" s="39">
        <f t="shared" ref="P496:P535" si="78">D496+G496-J496-M496</f>
        <v>0</v>
      </c>
      <c r="Q496" s="113">
        <f t="shared" ref="Q496:Q535" si="79">E496+H496-K496-N496</f>
        <v>0</v>
      </c>
    </row>
    <row r="497" spans="1:17" ht="17.100000000000001" customHeight="1" x14ac:dyDescent="0.25">
      <c r="A497" s="75">
        <v>7602</v>
      </c>
      <c r="B497" s="76" t="s">
        <v>205</v>
      </c>
      <c r="C497" s="77">
        <v>0</v>
      </c>
      <c r="D497" s="81">
        <v>0</v>
      </c>
      <c r="E497" s="79">
        <v>0</v>
      </c>
      <c r="F497" s="133">
        <v>0</v>
      </c>
      <c r="G497" s="134">
        <v>0</v>
      </c>
      <c r="H497" s="90">
        <v>0</v>
      </c>
      <c r="I497" s="133">
        <v>0</v>
      </c>
      <c r="J497" s="134">
        <v>0</v>
      </c>
      <c r="K497" s="90">
        <v>0</v>
      </c>
      <c r="L497" s="133">
        <v>0</v>
      </c>
      <c r="M497" s="134">
        <v>0</v>
      </c>
      <c r="N497" s="90">
        <v>0</v>
      </c>
      <c r="O497" s="80">
        <f t="shared" si="77"/>
        <v>0</v>
      </c>
      <c r="P497" s="81">
        <f t="shared" si="78"/>
        <v>0</v>
      </c>
      <c r="Q497" s="82">
        <f t="shared" si="79"/>
        <v>0</v>
      </c>
    </row>
    <row r="498" spans="1:17" ht="17.100000000000001" customHeight="1" x14ac:dyDescent="0.25">
      <c r="A498" s="75">
        <v>7603</v>
      </c>
      <c r="B498" s="76" t="s">
        <v>231</v>
      </c>
      <c r="C498" s="77">
        <v>0</v>
      </c>
      <c r="D498" s="81">
        <v>0</v>
      </c>
      <c r="E498" s="79">
        <v>0</v>
      </c>
      <c r="F498" s="133">
        <v>0</v>
      </c>
      <c r="G498" s="134">
        <v>0</v>
      </c>
      <c r="H498" s="90">
        <v>0</v>
      </c>
      <c r="I498" s="133">
        <v>0</v>
      </c>
      <c r="J498" s="134">
        <v>0</v>
      </c>
      <c r="K498" s="90">
        <v>0</v>
      </c>
      <c r="L498" s="133">
        <v>0</v>
      </c>
      <c r="M498" s="134">
        <v>0</v>
      </c>
      <c r="N498" s="90">
        <v>0</v>
      </c>
      <c r="O498" s="80">
        <f t="shared" si="77"/>
        <v>0</v>
      </c>
      <c r="P498" s="81">
        <f t="shared" si="78"/>
        <v>0</v>
      </c>
      <c r="Q498" s="82">
        <f t="shared" si="79"/>
        <v>0</v>
      </c>
    </row>
    <row r="499" spans="1:17" ht="17.100000000000001" customHeight="1" x14ac:dyDescent="0.25">
      <c r="A499" s="75">
        <v>7604</v>
      </c>
      <c r="B499" s="76" t="s">
        <v>204</v>
      </c>
      <c r="C499" s="77">
        <v>0</v>
      </c>
      <c r="D499" s="81">
        <v>0</v>
      </c>
      <c r="E499" s="79">
        <v>0</v>
      </c>
      <c r="F499" s="133">
        <v>0</v>
      </c>
      <c r="G499" s="134">
        <v>0</v>
      </c>
      <c r="H499" s="90">
        <v>0</v>
      </c>
      <c r="I499" s="133">
        <v>0</v>
      </c>
      <c r="J499" s="134">
        <v>0</v>
      </c>
      <c r="K499" s="90">
        <v>0</v>
      </c>
      <c r="L499" s="133">
        <v>0</v>
      </c>
      <c r="M499" s="134">
        <v>0</v>
      </c>
      <c r="N499" s="90">
        <v>0</v>
      </c>
      <c r="O499" s="80">
        <f t="shared" si="77"/>
        <v>0</v>
      </c>
      <c r="P499" s="81">
        <f t="shared" si="78"/>
        <v>0</v>
      </c>
      <c r="Q499" s="82">
        <f t="shared" si="79"/>
        <v>0</v>
      </c>
    </row>
    <row r="500" spans="1:17" ht="17.100000000000001" customHeight="1" x14ac:dyDescent="0.25">
      <c r="A500" s="75">
        <v>7605</v>
      </c>
      <c r="B500" s="76" t="s">
        <v>98</v>
      </c>
      <c r="C500" s="77">
        <v>0</v>
      </c>
      <c r="D500" s="81">
        <v>0</v>
      </c>
      <c r="E500" s="79">
        <v>0</v>
      </c>
      <c r="F500" s="133">
        <v>0</v>
      </c>
      <c r="G500" s="134">
        <v>0</v>
      </c>
      <c r="H500" s="90">
        <v>0</v>
      </c>
      <c r="I500" s="133">
        <v>0</v>
      </c>
      <c r="J500" s="134">
        <v>0</v>
      </c>
      <c r="K500" s="90">
        <v>0</v>
      </c>
      <c r="L500" s="133">
        <v>0</v>
      </c>
      <c r="M500" s="134">
        <v>0</v>
      </c>
      <c r="N500" s="90">
        <v>0</v>
      </c>
      <c r="O500" s="80">
        <f t="shared" si="77"/>
        <v>0</v>
      </c>
      <c r="P500" s="81">
        <f t="shared" si="78"/>
        <v>0</v>
      </c>
      <c r="Q500" s="82">
        <f t="shared" si="79"/>
        <v>0</v>
      </c>
    </row>
    <row r="501" spans="1:17" ht="17.100000000000001" customHeight="1" x14ac:dyDescent="0.25">
      <c r="A501" s="75">
        <v>7606</v>
      </c>
      <c r="B501" s="76" t="s">
        <v>238</v>
      </c>
      <c r="C501" s="77">
        <v>0</v>
      </c>
      <c r="D501" s="81">
        <v>0</v>
      </c>
      <c r="E501" s="79">
        <v>0</v>
      </c>
      <c r="F501" s="133">
        <v>0</v>
      </c>
      <c r="G501" s="134">
        <v>0</v>
      </c>
      <c r="H501" s="90">
        <v>0</v>
      </c>
      <c r="I501" s="133">
        <v>0</v>
      </c>
      <c r="J501" s="134">
        <v>0</v>
      </c>
      <c r="K501" s="90">
        <v>0</v>
      </c>
      <c r="L501" s="133">
        <v>0</v>
      </c>
      <c r="M501" s="134">
        <v>0</v>
      </c>
      <c r="N501" s="90">
        <v>0</v>
      </c>
      <c r="O501" s="80">
        <f t="shared" si="77"/>
        <v>0</v>
      </c>
      <c r="P501" s="81">
        <f t="shared" si="78"/>
        <v>0</v>
      </c>
      <c r="Q501" s="82">
        <f t="shared" si="79"/>
        <v>0</v>
      </c>
    </row>
    <row r="502" spans="1:17" ht="17.100000000000001" customHeight="1" x14ac:dyDescent="0.25">
      <c r="A502" s="75">
        <v>7607</v>
      </c>
      <c r="B502" s="76" t="s">
        <v>100</v>
      </c>
      <c r="C502" s="77">
        <v>0</v>
      </c>
      <c r="D502" s="81">
        <v>0</v>
      </c>
      <c r="E502" s="79">
        <v>0</v>
      </c>
      <c r="F502" s="133">
        <v>0</v>
      </c>
      <c r="G502" s="134">
        <v>0</v>
      </c>
      <c r="H502" s="90">
        <v>0</v>
      </c>
      <c r="I502" s="133">
        <v>0</v>
      </c>
      <c r="J502" s="134">
        <v>0</v>
      </c>
      <c r="K502" s="90">
        <v>0</v>
      </c>
      <c r="L502" s="133">
        <v>0</v>
      </c>
      <c r="M502" s="134">
        <v>0</v>
      </c>
      <c r="N502" s="90">
        <v>0</v>
      </c>
      <c r="O502" s="80">
        <f t="shared" si="77"/>
        <v>0</v>
      </c>
      <c r="P502" s="81">
        <f t="shared" si="78"/>
        <v>0</v>
      </c>
      <c r="Q502" s="82">
        <f t="shared" si="79"/>
        <v>0</v>
      </c>
    </row>
    <row r="503" spans="1:17" ht="17.100000000000001" customHeight="1" x14ac:dyDescent="0.25">
      <c r="A503" s="75">
        <v>7608</v>
      </c>
      <c r="B503" s="76" t="s">
        <v>197</v>
      </c>
      <c r="C503" s="77">
        <v>0</v>
      </c>
      <c r="D503" s="81">
        <v>0</v>
      </c>
      <c r="E503" s="79">
        <v>0</v>
      </c>
      <c r="F503" s="133">
        <v>0</v>
      </c>
      <c r="G503" s="134">
        <v>0</v>
      </c>
      <c r="H503" s="90">
        <v>0</v>
      </c>
      <c r="I503" s="133">
        <v>0</v>
      </c>
      <c r="J503" s="134">
        <v>0</v>
      </c>
      <c r="K503" s="90">
        <v>0</v>
      </c>
      <c r="L503" s="133">
        <v>0</v>
      </c>
      <c r="M503" s="134">
        <v>0</v>
      </c>
      <c r="N503" s="90">
        <v>0</v>
      </c>
      <c r="O503" s="80">
        <f t="shared" si="77"/>
        <v>0</v>
      </c>
      <c r="P503" s="81">
        <f t="shared" si="78"/>
        <v>0</v>
      </c>
      <c r="Q503" s="82">
        <f t="shared" si="79"/>
        <v>0</v>
      </c>
    </row>
    <row r="504" spans="1:17" ht="17.100000000000001" customHeight="1" x14ac:dyDescent="0.25">
      <c r="A504" s="75">
        <v>7609</v>
      </c>
      <c r="B504" s="76" t="s">
        <v>193</v>
      </c>
      <c r="C504" s="77">
        <v>0</v>
      </c>
      <c r="D504" s="81">
        <v>0</v>
      </c>
      <c r="E504" s="79">
        <v>0</v>
      </c>
      <c r="F504" s="133">
        <v>0</v>
      </c>
      <c r="G504" s="134">
        <v>0</v>
      </c>
      <c r="H504" s="90">
        <v>0</v>
      </c>
      <c r="I504" s="133">
        <v>0</v>
      </c>
      <c r="J504" s="134">
        <v>0</v>
      </c>
      <c r="K504" s="90">
        <v>0</v>
      </c>
      <c r="L504" s="133">
        <v>0</v>
      </c>
      <c r="M504" s="134">
        <v>0</v>
      </c>
      <c r="N504" s="90">
        <v>0</v>
      </c>
      <c r="O504" s="80">
        <f t="shared" si="77"/>
        <v>0</v>
      </c>
      <c r="P504" s="81">
        <f t="shared" si="78"/>
        <v>0</v>
      </c>
      <c r="Q504" s="82">
        <f t="shared" si="79"/>
        <v>0</v>
      </c>
    </row>
    <row r="505" spans="1:17" ht="17.100000000000001" customHeight="1" x14ac:dyDescent="0.25">
      <c r="A505" s="75">
        <v>7610</v>
      </c>
      <c r="B505" s="76" t="s">
        <v>87</v>
      </c>
      <c r="C505" s="77">
        <v>0</v>
      </c>
      <c r="D505" s="81">
        <v>0</v>
      </c>
      <c r="E505" s="79">
        <v>0</v>
      </c>
      <c r="F505" s="133">
        <v>0</v>
      </c>
      <c r="G505" s="134">
        <v>0</v>
      </c>
      <c r="H505" s="90">
        <v>0</v>
      </c>
      <c r="I505" s="133">
        <v>0</v>
      </c>
      <c r="J505" s="134">
        <v>0</v>
      </c>
      <c r="K505" s="90">
        <v>0</v>
      </c>
      <c r="L505" s="133">
        <v>0</v>
      </c>
      <c r="M505" s="134">
        <v>0</v>
      </c>
      <c r="N505" s="90">
        <v>0</v>
      </c>
      <c r="O505" s="80">
        <f t="shared" si="77"/>
        <v>0</v>
      </c>
      <c r="P505" s="81">
        <f t="shared" si="78"/>
        <v>0</v>
      </c>
      <c r="Q505" s="82">
        <f t="shared" si="79"/>
        <v>0</v>
      </c>
    </row>
    <row r="506" spans="1:17" ht="17.100000000000001" customHeight="1" x14ac:dyDescent="0.25">
      <c r="A506" s="75">
        <v>7611</v>
      </c>
      <c r="B506" s="76" t="s">
        <v>102</v>
      </c>
      <c r="C506" s="77">
        <v>0</v>
      </c>
      <c r="D506" s="81">
        <v>0</v>
      </c>
      <c r="E506" s="79">
        <v>0</v>
      </c>
      <c r="F506" s="133">
        <v>0</v>
      </c>
      <c r="G506" s="134">
        <v>0</v>
      </c>
      <c r="H506" s="90">
        <v>0</v>
      </c>
      <c r="I506" s="133">
        <v>0</v>
      </c>
      <c r="J506" s="134">
        <v>0</v>
      </c>
      <c r="K506" s="90">
        <v>0</v>
      </c>
      <c r="L506" s="133">
        <v>0</v>
      </c>
      <c r="M506" s="134">
        <v>0</v>
      </c>
      <c r="N506" s="90">
        <v>0</v>
      </c>
      <c r="O506" s="80">
        <f t="shared" si="77"/>
        <v>0</v>
      </c>
      <c r="P506" s="81">
        <f t="shared" si="78"/>
        <v>0</v>
      </c>
      <c r="Q506" s="82">
        <f t="shared" si="79"/>
        <v>0</v>
      </c>
    </row>
    <row r="507" spans="1:17" ht="17.100000000000001" customHeight="1" x14ac:dyDescent="0.25">
      <c r="A507" s="75">
        <v>7612</v>
      </c>
      <c r="B507" s="76" t="s">
        <v>121</v>
      </c>
      <c r="C507" s="77">
        <v>0</v>
      </c>
      <c r="D507" s="81">
        <v>0</v>
      </c>
      <c r="E507" s="79">
        <v>0</v>
      </c>
      <c r="F507" s="133">
        <v>0</v>
      </c>
      <c r="G507" s="134">
        <v>0</v>
      </c>
      <c r="H507" s="90">
        <v>0</v>
      </c>
      <c r="I507" s="133">
        <v>0</v>
      </c>
      <c r="J507" s="134">
        <v>0</v>
      </c>
      <c r="K507" s="90">
        <v>0</v>
      </c>
      <c r="L507" s="133">
        <v>0</v>
      </c>
      <c r="M507" s="134">
        <v>0</v>
      </c>
      <c r="N507" s="90">
        <v>0</v>
      </c>
      <c r="O507" s="80">
        <f t="shared" si="77"/>
        <v>0</v>
      </c>
      <c r="P507" s="81">
        <f t="shared" si="78"/>
        <v>0</v>
      </c>
      <c r="Q507" s="82">
        <f t="shared" si="79"/>
        <v>0</v>
      </c>
    </row>
    <row r="508" spans="1:17" ht="17.100000000000001" customHeight="1" x14ac:dyDescent="0.25">
      <c r="A508" s="75">
        <v>7613</v>
      </c>
      <c r="B508" s="76" t="s">
        <v>103</v>
      </c>
      <c r="C508" s="77">
        <v>0</v>
      </c>
      <c r="D508" s="81">
        <v>0</v>
      </c>
      <c r="E508" s="79">
        <v>0</v>
      </c>
      <c r="F508" s="133">
        <v>0</v>
      </c>
      <c r="G508" s="134">
        <v>0</v>
      </c>
      <c r="H508" s="90">
        <v>0</v>
      </c>
      <c r="I508" s="133">
        <v>0</v>
      </c>
      <c r="J508" s="134">
        <v>0</v>
      </c>
      <c r="K508" s="90">
        <v>0</v>
      </c>
      <c r="L508" s="133">
        <v>0</v>
      </c>
      <c r="M508" s="134">
        <v>0</v>
      </c>
      <c r="N508" s="90">
        <v>0</v>
      </c>
      <c r="O508" s="80">
        <f t="shared" si="77"/>
        <v>0</v>
      </c>
      <c r="P508" s="81">
        <f t="shared" si="78"/>
        <v>0</v>
      </c>
      <c r="Q508" s="82">
        <f t="shared" si="79"/>
        <v>0</v>
      </c>
    </row>
    <row r="509" spans="1:17" ht="17.100000000000001" customHeight="1" x14ac:dyDescent="0.25">
      <c r="A509" s="75">
        <v>7614</v>
      </c>
      <c r="B509" s="76" t="s">
        <v>108</v>
      </c>
      <c r="C509" s="77">
        <v>0</v>
      </c>
      <c r="D509" s="81">
        <v>0</v>
      </c>
      <c r="E509" s="79">
        <v>0</v>
      </c>
      <c r="F509" s="133">
        <v>0</v>
      </c>
      <c r="G509" s="134">
        <v>0</v>
      </c>
      <c r="H509" s="90">
        <v>0</v>
      </c>
      <c r="I509" s="133">
        <v>0</v>
      </c>
      <c r="J509" s="134">
        <v>0</v>
      </c>
      <c r="K509" s="90">
        <v>0</v>
      </c>
      <c r="L509" s="133">
        <v>0</v>
      </c>
      <c r="M509" s="134">
        <v>0</v>
      </c>
      <c r="N509" s="90">
        <v>0</v>
      </c>
      <c r="O509" s="80">
        <f t="shared" si="77"/>
        <v>0</v>
      </c>
      <c r="P509" s="81">
        <f t="shared" si="78"/>
        <v>0</v>
      </c>
      <c r="Q509" s="82">
        <f t="shared" si="79"/>
        <v>0</v>
      </c>
    </row>
    <row r="510" spans="1:17" ht="17.100000000000001" customHeight="1" x14ac:dyDescent="0.25">
      <c r="A510" s="75">
        <v>7615</v>
      </c>
      <c r="B510" s="76" t="s">
        <v>185</v>
      </c>
      <c r="C510" s="77">
        <v>0</v>
      </c>
      <c r="D510" s="81">
        <v>0</v>
      </c>
      <c r="E510" s="79">
        <v>0</v>
      </c>
      <c r="F510" s="133">
        <v>0</v>
      </c>
      <c r="G510" s="134">
        <v>0</v>
      </c>
      <c r="H510" s="90">
        <v>0</v>
      </c>
      <c r="I510" s="133">
        <v>0</v>
      </c>
      <c r="J510" s="134">
        <v>0</v>
      </c>
      <c r="K510" s="90">
        <v>0</v>
      </c>
      <c r="L510" s="133">
        <v>0</v>
      </c>
      <c r="M510" s="134">
        <v>0</v>
      </c>
      <c r="N510" s="90">
        <v>0</v>
      </c>
      <c r="O510" s="80">
        <f t="shared" si="77"/>
        <v>0</v>
      </c>
      <c r="P510" s="81">
        <f t="shared" si="78"/>
        <v>0</v>
      </c>
      <c r="Q510" s="82">
        <f t="shared" si="79"/>
        <v>0</v>
      </c>
    </row>
    <row r="511" spans="1:17" ht="17.100000000000001" customHeight="1" x14ac:dyDescent="0.25">
      <c r="A511" s="75">
        <v>7616</v>
      </c>
      <c r="B511" s="76" t="s">
        <v>109</v>
      </c>
      <c r="C511" s="77">
        <v>0</v>
      </c>
      <c r="D511" s="81">
        <v>0</v>
      </c>
      <c r="E511" s="79">
        <v>0</v>
      </c>
      <c r="F511" s="133">
        <v>0</v>
      </c>
      <c r="G511" s="134">
        <v>0</v>
      </c>
      <c r="H511" s="90">
        <v>0</v>
      </c>
      <c r="I511" s="133">
        <v>0</v>
      </c>
      <c r="J511" s="134">
        <v>0</v>
      </c>
      <c r="K511" s="90">
        <v>0</v>
      </c>
      <c r="L511" s="133">
        <v>0</v>
      </c>
      <c r="M511" s="134">
        <v>0</v>
      </c>
      <c r="N511" s="90">
        <v>0</v>
      </c>
      <c r="O511" s="80">
        <f t="shared" si="77"/>
        <v>0</v>
      </c>
      <c r="P511" s="81">
        <f t="shared" si="78"/>
        <v>0</v>
      </c>
      <c r="Q511" s="82">
        <f t="shared" si="79"/>
        <v>0</v>
      </c>
    </row>
    <row r="512" spans="1:17" ht="17.100000000000001" customHeight="1" x14ac:dyDescent="0.25">
      <c r="A512" s="75">
        <v>7617</v>
      </c>
      <c r="B512" s="76" t="s">
        <v>186</v>
      </c>
      <c r="C512" s="77">
        <v>0</v>
      </c>
      <c r="D512" s="81">
        <v>0</v>
      </c>
      <c r="E512" s="79">
        <v>0</v>
      </c>
      <c r="F512" s="133">
        <v>0</v>
      </c>
      <c r="G512" s="134">
        <v>0</v>
      </c>
      <c r="H512" s="90">
        <v>0</v>
      </c>
      <c r="I512" s="133">
        <v>0</v>
      </c>
      <c r="J512" s="134">
        <v>0</v>
      </c>
      <c r="K512" s="90">
        <v>0</v>
      </c>
      <c r="L512" s="133">
        <v>0</v>
      </c>
      <c r="M512" s="134">
        <v>0</v>
      </c>
      <c r="N512" s="90">
        <v>0</v>
      </c>
      <c r="O512" s="80">
        <f t="shared" si="77"/>
        <v>0</v>
      </c>
      <c r="P512" s="81">
        <f t="shared" si="78"/>
        <v>0</v>
      </c>
      <c r="Q512" s="82">
        <f t="shared" si="79"/>
        <v>0</v>
      </c>
    </row>
    <row r="513" spans="1:17" ht="17.100000000000001" customHeight="1" x14ac:dyDescent="0.25">
      <c r="A513" s="75">
        <v>7618</v>
      </c>
      <c r="B513" s="76" t="s">
        <v>187</v>
      </c>
      <c r="C513" s="77">
        <v>0</v>
      </c>
      <c r="D513" s="81">
        <v>0</v>
      </c>
      <c r="E513" s="79">
        <v>0</v>
      </c>
      <c r="F513" s="133">
        <v>0</v>
      </c>
      <c r="G513" s="134">
        <v>0</v>
      </c>
      <c r="H513" s="90">
        <v>0</v>
      </c>
      <c r="I513" s="133">
        <v>0</v>
      </c>
      <c r="J513" s="134">
        <v>0</v>
      </c>
      <c r="K513" s="90">
        <v>0</v>
      </c>
      <c r="L513" s="133">
        <v>0</v>
      </c>
      <c r="M513" s="134">
        <v>0</v>
      </c>
      <c r="N513" s="90">
        <v>0</v>
      </c>
      <c r="O513" s="80">
        <f t="shared" si="77"/>
        <v>0</v>
      </c>
      <c r="P513" s="81">
        <f t="shared" si="78"/>
        <v>0</v>
      </c>
      <c r="Q513" s="82">
        <f t="shared" si="79"/>
        <v>0</v>
      </c>
    </row>
    <row r="514" spans="1:17" ht="17.100000000000001" customHeight="1" x14ac:dyDescent="0.25">
      <c r="A514" s="75">
        <v>7619</v>
      </c>
      <c r="B514" s="76" t="s">
        <v>188</v>
      </c>
      <c r="C514" s="77">
        <v>0</v>
      </c>
      <c r="D514" s="81">
        <v>0</v>
      </c>
      <c r="E514" s="79">
        <v>0</v>
      </c>
      <c r="F514" s="133">
        <v>0</v>
      </c>
      <c r="G514" s="134">
        <v>0</v>
      </c>
      <c r="H514" s="90">
        <v>0</v>
      </c>
      <c r="I514" s="133">
        <v>0</v>
      </c>
      <c r="J514" s="134">
        <v>0</v>
      </c>
      <c r="K514" s="90">
        <v>0</v>
      </c>
      <c r="L514" s="133">
        <v>0</v>
      </c>
      <c r="M514" s="134">
        <v>0</v>
      </c>
      <c r="N514" s="90">
        <v>0</v>
      </c>
      <c r="O514" s="80">
        <f t="shared" si="77"/>
        <v>0</v>
      </c>
      <c r="P514" s="81">
        <f t="shared" si="78"/>
        <v>0</v>
      </c>
      <c r="Q514" s="82">
        <f t="shared" si="79"/>
        <v>0</v>
      </c>
    </row>
    <row r="515" spans="1:17" ht="17.100000000000001" customHeight="1" x14ac:dyDescent="0.25">
      <c r="A515" s="75">
        <v>7620</v>
      </c>
      <c r="B515" s="76" t="s">
        <v>191</v>
      </c>
      <c r="C515" s="77">
        <v>0</v>
      </c>
      <c r="D515" s="81">
        <v>0</v>
      </c>
      <c r="E515" s="79">
        <v>0</v>
      </c>
      <c r="F515" s="133">
        <v>0</v>
      </c>
      <c r="G515" s="134">
        <v>0</v>
      </c>
      <c r="H515" s="90">
        <v>0</v>
      </c>
      <c r="I515" s="133">
        <v>0</v>
      </c>
      <c r="J515" s="134">
        <v>0</v>
      </c>
      <c r="K515" s="90">
        <v>0</v>
      </c>
      <c r="L515" s="133">
        <v>0</v>
      </c>
      <c r="M515" s="134">
        <v>0</v>
      </c>
      <c r="N515" s="90">
        <v>0</v>
      </c>
      <c r="O515" s="80">
        <f t="shared" si="77"/>
        <v>0</v>
      </c>
      <c r="P515" s="81">
        <f t="shared" si="78"/>
        <v>0</v>
      </c>
      <c r="Q515" s="82">
        <f t="shared" si="79"/>
        <v>0</v>
      </c>
    </row>
    <row r="516" spans="1:17" ht="17.100000000000001" customHeight="1" x14ac:dyDescent="0.25">
      <c r="A516" s="75">
        <v>7621</v>
      </c>
      <c r="B516" s="76" t="s">
        <v>110</v>
      </c>
      <c r="C516" s="77">
        <v>0</v>
      </c>
      <c r="D516" s="81">
        <v>0</v>
      </c>
      <c r="E516" s="79">
        <v>0</v>
      </c>
      <c r="F516" s="133">
        <v>0</v>
      </c>
      <c r="G516" s="134">
        <v>0</v>
      </c>
      <c r="H516" s="90">
        <v>0</v>
      </c>
      <c r="I516" s="133">
        <v>0</v>
      </c>
      <c r="J516" s="134">
        <v>0</v>
      </c>
      <c r="K516" s="90">
        <v>0</v>
      </c>
      <c r="L516" s="133">
        <v>0</v>
      </c>
      <c r="M516" s="134">
        <v>0</v>
      </c>
      <c r="N516" s="90">
        <v>0</v>
      </c>
      <c r="O516" s="80">
        <f t="shared" si="77"/>
        <v>0</v>
      </c>
      <c r="P516" s="81">
        <f t="shared" si="78"/>
        <v>0</v>
      </c>
      <c r="Q516" s="82">
        <f t="shared" si="79"/>
        <v>0</v>
      </c>
    </row>
    <row r="517" spans="1:17" ht="17.100000000000001" customHeight="1" x14ac:dyDescent="0.25">
      <c r="A517" s="75">
        <v>7622</v>
      </c>
      <c r="B517" s="76" t="s">
        <v>129</v>
      </c>
      <c r="C517" s="77">
        <v>0</v>
      </c>
      <c r="D517" s="81">
        <v>0</v>
      </c>
      <c r="E517" s="79">
        <v>0</v>
      </c>
      <c r="F517" s="133">
        <v>0</v>
      </c>
      <c r="G517" s="134">
        <v>0</v>
      </c>
      <c r="H517" s="90">
        <v>0</v>
      </c>
      <c r="I517" s="133">
        <v>0</v>
      </c>
      <c r="J517" s="134">
        <v>0</v>
      </c>
      <c r="K517" s="90">
        <v>0</v>
      </c>
      <c r="L517" s="133">
        <v>0</v>
      </c>
      <c r="M517" s="134">
        <v>0</v>
      </c>
      <c r="N517" s="90">
        <v>0</v>
      </c>
      <c r="O517" s="80">
        <f t="shared" si="77"/>
        <v>0</v>
      </c>
      <c r="P517" s="81">
        <f t="shared" si="78"/>
        <v>0</v>
      </c>
      <c r="Q517" s="82">
        <f t="shared" si="79"/>
        <v>0</v>
      </c>
    </row>
    <row r="518" spans="1:17" ht="17.100000000000001" customHeight="1" x14ac:dyDescent="0.25">
      <c r="A518" s="75">
        <v>7623</v>
      </c>
      <c r="B518" s="76" t="s">
        <v>77</v>
      </c>
      <c r="C518" s="77">
        <v>0</v>
      </c>
      <c r="D518" s="81">
        <v>0</v>
      </c>
      <c r="E518" s="79">
        <v>0</v>
      </c>
      <c r="F518" s="133">
        <v>0</v>
      </c>
      <c r="G518" s="134">
        <v>0</v>
      </c>
      <c r="H518" s="90">
        <v>0</v>
      </c>
      <c r="I518" s="133">
        <v>0</v>
      </c>
      <c r="J518" s="134">
        <v>0</v>
      </c>
      <c r="K518" s="90">
        <v>0</v>
      </c>
      <c r="L518" s="133">
        <v>0</v>
      </c>
      <c r="M518" s="134">
        <v>0</v>
      </c>
      <c r="N518" s="90">
        <v>0</v>
      </c>
      <c r="O518" s="80">
        <f t="shared" si="77"/>
        <v>0</v>
      </c>
      <c r="P518" s="81">
        <f t="shared" si="78"/>
        <v>0</v>
      </c>
      <c r="Q518" s="82">
        <f t="shared" si="79"/>
        <v>0</v>
      </c>
    </row>
    <row r="519" spans="1:17" ht="17.100000000000001" customHeight="1" x14ac:dyDescent="0.25">
      <c r="A519" s="75">
        <v>7624</v>
      </c>
      <c r="B519" s="76" t="s">
        <v>234</v>
      </c>
      <c r="C519" s="77">
        <v>0</v>
      </c>
      <c r="D519" s="81">
        <v>0</v>
      </c>
      <c r="E519" s="79">
        <v>0</v>
      </c>
      <c r="F519" s="133">
        <v>0</v>
      </c>
      <c r="G519" s="134">
        <v>0</v>
      </c>
      <c r="H519" s="90">
        <v>0</v>
      </c>
      <c r="I519" s="133">
        <v>0</v>
      </c>
      <c r="J519" s="134">
        <v>0</v>
      </c>
      <c r="K519" s="90">
        <v>0</v>
      </c>
      <c r="L519" s="133">
        <v>0</v>
      </c>
      <c r="M519" s="134">
        <v>0</v>
      </c>
      <c r="N519" s="90">
        <v>0</v>
      </c>
      <c r="O519" s="80">
        <f t="shared" si="77"/>
        <v>0</v>
      </c>
      <c r="P519" s="81">
        <f t="shared" si="78"/>
        <v>0</v>
      </c>
      <c r="Q519" s="82">
        <f t="shared" si="79"/>
        <v>0</v>
      </c>
    </row>
    <row r="520" spans="1:17" ht="17.100000000000001" customHeight="1" x14ac:dyDescent="0.25">
      <c r="A520" s="75">
        <v>7625</v>
      </c>
      <c r="B520" s="76" t="s">
        <v>107</v>
      </c>
      <c r="C520" s="77">
        <v>0</v>
      </c>
      <c r="D520" s="81">
        <v>0</v>
      </c>
      <c r="E520" s="79">
        <v>0</v>
      </c>
      <c r="F520" s="133">
        <v>0</v>
      </c>
      <c r="G520" s="134">
        <v>0</v>
      </c>
      <c r="H520" s="90">
        <v>0</v>
      </c>
      <c r="I520" s="133">
        <v>0</v>
      </c>
      <c r="J520" s="134">
        <v>0</v>
      </c>
      <c r="K520" s="90">
        <v>0</v>
      </c>
      <c r="L520" s="133">
        <v>0</v>
      </c>
      <c r="M520" s="134">
        <v>0</v>
      </c>
      <c r="N520" s="90">
        <v>0</v>
      </c>
      <c r="O520" s="80">
        <f t="shared" si="77"/>
        <v>0</v>
      </c>
      <c r="P520" s="81">
        <f t="shared" si="78"/>
        <v>0</v>
      </c>
      <c r="Q520" s="82">
        <f t="shared" si="79"/>
        <v>0</v>
      </c>
    </row>
    <row r="521" spans="1:17" ht="17.100000000000001" customHeight="1" x14ac:dyDescent="0.25">
      <c r="A521" s="75">
        <v>7626</v>
      </c>
      <c r="B521" s="76" t="s">
        <v>112</v>
      </c>
      <c r="C521" s="77">
        <v>0</v>
      </c>
      <c r="D521" s="81">
        <v>0</v>
      </c>
      <c r="E521" s="79">
        <v>0</v>
      </c>
      <c r="F521" s="133">
        <v>0</v>
      </c>
      <c r="G521" s="134">
        <v>0</v>
      </c>
      <c r="H521" s="90">
        <v>0</v>
      </c>
      <c r="I521" s="133">
        <v>0</v>
      </c>
      <c r="J521" s="134">
        <v>0</v>
      </c>
      <c r="K521" s="90">
        <v>0</v>
      </c>
      <c r="L521" s="133">
        <v>0</v>
      </c>
      <c r="M521" s="134">
        <v>0</v>
      </c>
      <c r="N521" s="90">
        <v>0</v>
      </c>
      <c r="O521" s="80">
        <f t="shared" si="77"/>
        <v>0</v>
      </c>
      <c r="P521" s="81">
        <f t="shared" si="78"/>
        <v>0</v>
      </c>
      <c r="Q521" s="82">
        <f t="shared" si="79"/>
        <v>0</v>
      </c>
    </row>
    <row r="522" spans="1:17" ht="17.100000000000001" customHeight="1" x14ac:dyDescent="0.25">
      <c r="A522" s="75">
        <v>7627</v>
      </c>
      <c r="B522" s="76" t="s">
        <v>104</v>
      </c>
      <c r="C522" s="77">
        <v>0</v>
      </c>
      <c r="D522" s="81">
        <v>0</v>
      </c>
      <c r="E522" s="79">
        <v>0</v>
      </c>
      <c r="F522" s="133">
        <v>0</v>
      </c>
      <c r="G522" s="134">
        <v>0</v>
      </c>
      <c r="H522" s="90">
        <v>0</v>
      </c>
      <c r="I522" s="133">
        <v>0</v>
      </c>
      <c r="J522" s="134">
        <v>0</v>
      </c>
      <c r="K522" s="90">
        <v>0</v>
      </c>
      <c r="L522" s="133">
        <v>0</v>
      </c>
      <c r="M522" s="134">
        <v>0</v>
      </c>
      <c r="N522" s="90">
        <v>0</v>
      </c>
      <c r="O522" s="80">
        <f t="shared" si="77"/>
        <v>0</v>
      </c>
      <c r="P522" s="81">
        <f t="shared" si="78"/>
        <v>0</v>
      </c>
      <c r="Q522" s="82">
        <f t="shared" si="79"/>
        <v>0</v>
      </c>
    </row>
    <row r="523" spans="1:17" ht="17.100000000000001" customHeight="1" x14ac:dyDescent="0.25">
      <c r="A523" s="75">
        <v>7628</v>
      </c>
      <c r="B523" s="76" t="s">
        <v>239</v>
      </c>
      <c r="C523" s="77">
        <v>0</v>
      </c>
      <c r="D523" s="81">
        <v>0</v>
      </c>
      <c r="E523" s="79">
        <v>0</v>
      </c>
      <c r="F523" s="133">
        <v>0</v>
      </c>
      <c r="G523" s="134">
        <v>0</v>
      </c>
      <c r="H523" s="90">
        <v>0</v>
      </c>
      <c r="I523" s="133">
        <v>0</v>
      </c>
      <c r="J523" s="134">
        <v>0</v>
      </c>
      <c r="K523" s="90">
        <v>0</v>
      </c>
      <c r="L523" s="133">
        <v>0</v>
      </c>
      <c r="M523" s="134">
        <v>0</v>
      </c>
      <c r="N523" s="90">
        <v>0</v>
      </c>
      <c r="O523" s="80">
        <f t="shared" si="77"/>
        <v>0</v>
      </c>
      <c r="P523" s="81">
        <f t="shared" si="78"/>
        <v>0</v>
      </c>
      <c r="Q523" s="82">
        <f t="shared" si="79"/>
        <v>0</v>
      </c>
    </row>
    <row r="524" spans="1:17" ht="17.100000000000001" customHeight="1" x14ac:dyDescent="0.25">
      <c r="A524" s="75">
        <v>7629</v>
      </c>
      <c r="B524" s="76" t="s">
        <v>121</v>
      </c>
      <c r="C524" s="77">
        <v>0</v>
      </c>
      <c r="D524" s="81">
        <v>0</v>
      </c>
      <c r="E524" s="79">
        <v>0</v>
      </c>
      <c r="F524" s="133">
        <v>0</v>
      </c>
      <c r="G524" s="134">
        <v>0</v>
      </c>
      <c r="H524" s="90">
        <v>0</v>
      </c>
      <c r="I524" s="133">
        <v>0</v>
      </c>
      <c r="J524" s="134">
        <v>0</v>
      </c>
      <c r="K524" s="90">
        <v>0</v>
      </c>
      <c r="L524" s="133">
        <v>0</v>
      </c>
      <c r="M524" s="134">
        <v>0</v>
      </c>
      <c r="N524" s="90">
        <v>0</v>
      </c>
      <c r="O524" s="80">
        <f t="shared" si="77"/>
        <v>0</v>
      </c>
      <c r="P524" s="81">
        <f t="shared" si="78"/>
        <v>0</v>
      </c>
      <c r="Q524" s="82">
        <f t="shared" si="79"/>
        <v>0</v>
      </c>
    </row>
    <row r="525" spans="1:17" ht="17.100000000000001" customHeight="1" x14ac:dyDescent="0.25">
      <c r="A525" s="75">
        <v>7630</v>
      </c>
      <c r="B525" s="76" t="s">
        <v>136</v>
      </c>
      <c r="C525" s="77">
        <v>0</v>
      </c>
      <c r="D525" s="81">
        <v>0</v>
      </c>
      <c r="E525" s="79">
        <v>0</v>
      </c>
      <c r="F525" s="133">
        <v>0</v>
      </c>
      <c r="G525" s="134">
        <v>0</v>
      </c>
      <c r="H525" s="90">
        <v>0</v>
      </c>
      <c r="I525" s="133">
        <v>0</v>
      </c>
      <c r="J525" s="134">
        <v>0</v>
      </c>
      <c r="K525" s="90">
        <v>0</v>
      </c>
      <c r="L525" s="133">
        <v>0</v>
      </c>
      <c r="M525" s="134">
        <v>0</v>
      </c>
      <c r="N525" s="90">
        <v>0</v>
      </c>
      <c r="O525" s="80">
        <f t="shared" si="77"/>
        <v>0</v>
      </c>
      <c r="P525" s="81">
        <f t="shared" si="78"/>
        <v>0</v>
      </c>
      <c r="Q525" s="82">
        <f t="shared" si="79"/>
        <v>0</v>
      </c>
    </row>
    <row r="526" spans="1:17" ht="17.100000000000001" customHeight="1" x14ac:dyDescent="0.25">
      <c r="A526" s="75">
        <v>7631</v>
      </c>
      <c r="B526" s="76" t="s">
        <v>117</v>
      </c>
      <c r="C526" s="77">
        <v>0</v>
      </c>
      <c r="D526" s="81">
        <v>0</v>
      </c>
      <c r="E526" s="79">
        <v>0</v>
      </c>
      <c r="F526" s="133">
        <v>0</v>
      </c>
      <c r="G526" s="134">
        <v>0</v>
      </c>
      <c r="H526" s="90">
        <v>0</v>
      </c>
      <c r="I526" s="133">
        <v>0</v>
      </c>
      <c r="J526" s="134">
        <v>0</v>
      </c>
      <c r="K526" s="90">
        <v>0</v>
      </c>
      <c r="L526" s="133">
        <v>0</v>
      </c>
      <c r="M526" s="134">
        <v>0</v>
      </c>
      <c r="N526" s="90">
        <v>0</v>
      </c>
      <c r="O526" s="80">
        <f t="shared" si="77"/>
        <v>0</v>
      </c>
      <c r="P526" s="81">
        <f t="shared" si="78"/>
        <v>0</v>
      </c>
      <c r="Q526" s="82">
        <f t="shared" si="79"/>
        <v>0</v>
      </c>
    </row>
    <row r="527" spans="1:17" ht="17.100000000000001" customHeight="1" x14ac:dyDescent="0.25">
      <c r="A527" s="75">
        <v>7632</v>
      </c>
      <c r="B527" s="76" t="s">
        <v>116</v>
      </c>
      <c r="C527" s="77">
        <v>0</v>
      </c>
      <c r="D527" s="81">
        <v>0</v>
      </c>
      <c r="E527" s="79">
        <v>0</v>
      </c>
      <c r="F527" s="133">
        <v>0</v>
      </c>
      <c r="G527" s="134">
        <v>0</v>
      </c>
      <c r="H527" s="90">
        <v>0</v>
      </c>
      <c r="I527" s="133">
        <v>0</v>
      </c>
      <c r="J527" s="134">
        <v>0</v>
      </c>
      <c r="K527" s="90">
        <v>0</v>
      </c>
      <c r="L527" s="133">
        <v>0</v>
      </c>
      <c r="M527" s="134">
        <v>0</v>
      </c>
      <c r="N527" s="90">
        <v>0</v>
      </c>
      <c r="O527" s="80">
        <f t="shared" si="77"/>
        <v>0</v>
      </c>
      <c r="P527" s="81">
        <f t="shared" si="78"/>
        <v>0</v>
      </c>
      <c r="Q527" s="82">
        <f t="shared" si="79"/>
        <v>0</v>
      </c>
    </row>
    <row r="528" spans="1:17" ht="17.100000000000001" customHeight="1" x14ac:dyDescent="0.25">
      <c r="A528" s="75">
        <v>7633</v>
      </c>
      <c r="B528" s="76" t="s">
        <v>114</v>
      </c>
      <c r="C528" s="77">
        <v>0</v>
      </c>
      <c r="D528" s="81">
        <v>0</v>
      </c>
      <c r="E528" s="79">
        <v>0</v>
      </c>
      <c r="F528" s="133">
        <v>0</v>
      </c>
      <c r="G528" s="134">
        <v>0</v>
      </c>
      <c r="H528" s="90">
        <v>0</v>
      </c>
      <c r="I528" s="133">
        <v>0</v>
      </c>
      <c r="J528" s="134">
        <v>0</v>
      </c>
      <c r="K528" s="90">
        <v>0</v>
      </c>
      <c r="L528" s="133">
        <v>0</v>
      </c>
      <c r="M528" s="134">
        <v>0</v>
      </c>
      <c r="N528" s="90">
        <v>0</v>
      </c>
      <c r="O528" s="80">
        <f t="shared" si="77"/>
        <v>0</v>
      </c>
      <c r="P528" s="81">
        <f t="shared" si="78"/>
        <v>0</v>
      </c>
      <c r="Q528" s="82">
        <f t="shared" si="79"/>
        <v>0</v>
      </c>
    </row>
    <row r="529" spans="1:17" ht="17.100000000000001" customHeight="1" x14ac:dyDescent="0.25">
      <c r="A529" s="75">
        <v>7634</v>
      </c>
      <c r="B529" s="76" t="s">
        <v>55</v>
      </c>
      <c r="C529" s="77">
        <v>0</v>
      </c>
      <c r="D529" s="81">
        <v>0</v>
      </c>
      <c r="E529" s="79">
        <v>0</v>
      </c>
      <c r="F529" s="133">
        <v>0</v>
      </c>
      <c r="G529" s="134">
        <v>0</v>
      </c>
      <c r="H529" s="90">
        <v>0</v>
      </c>
      <c r="I529" s="133">
        <v>0</v>
      </c>
      <c r="J529" s="134">
        <v>0</v>
      </c>
      <c r="K529" s="90">
        <v>0</v>
      </c>
      <c r="L529" s="133">
        <v>0</v>
      </c>
      <c r="M529" s="134">
        <v>0</v>
      </c>
      <c r="N529" s="90">
        <v>0</v>
      </c>
      <c r="O529" s="80">
        <f t="shared" si="77"/>
        <v>0</v>
      </c>
      <c r="P529" s="81">
        <f t="shared" si="78"/>
        <v>0</v>
      </c>
      <c r="Q529" s="82">
        <f t="shared" si="79"/>
        <v>0</v>
      </c>
    </row>
    <row r="530" spans="1:17" ht="17.100000000000001" customHeight="1" x14ac:dyDescent="0.25">
      <c r="A530" s="75">
        <v>7635</v>
      </c>
      <c r="B530" s="76" t="s">
        <v>119</v>
      </c>
      <c r="C530" s="77">
        <v>0</v>
      </c>
      <c r="D530" s="81">
        <v>0</v>
      </c>
      <c r="E530" s="79">
        <v>0</v>
      </c>
      <c r="F530" s="133">
        <v>0</v>
      </c>
      <c r="G530" s="134">
        <v>0</v>
      </c>
      <c r="H530" s="90">
        <v>0</v>
      </c>
      <c r="I530" s="133">
        <v>0</v>
      </c>
      <c r="J530" s="134">
        <v>0</v>
      </c>
      <c r="K530" s="90">
        <v>0</v>
      </c>
      <c r="L530" s="133">
        <v>0</v>
      </c>
      <c r="M530" s="134">
        <v>0</v>
      </c>
      <c r="N530" s="90">
        <v>0</v>
      </c>
      <c r="O530" s="80">
        <f t="shared" si="77"/>
        <v>0</v>
      </c>
      <c r="P530" s="81">
        <f t="shared" si="78"/>
        <v>0</v>
      </c>
      <c r="Q530" s="82">
        <f t="shared" si="79"/>
        <v>0</v>
      </c>
    </row>
    <row r="531" spans="1:17" ht="17.100000000000001" customHeight="1" x14ac:dyDescent="0.25">
      <c r="A531" s="75">
        <v>7636</v>
      </c>
      <c r="B531" s="76" t="s">
        <v>145</v>
      </c>
      <c r="C531" s="77">
        <v>0</v>
      </c>
      <c r="D531" s="81">
        <v>0</v>
      </c>
      <c r="E531" s="79">
        <v>0</v>
      </c>
      <c r="F531" s="133">
        <v>0</v>
      </c>
      <c r="G531" s="134">
        <v>0</v>
      </c>
      <c r="H531" s="90">
        <v>0</v>
      </c>
      <c r="I531" s="133">
        <v>0</v>
      </c>
      <c r="J531" s="134">
        <v>0</v>
      </c>
      <c r="K531" s="90">
        <v>0</v>
      </c>
      <c r="L531" s="133">
        <v>0</v>
      </c>
      <c r="M531" s="134">
        <v>0</v>
      </c>
      <c r="N531" s="90">
        <v>0</v>
      </c>
      <c r="O531" s="80">
        <f t="shared" si="77"/>
        <v>0</v>
      </c>
      <c r="P531" s="81">
        <f t="shared" si="78"/>
        <v>0</v>
      </c>
      <c r="Q531" s="82">
        <f t="shared" si="79"/>
        <v>0</v>
      </c>
    </row>
    <row r="532" spans="1:17" ht="17.100000000000001" customHeight="1" x14ac:dyDescent="0.25">
      <c r="A532" s="75">
        <v>7637</v>
      </c>
      <c r="B532" s="76" t="s">
        <v>65</v>
      </c>
      <c r="C532" s="77">
        <v>0</v>
      </c>
      <c r="D532" s="81">
        <v>0</v>
      </c>
      <c r="E532" s="79">
        <v>0</v>
      </c>
      <c r="F532" s="133">
        <v>0</v>
      </c>
      <c r="G532" s="134">
        <v>0</v>
      </c>
      <c r="H532" s="90">
        <v>0</v>
      </c>
      <c r="I532" s="133">
        <v>0</v>
      </c>
      <c r="J532" s="134">
        <v>0</v>
      </c>
      <c r="K532" s="90">
        <v>0</v>
      </c>
      <c r="L532" s="133">
        <v>0</v>
      </c>
      <c r="M532" s="134">
        <v>0</v>
      </c>
      <c r="N532" s="90">
        <v>0</v>
      </c>
      <c r="O532" s="80">
        <f t="shared" si="77"/>
        <v>0</v>
      </c>
      <c r="P532" s="81">
        <f t="shared" si="78"/>
        <v>0</v>
      </c>
      <c r="Q532" s="82">
        <f t="shared" si="79"/>
        <v>0</v>
      </c>
    </row>
    <row r="533" spans="1:17" ht="17.100000000000001" customHeight="1" x14ac:dyDescent="0.25">
      <c r="A533" s="75">
        <v>7638</v>
      </c>
      <c r="B533" s="76" t="s">
        <v>120</v>
      </c>
      <c r="C533" s="77">
        <v>0</v>
      </c>
      <c r="D533" s="81">
        <v>0</v>
      </c>
      <c r="E533" s="79">
        <v>0</v>
      </c>
      <c r="F533" s="133">
        <v>0</v>
      </c>
      <c r="G533" s="134">
        <v>0</v>
      </c>
      <c r="H533" s="90">
        <v>0</v>
      </c>
      <c r="I533" s="133">
        <v>0</v>
      </c>
      <c r="J533" s="134">
        <v>0</v>
      </c>
      <c r="K533" s="90">
        <v>0</v>
      </c>
      <c r="L533" s="133">
        <v>0</v>
      </c>
      <c r="M533" s="134">
        <v>0</v>
      </c>
      <c r="N533" s="90">
        <v>0</v>
      </c>
      <c r="O533" s="80">
        <f t="shared" si="77"/>
        <v>0</v>
      </c>
      <c r="P533" s="81">
        <f t="shared" si="78"/>
        <v>0</v>
      </c>
      <c r="Q533" s="82">
        <f t="shared" si="79"/>
        <v>0</v>
      </c>
    </row>
    <row r="534" spans="1:17" ht="30" customHeight="1" x14ac:dyDescent="0.25">
      <c r="A534" s="75">
        <v>7639</v>
      </c>
      <c r="B534" s="76" t="s">
        <v>216</v>
      </c>
      <c r="C534" s="85">
        <v>0</v>
      </c>
      <c r="D534" s="134">
        <v>0</v>
      </c>
      <c r="E534" s="87">
        <v>0</v>
      </c>
      <c r="F534" s="133">
        <v>0</v>
      </c>
      <c r="G534" s="134">
        <v>0</v>
      </c>
      <c r="H534" s="90">
        <v>0</v>
      </c>
      <c r="I534" s="133">
        <v>0</v>
      </c>
      <c r="J534" s="134">
        <v>0</v>
      </c>
      <c r="K534" s="90">
        <v>0</v>
      </c>
      <c r="L534" s="133">
        <v>0</v>
      </c>
      <c r="M534" s="134">
        <v>0</v>
      </c>
      <c r="N534" s="90">
        <v>0</v>
      </c>
      <c r="O534" s="133">
        <f t="shared" si="77"/>
        <v>0</v>
      </c>
      <c r="P534" s="134">
        <f t="shared" si="78"/>
        <v>0</v>
      </c>
      <c r="Q534" s="90">
        <f t="shared" si="79"/>
        <v>0</v>
      </c>
    </row>
    <row r="535" spans="1:17" ht="30" customHeight="1" thickBot="1" x14ac:dyDescent="0.3">
      <c r="A535" s="36">
        <v>7640</v>
      </c>
      <c r="B535" s="108" t="s">
        <v>217</v>
      </c>
      <c r="C535" s="163">
        <v>0</v>
      </c>
      <c r="D535" s="167">
        <v>0</v>
      </c>
      <c r="E535" s="165">
        <v>0</v>
      </c>
      <c r="F535" s="166">
        <v>0</v>
      </c>
      <c r="G535" s="167">
        <v>0</v>
      </c>
      <c r="H535" s="168">
        <v>0</v>
      </c>
      <c r="I535" s="166">
        <v>0</v>
      </c>
      <c r="J535" s="167">
        <v>0</v>
      </c>
      <c r="K535" s="168">
        <v>0</v>
      </c>
      <c r="L535" s="166">
        <v>0</v>
      </c>
      <c r="M535" s="167">
        <v>0</v>
      </c>
      <c r="N535" s="168">
        <v>0</v>
      </c>
      <c r="O535" s="166">
        <f t="shared" si="77"/>
        <v>0</v>
      </c>
      <c r="P535" s="167">
        <f t="shared" si="78"/>
        <v>0</v>
      </c>
      <c r="Q535" s="168">
        <f t="shared" si="79"/>
        <v>0</v>
      </c>
    </row>
    <row r="536" spans="1:17" ht="17.100000000000001" customHeight="1" thickBot="1" x14ac:dyDescent="0.3">
      <c r="A536" s="171"/>
      <c r="B536" s="172" t="s">
        <v>967</v>
      </c>
      <c r="C536" s="34"/>
      <c r="D536" s="34"/>
      <c r="E536" s="42"/>
      <c r="F536" s="173"/>
      <c r="G536" s="160"/>
      <c r="H536" s="174"/>
      <c r="I536" s="173"/>
      <c r="J536" s="160"/>
      <c r="K536" s="174"/>
      <c r="L536" s="173"/>
      <c r="M536" s="160"/>
      <c r="N536" s="174"/>
      <c r="O536" s="118"/>
      <c r="P536" s="119"/>
      <c r="Q536" s="141"/>
    </row>
    <row r="537" spans="1:17" ht="17.100000000000001" customHeight="1" thickBot="1" x14ac:dyDescent="0.3">
      <c r="A537" s="146">
        <v>8100</v>
      </c>
      <c r="B537" s="147" t="s">
        <v>968</v>
      </c>
      <c r="C537" s="63"/>
      <c r="D537" s="63"/>
      <c r="E537" s="64"/>
      <c r="F537" s="169"/>
      <c r="G537" s="149"/>
      <c r="H537" s="170"/>
      <c r="I537" s="169"/>
      <c r="J537" s="149"/>
      <c r="K537" s="170"/>
      <c r="L537" s="169"/>
      <c r="M537" s="149"/>
      <c r="N537" s="170"/>
      <c r="O537" s="125"/>
      <c r="P537" s="126"/>
      <c r="Q537" s="143"/>
    </row>
    <row r="538" spans="1:17" ht="17.100000000000001" customHeight="1" x14ac:dyDescent="0.25">
      <c r="A538" s="36">
        <v>8101</v>
      </c>
      <c r="B538" s="108" t="s">
        <v>136</v>
      </c>
      <c r="C538" s="38">
        <v>0</v>
      </c>
      <c r="D538" s="39">
        <v>0</v>
      </c>
      <c r="E538" s="40">
        <v>0</v>
      </c>
      <c r="F538" s="187">
        <v>0</v>
      </c>
      <c r="G538" s="181">
        <v>0</v>
      </c>
      <c r="H538" s="182">
        <v>0</v>
      </c>
      <c r="I538" s="187">
        <v>0</v>
      </c>
      <c r="J538" s="181">
        <v>0</v>
      </c>
      <c r="K538" s="182">
        <v>0</v>
      </c>
      <c r="L538" s="187">
        <v>0</v>
      </c>
      <c r="M538" s="181">
        <v>0</v>
      </c>
      <c r="N538" s="182">
        <v>0</v>
      </c>
      <c r="O538" s="112">
        <f t="shared" ref="O538:O549" si="80">C538+F538-I538-L538</f>
        <v>0</v>
      </c>
      <c r="P538" s="39">
        <f t="shared" ref="P538:P549" si="81">D538+G538-J538-M538</f>
        <v>0</v>
      </c>
      <c r="Q538" s="113">
        <f t="shared" ref="Q538:Q549" si="82">E538+H538-K538-N538</f>
        <v>0</v>
      </c>
    </row>
    <row r="539" spans="1:17" ht="17.100000000000001" customHeight="1" x14ac:dyDescent="0.25">
      <c r="A539" s="75">
        <v>8102</v>
      </c>
      <c r="B539" s="76" t="s">
        <v>137</v>
      </c>
      <c r="C539" s="77">
        <v>0</v>
      </c>
      <c r="D539" s="81">
        <v>0</v>
      </c>
      <c r="E539" s="79">
        <v>0</v>
      </c>
      <c r="F539" s="133">
        <v>0</v>
      </c>
      <c r="G539" s="134">
        <v>0</v>
      </c>
      <c r="H539" s="90">
        <v>0</v>
      </c>
      <c r="I539" s="133">
        <v>0</v>
      </c>
      <c r="J539" s="134">
        <v>0</v>
      </c>
      <c r="K539" s="90">
        <v>0</v>
      </c>
      <c r="L539" s="133">
        <v>0</v>
      </c>
      <c r="M539" s="134">
        <v>0</v>
      </c>
      <c r="N539" s="90">
        <v>0</v>
      </c>
      <c r="O539" s="80">
        <f t="shared" si="80"/>
        <v>0</v>
      </c>
      <c r="P539" s="81">
        <f t="shared" si="81"/>
        <v>0</v>
      </c>
      <c r="Q539" s="82">
        <f t="shared" si="82"/>
        <v>0</v>
      </c>
    </row>
    <row r="540" spans="1:17" ht="17.100000000000001" customHeight="1" x14ac:dyDescent="0.25">
      <c r="A540" s="75">
        <v>8103</v>
      </c>
      <c r="B540" s="76" t="s">
        <v>116</v>
      </c>
      <c r="C540" s="77">
        <v>0</v>
      </c>
      <c r="D540" s="81">
        <v>0</v>
      </c>
      <c r="E540" s="79">
        <v>0</v>
      </c>
      <c r="F540" s="133">
        <v>0</v>
      </c>
      <c r="G540" s="134">
        <v>0</v>
      </c>
      <c r="H540" s="90">
        <v>0</v>
      </c>
      <c r="I540" s="133">
        <v>0</v>
      </c>
      <c r="J540" s="134">
        <v>0</v>
      </c>
      <c r="K540" s="90">
        <v>0</v>
      </c>
      <c r="L540" s="133">
        <v>0</v>
      </c>
      <c r="M540" s="134">
        <v>0</v>
      </c>
      <c r="N540" s="90">
        <v>0</v>
      </c>
      <c r="O540" s="80">
        <f t="shared" si="80"/>
        <v>0</v>
      </c>
      <c r="P540" s="81">
        <f t="shared" si="81"/>
        <v>0</v>
      </c>
      <c r="Q540" s="82">
        <f t="shared" si="82"/>
        <v>0</v>
      </c>
    </row>
    <row r="541" spans="1:17" ht="17.100000000000001" customHeight="1" x14ac:dyDescent="0.25">
      <c r="A541" s="75">
        <v>8104</v>
      </c>
      <c r="B541" s="76" t="s">
        <v>138</v>
      </c>
      <c r="C541" s="77">
        <v>0</v>
      </c>
      <c r="D541" s="81">
        <v>0</v>
      </c>
      <c r="E541" s="79">
        <v>0</v>
      </c>
      <c r="F541" s="133">
        <v>0</v>
      </c>
      <c r="G541" s="134">
        <v>0</v>
      </c>
      <c r="H541" s="90">
        <v>0</v>
      </c>
      <c r="I541" s="133">
        <v>0</v>
      </c>
      <c r="J541" s="134">
        <v>0</v>
      </c>
      <c r="K541" s="90">
        <v>0</v>
      </c>
      <c r="L541" s="133">
        <v>0</v>
      </c>
      <c r="M541" s="134">
        <v>0</v>
      </c>
      <c r="N541" s="90">
        <v>0</v>
      </c>
      <c r="O541" s="80">
        <f t="shared" si="80"/>
        <v>0</v>
      </c>
      <c r="P541" s="81">
        <f t="shared" si="81"/>
        <v>0</v>
      </c>
      <c r="Q541" s="82">
        <f t="shared" si="82"/>
        <v>0</v>
      </c>
    </row>
    <row r="542" spans="1:17" ht="17.100000000000001" customHeight="1" x14ac:dyDescent="0.25">
      <c r="A542" s="75">
        <v>8105</v>
      </c>
      <c r="B542" s="76" t="s">
        <v>139</v>
      </c>
      <c r="C542" s="77">
        <v>0</v>
      </c>
      <c r="D542" s="81">
        <v>0</v>
      </c>
      <c r="E542" s="79">
        <v>0</v>
      </c>
      <c r="F542" s="133">
        <v>0</v>
      </c>
      <c r="G542" s="134">
        <v>0</v>
      </c>
      <c r="H542" s="90">
        <v>0</v>
      </c>
      <c r="I542" s="133">
        <v>0</v>
      </c>
      <c r="J542" s="134">
        <v>0</v>
      </c>
      <c r="K542" s="90">
        <v>0</v>
      </c>
      <c r="L542" s="133">
        <v>0</v>
      </c>
      <c r="M542" s="134">
        <v>0</v>
      </c>
      <c r="N542" s="90">
        <v>0</v>
      </c>
      <c r="O542" s="80">
        <f t="shared" si="80"/>
        <v>0</v>
      </c>
      <c r="P542" s="81">
        <f t="shared" si="81"/>
        <v>0</v>
      </c>
      <c r="Q542" s="82">
        <f t="shared" si="82"/>
        <v>0</v>
      </c>
    </row>
    <row r="543" spans="1:17" ht="17.100000000000001" customHeight="1" x14ac:dyDescent="0.25">
      <c r="A543" s="75">
        <v>8106</v>
      </c>
      <c r="B543" s="76" t="s">
        <v>121</v>
      </c>
      <c r="C543" s="77">
        <v>0</v>
      </c>
      <c r="D543" s="81">
        <v>0</v>
      </c>
      <c r="E543" s="79">
        <v>0</v>
      </c>
      <c r="F543" s="133">
        <v>0</v>
      </c>
      <c r="G543" s="134">
        <v>0</v>
      </c>
      <c r="H543" s="90">
        <v>0</v>
      </c>
      <c r="I543" s="133">
        <v>0</v>
      </c>
      <c r="J543" s="134">
        <v>0</v>
      </c>
      <c r="K543" s="90">
        <v>0</v>
      </c>
      <c r="L543" s="133">
        <v>0</v>
      </c>
      <c r="M543" s="134">
        <v>0</v>
      </c>
      <c r="N543" s="90">
        <v>0</v>
      </c>
      <c r="O543" s="80">
        <f t="shared" si="80"/>
        <v>0</v>
      </c>
      <c r="P543" s="81">
        <f t="shared" si="81"/>
        <v>0</v>
      </c>
      <c r="Q543" s="82">
        <f t="shared" si="82"/>
        <v>0</v>
      </c>
    </row>
    <row r="544" spans="1:17" ht="17.100000000000001" customHeight="1" x14ac:dyDescent="0.25">
      <c r="A544" s="75">
        <v>8107</v>
      </c>
      <c r="B544" s="76" t="s">
        <v>114</v>
      </c>
      <c r="C544" s="77">
        <v>0</v>
      </c>
      <c r="D544" s="81">
        <v>0</v>
      </c>
      <c r="E544" s="79">
        <v>0</v>
      </c>
      <c r="F544" s="133">
        <v>0</v>
      </c>
      <c r="G544" s="134">
        <v>0</v>
      </c>
      <c r="H544" s="90">
        <v>0</v>
      </c>
      <c r="I544" s="133">
        <v>0</v>
      </c>
      <c r="J544" s="134">
        <v>0</v>
      </c>
      <c r="K544" s="90">
        <v>0</v>
      </c>
      <c r="L544" s="133">
        <v>0</v>
      </c>
      <c r="M544" s="134">
        <v>0</v>
      </c>
      <c r="N544" s="90">
        <v>0</v>
      </c>
      <c r="O544" s="80">
        <f t="shared" si="80"/>
        <v>0</v>
      </c>
      <c r="P544" s="81">
        <f t="shared" si="81"/>
        <v>0</v>
      </c>
      <c r="Q544" s="82">
        <f t="shared" si="82"/>
        <v>0</v>
      </c>
    </row>
    <row r="545" spans="1:17" ht="17.100000000000001" customHeight="1" x14ac:dyDescent="0.25">
      <c r="A545" s="75">
        <v>8108</v>
      </c>
      <c r="B545" s="76" t="s">
        <v>140</v>
      </c>
      <c r="C545" s="77">
        <v>0</v>
      </c>
      <c r="D545" s="81">
        <v>0</v>
      </c>
      <c r="E545" s="79">
        <v>0</v>
      </c>
      <c r="F545" s="133">
        <v>0</v>
      </c>
      <c r="G545" s="134">
        <v>0</v>
      </c>
      <c r="H545" s="90">
        <v>0</v>
      </c>
      <c r="I545" s="133">
        <v>0</v>
      </c>
      <c r="J545" s="134">
        <v>0</v>
      </c>
      <c r="K545" s="90">
        <v>0</v>
      </c>
      <c r="L545" s="133">
        <v>0</v>
      </c>
      <c r="M545" s="134">
        <v>0</v>
      </c>
      <c r="N545" s="90">
        <v>0</v>
      </c>
      <c r="O545" s="80">
        <f t="shared" si="80"/>
        <v>0</v>
      </c>
      <c r="P545" s="81">
        <f t="shared" si="81"/>
        <v>0</v>
      </c>
      <c r="Q545" s="82">
        <f t="shared" si="82"/>
        <v>0</v>
      </c>
    </row>
    <row r="546" spans="1:17" ht="17.100000000000001" customHeight="1" x14ac:dyDescent="0.25">
      <c r="A546" s="75">
        <v>8109</v>
      </c>
      <c r="B546" s="76" t="s">
        <v>141</v>
      </c>
      <c r="C546" s="77">
        <v>0</v>
      </c>
      <c r="D546" s="81">
        <v>0</v>
      </c>
      <c r="E546" s="79">
        <v>0</v>
      </c>
      <c r="F546" s="133">
        <v>0</v>
      </c>
      <c r="G546" s="134">
        <v>0</v>
      </c>
      <c r="H546" s="90">
        <v>0</v>
      </c>
      <c r="I546" s="133">
        <v>0</v>
      </c>
      <c r="J546" s="134">
        <v>0</v>
      </c>
      <c r="K546" s="90">
        <v>0</v>
      </c>
      <c r="L546" s="133">
        <v>0</v>
      </c>
      <c r="M546" s="134">
        <v>0</v>
      </c>
      <c r="N546" s="90">
        <v>0</v>
      </c>
      <c r="O546" s="80">
        <f t="shared" si="80"/>
        <v>0</v>
      </c>
      <c r="P546" s="81">
        <f t="shared" si="81"/>
        <v>0</v>
      </c>
      <c r="Q546" s="82">
        <f t="shared" si="82"/>
        <v>0</v>
      </c>
    </row>
    <row r="547" spans="1:17" ht="17.100000000000001" customHeight="1" x14ac:dyDescent="0.25">
      <c r="A547" s="75">
        <v>8110</v>
      </c>
      <c r="B547" s="76" t="s">
        <v>132</v>
      </c>
      <c r="C547" s="77">
        <v>0</v>
      </c>
      <c r="D547" s="81">
        <v>0</v>
      </c>
      <c r="E547" s="79">
        <v>0</v>
      </c>
      <c r="F547" s="133">
        <v>0</v>
      </c>
      <c r="G547" s="134">
        <v>0</v>
      </c>
      <c r="H547" s="90">
        <v>0</v>
      </c>
      <c r="I547" s="133">
        <v>0</v>
      </c>
      <c r="J547" s="134">
        <v>0</v>
      </c>
      <c r="K547" s="90">
        <v>0</v>
      </c>
      <c r="L547" s="133">
        <v>0</v>
      </c>
      <c r="M547" s="134">
        <v>0</v>
      </c>
      <c r="N547" s="90">
        <v>0</v>
      </c>
      <c r="O547" s="80">
        <f t="shared" si="80"/>
        <v>0</v>
      </c>
      <c r="P547" s="81">
        <f t="shared" si="81"/>
        <v>0</v>
      </c>
      <c r="Q547" s="82">
        <f t="shared" si="82"/>
        <v>0</v>
      </c>
    </row>
    <row r="548" spans="1:17" ht="17.100000000000001" customHeight="1" x14ac:dyDescent="0.25">
      <c r="A548" s="75">
        <v>8111</v>
      </c>
      <c r="B548" s="76" t="s">
        <v>142</v>
      </c>
      <c r="C548" s="77">
        <v>0</v>
      </c>
      <c r="D548" s="81">
        <v>0</v>
      </c>
      <c r="E548" s="79">
        <v>0</v>
      </c>
      <c r="F548" s="133">
        <v>0</v>
      </c>
      <c r="G548" s="134">
        <v>0</v>
      </c>
      <c r="H548" s="90">
        <v>0</v>
      </c>
      <c r="I548" s="133">
        <v>0</v>
      </c>
      <c r="J548" s="134">
        <v>0</v>
      </c>
      <c r="K548" s="90">
        <v>0</v>
      </c>
      <c r="L548" s="133">
        <v>0</v>
      </c>
      <c r="M548" s="134">
        <v>0</v>
      </c>
      <c r="N548" s="90">
        <v>0</v>
      </c>
      <c r="O548" s="80">
        <f t="shared" si="80"/>
        <v>0</v>
      </c>
      <c r="P548" s="81">
        <f t="shared" si="81"/>
        <v>0</v>
      </c>
      <c r="Q548" s="82">
        <f t="shared" si="82"/>
        <v>0</v>
      </c>
    </row>
    <row r="549" spans="1:17" ht="17.100000000000001" customHeight="1" thickBot="1" x14ac:dyDescent="0.3">
      <c r="A549" s="36">
        <v>8112</v>
      </c>
      <c r="B549" s="108" t="s">
        <v>143</v>
      </c>
      <c r="C549" s="38">
        <v>0</v>
      </c>
      <c r="D549" s="39">
        <v>0</v>
      </c>
      <c r="E549" s="40">
        <v>0</v>
      </c>
      <c r="F549" s="166">
        <v>0</v>
      </c>
      <c r="G549" s="167">
        <v>0</v>
      </c>
      <c r="H549" s="168">
        <v>0</v>
      </c>
      <c r="I549" s="166">
        <v>0</v>
      </c>
      <c r="J549" s="167">
        <v>0</v>
      </c>
      <c r="K549" s="168">
        <v>0</v>
      </c>
      <c r="L549" s="166">
        <v>0</v>
      </c>
      <c r="M549" s="167">
        <v>0</v>
      </c>
      <c r="N549" s="168">
        <v>0</v>
      </c>
      <c r="O549" s="112">
        <f t="shared" si="80"/>
        <v>0</v>
      </c>
      <c r="P549" s="39">
        <f t="shared" si="81"/>
        <v>0</v>
      </c>
      <c r="Q549" s="113">
        <f t="shared" si="82"/>
        <v>0</v>
      </c>
    </row>
    <row r="550" spans="1:17" ht="17.100000000000001" customHeight="1" thickBot="1" x14ac:dyDescent="0.3">
      <c r="A550" s="106">
        <v>8200</v>
      </c>
      <c r="B550" s="107" t="s">
        <v>969</v>
      </c>
      <c r="C550" s="63"/>
      <c r="D550" s="63"/>
      <c r="E550" s="64"/>
      <c r="F550" s="169"/>
      <c r="G550" s="149"/>
      <c r="H550" s="170"/>
      <c r="I550" s="169"/>
      <c r="J550" s="149"/>
      <c r="K550" s="170"/>
      <c r="L550" s="169"/>
      <c r="M550" s="149"/>
      <c r="N550" s="170"/>
      <c r="O550" s="125"/>
      <c r="P550" s="126"/>
      <c r="Q550" s="143"/>
    </row>
    <row r="551" spans="1:17" ht="17.100000000000001" customHeight="1" x14ac:dyDescent="0.25">
      <c r="A551" s="36">
        <v>8201</v>
      </c>
      <c r="B551" s="108" t="s">
        <v>144</v>
      </c>
      <c r="C551" s="38">
        <v>0</v>
      </c>
      <c r="D551" s="39">
        <v>0</v>
      </c>
      <c r="E551" s="40">
        <v>0</v>
      </c>
      <c r="F551" s="187">
        <v>0</v>
      </c>
      <c r="G551" s="181">
        <v>0</v>
      </c>
      <c r="H551" s="182">
        <v>0</v>
      </c>
      <c r="I551" s="187">
        <v>0</v>
      </c>
      <c r="J551" s="181">
        <v>0</v>
      </c>
      <c r="K551" s="182">
        <v>0</v>
      </c>
      <c r="L551" s="187">
        <v>0</v>
      </c>
      <c r="M551" s="181">
        <v>0</v>
      </c>
      <c r="N551" s="182">
        <v>0</v>
      </c>
      <c r="O551" s="112">
        <f t="shared" ref="O551:O569" si="83">C551+F551-I551-L551</f>
        <v>0</v>
      </c>
      <c r="P551" s="39">
        <f t="shared" ref="P551:P569" si="84">D551+G551-J551-M551</f>
        <v>0</v>
      </c>
      <c r="Q551" s="113">
        <f t="shared" ref="Q551:Q569" si="85">E551+H551-K551-N551</f>
        <v>0</v>
      </c>
    </row>
    <row r="552" spans="1:17" ht="17.100000000000001" customHeight="1" x14ac:dyDescent="0.25">
      <c r="A552" s="75">
        <v>8202</v>
      </c>
      <c r="B552" s="76" t="s">
        <v>63</v>
      </c>
      <c r="C552" s="77">
        <v>0</v>
      </c>
      <c r="D552" s="81">
        <v>0</v>
      </c>
      <c r="E552" s="79">
        <v>0</v>
      </c>
      <c r="F552" s="133">
        <v>0</v>
      </c>
      <c r="G552" s="134">
        <v>0</v>
      </c>
      <c r="H552" s="90">
        <v>0</v>
      </c>
      <c r="I552" s="133">
        <v>0</v>
      </c>
      <c r="J552" s="134">
        <v>0</v>
      </c>
      <c r="K552" s="90">
        <v>0</v>
      </c>
      <c r="L552" s="133">
        <v>0</v>
      </c>
      <c r="M552" s="134">
        <v>0</v>
      </c>
      <c r="N552" s="90">
        <v>0</v>
      </c>
      <c r="O552" s="80">
        <f t="shared" si="83"/>
        <v>0</v>
      </c>
      <c r="P552" s="81">
        <f t="shared" si="84"/>
        <v>0</v>
      </c>
      <c r="Q552" s="82">
        <f t="shared" si="85"/>
        <v>0</v>
      </c>
    </row>
    <row r="553" spans="1:17" ht="17.100000000000001" customHeight="1" x14ac:dyDescent="0.25">
      <c r="A553" s="75">
        <v>8203</v>
      </c>
      <c r="B553" s="76" t="s">
        <v>119</v>
      </c>
      <c r="C553" s="77">
        <v>0</v>
      </c>
      <c r="D553" s="81">
        <v>0</v>
      </c>
      <c r="E553" s="79">
        <v>0</v>
      </c>
      <c r="F553" s="133">
        <v>0</v>
      </c>
      <c r="G553" s="134">
        <v>0</v>
      </c>
      <c r="H553" s="90">
        <v>0</v>
      </c>
      <c r="I553" s="133">
        <v>0</v>
      </c>
      <c r="J553" s="134">
        <v>0</v>
      </c>
      <c r="K553" s="90">
        <v>0</v>
      </c>
      <c r="L553" s="133">
        <v>0</v>
      </c>
      <c r="M553" s="134">
        <v>0</v>
      </c>
      <c r="N553" s="90">
        <v>0</v>
      </c>
      <c r="O553" s="80">
        <f t="shared" si="83"/>
        <v>0</v>
      </c>
      <c r="P553" s="81">
        <f t="shared" si="84"/>
        <v>0</v>
      </c>
      <c r="Q553" s="82">
        <f t="shared" si="85"/>
        <v>0</v>
      </c>
    </row>
    <row r="554" spans="1:17" ht="17.100000000000001" customHeight="1" x14ac:dyDescent="0.25">
      <c r="A554" s="75">
        <v>8204</v>
      </c>
      <c r="B554" s="76" t="s">
        <v>145</v>
      </c>
      <c r="C554" s="77">
        <v>0</v>
      </c>
      <c r="D554" s="81">
        <v>0</v>
      </c>
      <c r="E554" s="79">
        <v>0</v>
      </c>
      <c r="F554" s="133">
        <v>0</v>
      </c>
      <c r="G554" s="134">
        <v>0</v>
      </c>
      <c r="H554" s="90">
        <v>0</v>
      </c>
      <c r="I554" s="133">
        <v>0</v>
      </c>
      <c r="J554" s="134">
        <v>0</v>
      </c>
      <c r="K554" s="90">
        <v>0</v>
      </c>
      <c r="L554" s="133">
        <v>0</v>
      </c>
      <c r="M554" s="134">
        <v>0</v>
      </c>
      <c r="N554" s="90">
        <v>0</v>
      </c>
      <c r="O554" s="80">
        <f t="shared" si="83"/>
        <v>0</v>
      </c>
      <c r="P554" s="81">
        <f t="shared" si="84"/>
        <v>0</v>
      </c>
      <c r="Q554" s="82">
        <f t="shared" si="85"/>
        <v>0</v>
      </c>
    </row>
    <row r="555" spans="1:17" ht="17.100000000000001" customHeight="1" x14ac:dyDescent="0.25">
      <c r="A555" s="75">
        <v>8205</v>
      </c>
      <c r="B555" s="76" t="s">
        <v>120</v>
      </c>
      <c r="C555" s="77">
        <v>0</v>
      </c>
      <c r="D555" s="81">
        <v>0</v>
      </c>
      <c r="E555" s="79">
        <v>0</v>
      </c>
      <c r="F555" s="133">
        <v>0</v>
      </c>
      <c r="G555" s="134">
        <v>0</v>
      </c>
      <c r="H555" s="90">
        <v>0</v>
      </c>
      <c r="I555" s="133">
        <v>0</v>
      </c>
      <c r="J555" s="134">
        <v>0</v>
      </c>
      <c r="K555" s="90">
        <v>0</v>
      </c>
      <c r="L555" s="133">
        <v>0</v>
      </c>
      <c r="M555" s="134">
        <v>0</v>
      </c>
      <c r="N555" s="90">
        <v>0</v>
      </c>
      <c r="O555" s="80">
        <f t="shared" si="83"/>
        <v>0</v>
      </c>
      <c r="P555" s="81">
        <f t="shared" si="84"/>
        <v>0</v>
      </c>
      <c r="Q555" s="82">
        <f t="shared" si="85"/>
        <v>0</v>
      </c>
    </row>
    <row r="556" spans="1:17" ht="17.100000000000001" customHeight="1" x14ac:dyDescent="0.25">
      <c r="A556" s="75">
        <v>8206</v>
      </c>
      <c r="B556" s="76" t="s">
        <v>55</v>
      </c>
      <c r="C556" s="77">
        <v>0</v>
      </c>
      <c r="D556" s="81">
        <v>0</v>
      </c>
      <c r="E556" s="79">
        <v>0</v>
      </c>
      <c r="F556" s="133">
        <v>0</v>
      </c>
      <c r="G556" s="134">
        <v>0</v>
      </c>
      <c r="H556" s="90">
        <v>0</v>
      </c>
      <c r="I556" s="133">
        <v>0</v>
      </c>
      <c r="J556" s="134">
        <v>0</v>
      </c>
      <c r="K556" s="90">
        <v>0</v>
      </c>
      <c r="L556" s="133">
        <v>0</v>
      </c>
      <c r="M556" s="134">
        <v>0</v>
      </c>
      <c r="N556" s="90">
        <v>0</v>
      </c>
      <c r="O556" s="80">
        <f t="shared" si="83"/>
        <v>0</v>
      </c>
      <c r="P556" s="81">
        <f t="shared" si="84"/>
        <v>0</v>
      </c>
      <c r="Q556" s="82">
        <f t="shared" si="85"/>
        <v>0</v>
      </c>
    </row>
    <row r="557" spans="1:17" ht="17.100000000000001" customHeight="1" x14ac:dyDescent="0.25">
      <c r="A557" s="75">
        <v>8207</v>
      </c>
      <c r="B557" s="76" t="s">
        <v>65</v>
      </c>
      <c r="C557" s="77">
        <v>0</v>
      </c>
      <c r="D557" s="81">
        <v>0</v>
      </c>
      <c r="E557" s="79">
        <v>0</v>
      </c>
      <c r="F557" s="133">
        <v>0</v>
      </c>
      <c r="G557" s="134">
        <v>0</v>
      </c>
      <c r="H557" s="90">
        <v>0</v>
      </c>
      <c r="I557" s="133">
        <v>0</v>
      </c>
      <c r="J557" s="134">
        <v>0</v>
      </c>
      <c r="K557" s="90">
        <v>0</v>
      </c>
      <c r="L557" s="133">
        <v>0</v>
      </c>
      <c r="M557" s="134">
        <v>0</v>
      </c>
      <c r="N557" s="90">
        <v>0</v>
      </c>
      <c r="O557" s="80">
        <f t="shared" si="83"/>
        <v>0</v>
      </c>
      <c r="P557" s="81">
        <f t="shared" si="84"/>
        <v>0</v>
      </c>
      <c r="Q557" s="82">
        <f t="shared" si="85"/>
        <v>0</v>
      </c>
    </row>
    <row r="558" spans="1:17" ht="17.100000000000001" customHeight="1" x14ac:dyDescent="0.25">
      <c r="A558" s="75">
        <v>8208</v>
      </c>
      <c r="B558" s="76" t="s">
        <v>146</v>
      </c>
      <c r="C558" s="77">
        <v>0</v>
      </c>
      <c r="D558" s="81">
        <v>0</v>
      </c>
      <c r="E558" s="79">
        <v>0</v>
      </c>
      <c r="F558" s="133">
        <v>0</v>
      </c>
      <c r="G558" s="134">
        <v>0</v>
      </c>
      <c r="H558" s="90">
        <v>0</v>
      </c>
      <c r="I558" s="133">
        <v>0</v>
      </c>
      <c r="J558" s="134">
        <v>0</v>
      </c>
      <c r="K558" s="90">
        <v>0</v>
      </c>
      <c r="L558" s="133">
        <v>0</v>
      </c>
      <c r="M558" s="134">
        <v>0</v>
      </c>
      <c r="N558" s="90">
        <v>0</v>
      </c>
      <c r="O558" s="80">
        <f t="shared" si="83"/>
        <v>0</v>
      </c>
      <c r="P558" s="81">
        <f t="shared" si="84"/>
        <v>0</v>
      </c>
      <c r="Q558" s="82">
        <f t="shared" si="85"/>
        <v>0</v>
      </c>
    </row>
    <row r="559" spans="1:17" ht="17.100000000000001" customHeight="1" x14ac:dyDescent="0.25">
      <c r="A559" s="75">
        <v>8209</v>
      </c>
      <c r="B559" s="76" t="s">
        <v>147</v>
      </c>
      <c r="C559" s="77">
        <v>0</v>
      </c>
      <c r="D559" s="81">
        <v>0</v>
      </c>
      <c r="E559" s="79">
        <v>0</v>
      </c>
      <c r="F559" s="133">
        <v>0</v>
      </c>
      <c r="G559" s="134">
        <v>0</v>
      </c>
      <c r="H559" s="90">
        <v>0</v>
      </c>
      <c r="I559" s="133">
        <v>0</v>
      </c>
      <c r="J559" s="134">
        <v>0</v>
      </c>
      <c r="K559" s="90">
        <v>0</v>
      </c>
      <c r="L559" s="133">
        <v>0</v>
      </c>
      <c r="M559" s="134">
        <v>0</v>
      </c>
      <c r="N559" s="90">
        <v>0</v>
      </c>
      <c r="O559" s="80">
        <f t="shared" si="83"/>
        <v>0</v>
      </c>
      <c r="P559" s="81">
        <f t="shared" si="84"/>
        <v>0</v>
      </c>
      <c r="Q559" s="82">
        <f t="shared" si="85"/>
        <v>0</v>
      </c>
    </row>
    <row r="560" spans="1:17" ht="17.100000000000001" customHeight="1" x14ac:dyDescent="0.25">
      <c r="A560" s="75">
        <v>8210</v>
      </c>
      <c r="B560" s="76" t="s">
        <v>148</v>
      </c>
      <c r="C560" s="77">
        <v>0</v>
      </c>
      <c r="D560" s="81">
        <v>0</v>
      </c>
      <c r="E560" s="79">
        <v>0</v>
      </c>
      <c r="F560" s="133">
        <v>0</v>
      </c>
      <c r="G560" s="134">
        <v>0</v>
      </c>
      <c r="H560" s="90">
        <v>0</v>
      </c>
      <c r="I560" s="133">
        <v>0</v>
      </c>
      <c r="J560" s="134">
        <v>0</v>
      </c>
      <c r="K560" s="90">
        <v>0</v>
      </c>
      <c r="L560" s="133">
        <v>0</v>
      </c>
      <c r="M560" s="134">
        <v>0</v>
      </c>
      <c r="N560" s="90">
        <v>0</v>
      </c>
      <c r="O560" s="80">
        <f t="shared" si="83"/>
        <v>0</v>
      </c>
      <c r="P560" s="81">
        <f t="shared" si="84"/>
        <v>0</v>
      </c>
      <c r="Q560" s="82">
        <f t="shared" si="85"/>
        <v>0</v>
      </c>
    </row>
    <row r="561" spans="1:17" ht="17.100000000000001" customHeight="1" x14ac:dyDescent="0.25">
      <c r="A561" s="75">
        <v>8211</v>
      </c>
      <c r="B561" s="76" t="s">
        <v>149</v>
      </c>
      <c r="C561" s="77">
        <v>0</v>
      </c>
      <c r="D561" s="81">
        <v>0</v>
      </c>
      <c r="E561" s="79">
        <v>0</v>
      </c>
      <c r="F561" s="133">
        <v>0</v>
      </c>
      <c r="G561" s="134">
        <v>0</v>
      </c>
      <c r="H561" s="90">
        <v>0</v>
      </c>
      <c r="I561" s="133">
        <v>0</v>
      </c>
      <c r="J561" s="134">
        <v>0</v>
      </c>
      <c r="K561" s="90">
        <v>0</v>
      </c>
      <c r="L561" s="133">
        <v>0</v>
      </c>
      <c r="M561" s="134">
        <v>0</v>
      </c>
      <c r="N561" s="90">
        <v>0</v>
      </c>
      <c r="O561" s="80">
        <f t="shared" si="83"/>
        <v>0</v>
      </c>
      <c r="P561" s="81">
        <f t="shared" si="84"/>
        <v>0</v>
      </c>
      <c r="Q561" s="82">
        <f t="shared" si="85"/>
        <v>0</v>
      </c>
    </row>
    <row r="562" spans="1:17" ht="17.100000000000001" customHeight="1" x14ac:dyDescent="0.25">
      <c r="A562" s="75">
        <v>8212</v>
      </c>
      <c r="B562" s="76" t="s">
        <v>150</v>
      </c>
      <c r="C562" s="77">
        <v>0</v>
      </c>
      <c r="D562" s="81">
        <v>0</v>
      </c>
      <c r="E562" s="79">
        <v>0</v>
      </c>
      <c r="F562" s="133">
        <v>0</v>
      </c>
      <c r="G562" s="134">
        <v>0</v>
      </c>
      <c r="H562" s="90">
        <v>0</v>
      </c>
      <c r="I562" s="133">
        <v>0</v>
      </c>
      <c r="J562" s="134">
        <v>0</v>
      </c>
      <c r="K562" s="90">
        <v>0</v>
      </c>
      <c r="L562" s="133">
        <v>0</v>
      </c>
      <c r="M562" s="134">
        <v>0</v>
      </c>
      <c r="N562" s="90">
        <v>0</v>
      </c>
      <c r="O562" s="80">
        <f t="shared" si="83"/>
        <v>0</v>
      </c>
      <c r="P562" s="81">
        <f t="shared" si="84"/>
        <v>0</v>
      </c>
      <c r="Q562" s="82">
        <f t="shared" si="85"/>
        <v>0</v>
      </c>
    </row>
    <row r="563" spans="1:17" ht="17.100000000000001" customHeight="1" x14ac:dyDescent="0.25">
      <c r="A563" s="75">
        <v>8213</v>
      </c>
      <c r="B563" s="76" t="s">
        <v>151</v>
      </c>
      <c r="C563" s="77">
        <v>0</v>
      </c>
      <c r="D563" s="81">
        <v>0</v>
      </c>
      <c r="E563" s="79">
        <v>0</v>
      </c>
      <c r="F563" s="133">
        <v>0</v>
      </c>
      <c r="G563" s="134">
        <v>0</v>
      </c>
      <c r="H563" s="90">
        <v>0</v>
      </c>
      <c r="I563" s="133">
        <v>0</v>
      </c>
      <c r="J563" s="134">
        <v>0</v>
      </c>
      <c r="K563" s="90">
        <v>0</v>
      </c>
      <c r="L563" s="133">
        <v>0</v>
      </c>
      <c r="M563" s="134">
        <v>0</v>
      </c>
      <c r="N563" s="90">
        <v>0</v>
      </c>
      <c r="O563" s="80">
        <f t="shared" si="83"/>
        <v>0</v>
      </c>
      <c r="P563" s="81">
        <f t="shared" si="84"/>
        <v>0</v>
      </c>
      <c r="Q563" s="82">
        <f t="shared" si="85"/>
        <v>0</v>
      </c>
    </row>
    <row r="564" spans="1:17" ht="17.100000000000001" customHeight="1" x14ac:dyDescent="0.25">
      <c r="A564" s="75">
        <v>8214</v>
      </c>
      <c r="B564" s="76" t="s">
        <v>59</v>
      </c>
      <c r="C564" s="77">
        <v>0</v>
      </c>
      <c r="D564" s="81">
        <v>0</v>
      </c>
      <c r="E564" s="79">
        <v>0</v>
      </c>
      <c r="F564" s="133">
        <v>0</v>
      </c>
      <c r="G564" s="134">
        <v>0</v>
      </c>
      <c r="H564" s="90">
        <v>0</v>
      </c>
      <c r="I564" s="133">
        <v>0</v>
      </c>
      <c r="J564" s="134">
        <v>0</v>
      </c>
      <c r="K564" s="90">
        <v>0</v>
      </c>
      <c r="L564" s="133">
        <v>0</v>
      </c>
      <c r="M564" s="134">
        <v>0</v>
      </c>
      <c r="N564" s="90">
        <v>0</v>
      </c>
      <c r="O564" s="80">
        <f t="shared" si="83"/>
        <v>0</v>
      </c>
      <c r="P564" s="81">
        <f t="shared" si="84"/>
        <v>0</v>
      </c>
      <c r="Q564" s="82">
        <f t="shared" si="85"/>
        <v>0</v>
      </c>
    </row>
    <row r="565" spans="1:17" ht="17.100000000000001" customHeight="1" x14ac:dyDescent="0.25">
      <c r="A565" s="75">
        <v>8215</v>
      </c>
      <c r="B565" s="76" t="s">
        <v>152</v>
      </c>
      <c r="C565" s="77">
        <v>0</v>
      </c>
      <c r="D565" s="81">
        <v>0</v>
      </c>
      <c r="E565" s="79">
        <v>0</v>
      </c>
      <c r="F565" s="133">
        <v>0</v>
      </c>
      <c r="G565" s="134">
        <v>0</v>
      </c>
      <c r="H565" s="90">
        <v>0</v>
      </c>
      <c r="I565" s="133">
        <v>0</v>
      </c>
      <c r="J565" s="134">
        <v>0</v>
      </c>
      <c r="K565" s="90">
        <v>0</v>
      </c>
      <c r="L565" s="133">
        <v>0</v>
      </c>
      <c r="M565" s="134">
        <v>0</v>
      </c>
      <c r="N565" s="90">
        <v>0</v>
      </c>
      <c r="O565" s="80">
        <f t="shared" si="83"/>
        <v>0</v>
      </c>
      <c r="P565" s="81">
        <f t="shared" si="84"/>
        <v>0</v>
      </c>
      <c r="Q565" s="82">
        <f t="shared" si="85"/>
        <v>0</v>
      </c>
    </row>
    <row r="566" spans="1:17" ht="17.100000000000001" customHeight="1" x14ac:dyDescent="0.25">
      <c r="A566" s="75">
        <v>8216</v>
      </c>
      <c r="B566" s="76" t="s">
        <v>153</v>
      </c>
      <c r="C566" s="77">
        <v>0</v>
      </c>
      <c r="D566" s="81">
        <v>0</v>
      </c>
      <c r="E566" s="79">
        <v>0</v>
      </c>
      <c r="F566" s="133">
        <v>0</v>
      </c>
      <c r="G566" s="134">
        <v>0</v>
      </c>
      <c r="H566" s="90">
        <v>0</v>
      </c>
      <c r="I566" s="133">
        <v>0</v>
      </c>
      <c r="J566" s="134">
        <v>0</v>
      </c>
      <c r="K566" s="90">
        <v>0</v>
      </c>
      <c r="L566" s="133">
        <v>0</v>
      </c>
      <c r="M566" s="134">
        <v>0</v>
      </c>
      <c r="N566" s="90">
        <v>0</v>
      </c>
      <c r="O566" s="80">
        <f t="shared" si="83"/>
        <v>0</v>
      </c>
      <c r="P566" s="81">
        <f t="shared" si="84"/>
        <v>0</v>
      </c>
      <c r="Q566" s="82">
        <f t="shared" si="85"/>
        <v>0</v>
      </c>
    </row>
    <row r="567" spans="1:17" ht="17.100000000000001" customHeight="1" x14ac:dyDescent="0.25">
      <c r="A567" s="75">
        <v>8217</v>
      </c>
      <c r="B567" s="76" t="s">
        <v>154</v>
      </c>
      <c r="C567" s="77">
        <v>0</v>
      </c>
      <c r="D567" s="81">
        <v>0</v>
      </c>
      <c r="E567" s="79">
        <v>0</v>
      </c>
      <c r="F567" s="133">
        <v>0</v>
      </c>
      <c r="G567" s="134">
        <v>0</v>
      </c>
      <c r="H567" s="90">
        <v>0</v>
      </c>
      <c r="I567" s="133">
        <v>0</v>
      </c>
      <c r="J567" s="134">
        <v>0</v>
      </c>
      <c r="K567" s="90">
        <v>0</v>
      </c>
      <c r="L567" s="133">
        <v>0</v>
      </c>
      <c r="M567" s="134">
        <v>0</v>
      </c>
      <c r="N567" s="90">
        <v>0</v>
      </c>
      <c r="O567" s="80">
        <f t="shared" si="83"/>
        <v>0</v>
      </c>
      <c r="P567" s="81">
        <f t="shared" si="84"/>
        <v>0</v>
      </c>
      <c r="Q567" s="82">
        <f t="shared" si="85"/>
        <v>0</v>
      </c>
    </row>
    <row r="568" spans="1:17" ht="17.100000000000001" customHeight="1" x14ac:dyDescent="0.25">
      <c r="A568" s="75">
        <v>8218</v>
      </c>
      <c r="B568" s="76" t="s">
        <v>155</v>
      </c>
      <c r="C568" s="77">
        <v>0</v>
      </c>
      <c r="D568" s="81">
        <v>0</v>
      </c>
      <c r="E568" s="79">
        <v>0</v>
      </c>
      <c r="F568" s="133">
        <v>0</v>
      </c>
      <c r="G568" s="134">
        <v>0</v>
      </c>
      <c r="H568" s="90">
        <v>0</v>
      </c>
      <c r="I568" s="133">
        <v>0</v>
      </c>
      <c r="J568" s="134">
        <v>0</v>
      </c>
      <c r="K568" s="90">
        <v>0</v>
      </c>
      <c r="L568" s="133">
        <v>0</v>
      </c>
      <c r="M568" s="134">
        <v>0</v>
      </c>
      <c r="N568" s="90">
        <v>0</v>
      </c>
      <c r="O568" s="80">
        <f t="shared" si="83"/>
        <v>0</v>
      </c>
      <c r="P568" s="81">
        <f t="shared" si="84"/>
        <v>0</v>
      </c>
      <c r="Q568" s="82">
        <f t="shared" si="85"/>
        <v>0</v>
      </c>
    </row>
    <row r="569" spans="1:17" ht="17.100000000000001" customHeight="1" thickBot="1" x14ac:dyDescent="0.3">
      <c r="A569" s="36">
        <v>8219</v>
      </c>
      <c r="B569" s="108" t="s">
        <v>970</v>
      </c>
      <c r="C569" s="38">
        <v>0</v>
      </c>
      <c r="D569" s="39">
        <v>0</v>
      </c>
      <c r="E569" s="40">
        <v>0</v>
      </c>
      <c r="F569" s="166">
        <v>0</v>
      </c>
      <c r="G569" s="167">
        <v>0</v>
      </c>
      <c r="H569" s="168">
        <v>0</v>
      </c>
      <c r="I569" s="166">
        <v>0</v>
      </c>
      <c r="J569" s="167">
        <v>0</v>
      </c>
      <c r="K569" s="168">
        <v>0</v>
      </c>
      <c r="L569" s="166">
        <v>0</v>
      </c>
      <c r="M569" s="167">
        <v>0</v>
      </c>
      <c r="N569" s="168">
        <v>0</v>
      </c>
      <c r="O569" s="112">
        <f t="shared" si="83"/>
        <v>0</v>
      </c>
      <c r="P569" s="39">
        <f t="shared" si="84"/>
        <v>0</v>
      </c>
      <c r="Q569" s="113">
        <f t="shared" si="85"/>
        <v>0</v>
      </c>
    </row>
    <row r="570" spans="1:17" ht="17.100000000000001" customHeight="1" thickBot="1" x14ac:dyDescent="0.3">
      <c r="A570" s="146">
        <v>8300</v>
      </c>
      <c r="B570" s="147" t="s">
        <v>971</v>
      </c>
      <c r="C570" s="63"/>
      <c r="D570" s="63"/>
      <c r="E570" s="64"/>
      <c r="F570" s="169"/>
      <c r="G570" s="149"/>
      <c r="H570" s="170"/>
      <c r="I570" s="169"/>
      <c r="J570" s="149"/>
      <c r="K570" s="170"/>
      <c r="L570" s="169"/>
      <c r="M570" s="149"/>
      <c r="N570" s="170"/>
      <c r="O570" s="125"/>
      <c r="P570" s="126"/>
      <c r="Q570" s="143"/>
    </row>
    <row r="571" spans="1:17" ht="17.100000000000001" customHeight="1" x14ac:dyDescent="0.25">
      <c r="A571" s="36">
        <v>8301</v>
      </c>
      <c r="B571" s="108" t="s">
        <v>156</v>
      </c>
      <c r="C571" s="38">
        <v>0</v>
      </c>
      <c r="D571" s="39">
        <v>0</v>
      </c>
      <c r="E571" s="40">
        <v>0</v>
      </c>
      <c r="F571" s="187">
        <v>0</v>
      </c>
      <c r="G571" s="181">
        <v>0</v>
      </c>
      <c r="H571" s="182">
        <v>0</v>
      </c>
      <c r="I571" s="187">
        <v>0</v>
      </c>
      <c r="J571" s="181">
        <v>0</v>
      </c>
      <c r="K571" s="182">
        <v>0</v>
      </c>
      <c r="L571" s="187">
        <v>0</v>
      </c>
      <c r="M571" s="181">
        <v>0</v>
      </c>
      <c r="N571" s="182">
        <v>0</v>
      </c>
      <c r="O571" s="112">
        <f t="shared" ref="O571:O582" si="86">C571+F571-I571-L571</f>
        <v>0</v>
      </c>
      <c r="P571" s="39">
        <f t="shared" ref="P571:P582" si="87">D571+G571-J571-M571</f>
        <v>0</v>
      </c>
      <c r="Q571" s="113">
        <f t="shared" ref="Q571:Q582" si="88">E571+H571-K571-N571</f>
        <v>0</v>
      </c>
    </row>
    <row r="572" spans="1:17" ht="17.100000000000001" customHeight="1" x14ac:dyDescent="0.25">
      <c r="A572" s="75">
        <v>8302</v>
      </c>
      <c r="B572" s="76" t="s">
        <v>157</v>
      </c>
      <c r="C572" s="77">
        <v>0</v>
      </c>
      <c r="D572" s="81">
        <v>0</v>
      </c>
      <c r="E572" s="79">
        <v>0</v>
      </c>
      <c r="F572" s="133">
        <v>0</v>
      </c>
      <c r="G572" s="134">
        <v>0</v>
      </c>
      <c r="H572" s="90">
        <v>0</v>
      </c>
      <c r="I572" s="133">
        <v>0</v>
      </c>
      <c r="J572" s="134">
        <v>0</v>
      </c>
      <c r="K572" s="90">
        <v>0</v>
      </c>
      <c r="L572" s="133">
        <v>0</v>
      </c>
      <c r="M572" s="134">
        <v>0</v>
      </c>
      <c r="N572" s="90">
        <v>0</v>
      </c>
      <c r="O572" s="80">
        <f t="shared" si="86"/>
        <v>0</v>
      </c>
      <c r="P572" s="81">
        <f t="shared" si="87"/>
        <v>0</v>
      </c>
      <c r="Q572" s="82">
        <f t="shared" si="88"/>
        <v>0</v>
      </c>
    </row>
    <row r="573" spans="1:17" ht="17.100000000000001" customHeight="1" x14ac:dyDescent="0.25">
      <c r="A573" s="75">
        <v>8303</v>
      </c>
      <c r="B573" s="76" t="s">
        <v>158</v>
      </c>
      <c r="C573" s="77">
        <v>0</v>
      </c>
      <c r="D573" s="81">
        <v>0</v>
      </c>
      <c r="E573" s="79">
        <v>0</v>
      </c>
      <c r="F573" s="133">
        <v>0</v>
      </c>
      <c r="G573" s="134">
        <v>0</v>
      </c>
      <c r="H573" s="90">
        <v>0</v>
      </c>
      <c r="I573" s="133">
        <v>0</v>
      </c>
      <c r="J573" s="134">
        <v>0</v>
      </c>
      <c r="K573" s="90">
        <v>0</v>
      </c>
      <c r="L573" s="133">
        <v>0</v>
      </c>
      <c r="M573" s="134">
        <v>0</v>
      </c>
      <c r="N573" s="90">
        <v>0</v>
      </c>
      <c r="O573" s="80">
        <f t="shared" si="86"/>
        <v>0</v>
      </c>
      <c r="P573" s="81">
        <f t="shared" si="87"/>
        <v>0</v>
      </c>
      <c r="Q573" s="82">
        <f t="shared" si="88"/>
        <v>0</v>
      </c>
    </row>
    <row r="574" spans="1:17" ht="17.100000000000001" customHeight="1" x14ac:dyDescent="0.25">
      <c r="A574" s="75">
        <v>8304</v>
      </c>
      <c r="B574" s="76" t="s">
        <v>159</v>
      </c>
      <c r="C574" s="77">
        <v>0</v>
      </c>
      <c r="D574" s="81">
        <v>0</v>
      </c>
      <c r="E574" s="79">
        <v>0</v>
      </c>
      <c r="F574" s="133">
        <v>0</v>
      </c>
      <c r="G574" s="134">
        <v>0</v>
      </c>
      <c r="H574" s="90">
        <v>0</v>
      </c>
      <c r="I574" s="133">
        <v>0</v>
      </c>
      <c r="J574" s="134">
        <v>0</v>
      </c>
      <c r="K574" s="90">
        <v>0</v>
      </c>
      <c r="L574" s="133">
        <v>0</v>
      </c>
      <c r="M574" s="134">
        <v>0</v>
      </c>
      <c r="N574" s="90">
        <v>0</v>
      </c>
      <c r="O574" s="80">
        <f t="shared" si="86"/>
        <v>0</v>
      </c>
      <c r="P574" s="81">
        <f t="shared" si="87"/>
        <v>0</v>
      </c>
      <c r="Q574" s="82">
        <f t="shared" si="88"/>
        <v>0</v>
      </c>
    </row>
    <row r="575" spans="1:17" ht="17.100000000000001" customHeight="1" x14ac:dyDescent="0.25">
      <c r="A575" s="75">
        <v>8305</v>
      </c>
      <c r="B575" s="76" t="s">
        <v>160</v>
      </c>
      <c r="C575" s="77">
        <v>0</v>
      </c>
      <c r="D575" s="81">
        <v>0</v>
      </c>
      <c r="E575" s="79">
        <v>0</v>
      </c>
      <c r="F575" s="133">
        <v>0</v>
      </c>
      <c r="G575" s="134">
        <v>0</v>
      </c>
      <c r="H575" s="90">
        <v>0</v>
      </c>
      <c r="I575" s="133">
        <v>0</v>
      </c>
      <c r="J575" s="134">
        <v>0</v>
      </c>
      <c r="K575" s="90">
        <v>0</v>
      </c>
      <c r="L575" s="133">
        <v>0</v>
      </c>
      <c r="M575" s="134">
        <v>0</v>
      </c>
      <c r="N575" s="90">
        <v>0</v>
      </c>
      <c r="O575" s="80">
        <f t="shared" si="86"/>
        <v>0</v>
      </c>
      <c r="P575" s="81">
        <f t="shared" si="87"/>
        <v>0</v>
      </c>
      <c r="Q575" s="82">
        <f t="shared" si="88"/>
        <v>0</v>
      </c>
    </row>
    <row r="576" spans="1:17" ht="17.100000000000001" customHeight="1" x14ac:dyDescent="0.25">
      <c r="A576" s="75">
        <v>8306</v>
      </c>
      <c r="B576" s="76" t="s">
        <v>161</v>
      </c>
      <c r="C576" s="77">
        <v>0</v>
      </c>
      <c r="D576" s="81">
        <v>0</v>
      </c>
      <c r="E576" s="79">
        <v>0</v>
      </c>
      <c r="F576" s="133">
        <v>0</v>
      </c>
      <c r="G576" s="134">
        <v>0</v>
      </c>
      <c r="H576" s="90">
        <v>0</v>
      </c>
      <c r="I576" s="133">
        <v>0</v>
      </c>
      <c r="J576" s="134">
        <v>0</v>
      </c>
      <c r="K576" s="90">
        <v>0</v>
      </c>
      <c r="L576" s="133">
        <v>0</v>
      </c>
      <c r="M576" s="134">
        <v>0</v>
      </c>
      <c r="N576" s="90">
        <v>0</v>
      </c>
      <c r="O576" s="80">
        <f t="shared" si="86"/>
        <v>0</v>
      </c>
      <c r="P576" s="81">
        <f t="shared" si="87"/>
        <v>0</v>
      </c>
      <c r="Q576" s="82">
        <f t="shared" si="88"/>
        <v>0</v>
      </c>
    </row>
    <row r="577" spans="1:17" ht="17.100000000000001" customHeight="1" x14ac:dyDescent="0.25">
      <c r="A577" s="75">
        <v>8307</v>
      </c>
      <c r="B577" s="76" t="s">
        <v>162</v>
      </c>
      <c r="C577" s="77">
        <v>0</v>
      </c>
      <c r="D577" s="81">
        <v>0</v>
      </c>
      <c r="E577" s="79">
        <v>0</v>
      </c>
      <c r="F577" s="133">
        <v>0</v>
      </c>
      <c r="G577" s="134">
        <v>0</v>
      </c>
      <c r="H577" s="90">
        <v>0</v>
      </c>
      <c r="I577" s="133">
        <v>0</v>
      </c>
      <c r="J577" s="134">
        <v>0</v>
      </c>
      <c r="K577" s="90">
        <v>0</v>
      </c>
      <c r="L577" s="133">
        <v>0</v>
      </c>
      <c r="M577" s="134">
        <v>0</v>
      </c>
      <c r="N577" s="90">
        <v>0</v>
      </c>
      <c r="O577" s="80">
        <f t="shared" si="86"/>
        <v>0</v>
      </c>
      <c r="P577" s="81">
        <f t="shared" si="87"/>
        <v>0</v>
      </c>
      <c r="Q577" s="82">
        <f t="shared" si="88"/>
        <v>0</v>
      </c>
    </row>
    <row r="578" spans="1:17" ht="17.100000000000001" customHeight="1" x14ac:dyDescent="0.25">
      <c r="A578" s="75">
        <v>8308</v>
      </c>
      <c r="B578" s="76" t="s">
        <v>163</v>
      </c>
      <c r="C578" s="77">
        <v>0</v>
      </c>
      <c r="D578" s="81">
        <v>0</v>
      </c>
      <c r="E578" s="79">
        <v>0</v>
      </c>
      <c r="F578" s="133">
        <v>0</v>
      </c>
      <c r="G578" s="134">
        <v>0</v>
      </c>
      <c r="H578" s="90">
        <v>0</v>
      </c>
      <c r="I578" s="133">
        <v>0</v>
      </c>
      <c r="J578" s="134">
        <v>0</v>
      </c>
      <c r="K578" s="90">
        <v>0</v>
      </c>
      <c r="L578" s="133">
        <v>0</v>
      </c>
      <c r="M578" s="134">
        <v>0</v>
      </c>
      <c r="N578" s="90">
        <v>0</v>
      </c>
      <c r="O578" s="80">
        <f t="shared" si="86"/>
        <v>0</v>
      </c>
      <c r="P578" s="81">
        <f t="shared" si="87"/>
        <v>0</v>
      </c>
      <c r="Q578" s="82">
        <f t="shared" si="88"/>
        <v>0</v>
      </c>
    </row>
    <row r="579" spans="1:17" ht="17.100000000000001" customHeight="1" x14ac:dyDescent="0.25">
      <c r="A579" s="75">
        <v>8309</v>
      </c>
      <c r="B579" s="76" t="s">
        <v>164</v>
      </c>
      <c r="C579" s="77">
        <v>0</v>
      </c>
      <c r="D579" s="81">
        <v>0</v>
      </c>
      <c r="E579" s="79">
        <v>0</v>
      </c>
      <c r="F579" s="133">
        <v>0</v>
      </c>
      <c r="G579" s="134">
        <v>0</v>
      </c>
      <c r="H579" s="90">
        <v>0</v>
      </c>
      <c r="I579" s="133">
        <v>0</v>
      </c>
      <c r="J579" s="134">
        <v>0</v>
      </c>
      <c r="K579" s="90">
        <v>0</v>
      </c>
      <c r="L579" s="133">
        <v>0</v>
      </c>
      <c r="M579" s="134">
        <v>0</v>
      </c>
      <c r="N579" s="90">
        <v>0</v>
      </c>
      <c r="O579" s="80">
        <f t="shared" si="86"/>
        <v>0</v>
      </c>
      <c r="P579" s="81">
        <f t="shared" si="87"/>
        <v>0</v>
      </c>
      <c r="Q579" s="82">
        <f t="shared" si="88"/>
        <v>0</v>
      </c>
    </row>
    <row r="580" spans="1:17" ht="17.100000000000001" customHeight="1" x14ac:dyDescent="0.25">
      <c r="A580" s="75">
        <v>8310</v>
      </c>
      <c r="B580" s="76" t="s">
        <v>86</v>
      </c>
      <c r="C580" s="77">
        <v>0</v>
      </c>
      <c r="D580" s="81">
        <v>0</v>
      </c>
      <c r="E580" s="79">
        <v>0</v>
      </c>
      <c r="F580" s="133">
        <v>0</v>
      </c>
      <c r="G580" s="134">
        <v>0</v>
      </c>
      <c r="H580" s="90">
        <v>0</v>
      </c>
      <c r="I580" s="133">
        <v>0</v>
      </c>
      <c r="J580" s="134">
        <v>0</v>
      </c>
      <c r="K580" s="90">
        <v>0</v>
      </c>
      <c r="L580" s="133">
        <v>0</v>
      </c>
      <c r="M580" s="134">
        <v>0</v>
      </c>
      <c r="N580" s="90">
        <v>0</v>
      </c>
      <c r="O580" s="80">
        <f t="shared" si="86"/>
        <v>0</v>
      </c>
      <c r="P580" s="81">
        <f t="shared" si="87"/>
        <v>0</v>
      </c>
      <c r="Q580" s="82">
        <f t="shared" si="88"/>
        <v>0</v>
      </c>
    </row>
    <row r="581" spans="1:17" ht="17.100000000000001" customHeight="1" x14ac:dyDescent="0.25">
      <c r="A581" s="75">
        <v>8311</v>
      </c>
      <c r="B581" s="76" t="s">
        <v>165</v>
      </c>
      <c r="C581" s="77">
        <v>0</v>
      </c>
      <c r="D581" s="81">
        <v>0</v>
      </c>
      <c r="E581" s="79">
        <v>0</v>
      </c>
      <c r="F581" s="133">
        <v>0</v>
      </c>
      <c r="G581" s="134">
        <v>0</v>
      </c>
      <c r="H581" s="90">
        <v>0</v>
      </c>
      <c r="I581" s="133">
        <v>0</v>
      </c>
      <c r="J581" s="134">
        <v>0</v>
      </c>
      <c r="K581" s="90">
        <v>0</v>
      </c>
      <c r="L581" s="133">
        <v>0</v>
      </c>
      <c r="M581" s="134">
        <v>0</v>
      </c>
      <c r="N581" s="90">
        <v>0</v>
      </c>
      <c r="O581" s="80">
        <f t="shared" si="86"/>
        <v>0</v>
      </c>
      <c r="P581" s="81">
        <f t="shared" si="87"/>
        <v>0</v>
      </c>
      <c r="Q581" s="82">
        <f t="shared" si="88"/>
        <v>0</v>
      </c>
    </row>
    <row r="582" spans="1:17" ht="17.100000000000001" customHeight="1" thickBot="1" x14ac:dyDescent="0.3">
      <c r="A582" s="36">
        <v>8312</v>
      </c>
      <c r="B582" s="108" t="s">
        <v>166</v>
      </c>
      <c r="C582" s="38">
        <v>0</v>
      </c>
      <c r="D582" s="39">
        <v>0</v>
      </c>
      <c r="E582" s="40">
        <v>0</v>
      </c>
      <c r="F582" s="166">
        <v>0</v>
      </c>
      <c r="G582" s="167">
        <v>0</v>
      </c>
      <c r="H582" s="168">
        <v>0</v>
      </c>
      <c r="I582" s="166">
        <v>0</v>
      </c>
      <c r="J582" s="167">
        <v>0</v>
      </c>
      <c r="K582" s="168">
        <v>0</v>
      </c>
      <c r="L582" s="166">
        <v>0</v>
      </c>
      <c r="M582" s="167">
        <v>0</v>
      </c>
      <c r="N582" s="168">
        <v>0</v>
      </c>
      <c r="O582" s="112">
        <f t="shared" si="86"/>
        <v>0</v>
      </c>
      <c r="P582" s="39">
        <f t="shared" si="87"/>
        <v>0</v>
      </c>
      <c r="Q582" s="113">
        <f t="shared" si="88"/>
        <v>0</v>
      </c>
    </row>
    <row r="583" spans="1:17" ht="17.100000000000001" customHeight="1" thickBot="1" x14ac:dyDescent="0.3">
      <c r="A583" s="146">
        <v>8400</v>
      </c>
      <c r="B583" s="147" t="s">
        <v>972</v>
      </c>
      <c r="C583" s="63"/>
      <c r="D583" s="63"/>
      <c r="E583" s="64"/>
      <c r="F583" s="169"/>
      <c r="G583" s="149"/>
      <c r="H583" s="170"/>
      <c r="I583" s="169"/>
      <c r="J583" s="149"/>
      <c r="K583" s="170"/>
      <c r="L583" s="169"/>
      <c r="M583" s="149"/>
      <c r="N583" s="170"/>
      <c r="O583" s="125"/>
      <c r="P583" s="126"/>
      <c r="Q583" s="143"/>
    </row>
    <row r="584" spans="1:17" ht="17.100000000000001" customHeight="1" x14ac:dyDescent="0.25">
      <c r="A584" s="36">
        <v>8401</v>
      </c>
      <c r="B584" s="108" t="s">
        <v>167</v>
      </c>
      <c r="C584" s="38">
        <v>0</v>
      </c>
      <c r="D584" s="39">
        <v>0</v>
      </c>
      <c r="E584" s="40">
        <v>0</v>
      </c>
      <c r="F584" s="187">
        <v>0</v>
      </c>
      <c r="G584" s="181">
        <v>0</v>
      </c>
      <c r="H584" s="182">
        <v>0</v>
      </c>
      <c r="I584" s="187">
        <v>0</v>
      </c>
      <c r="J584" s="181">
        <v>0</v>
      </c>
      <c r="K584" s="182">
        <v>0</v>
      </c>
      <c r="L584" s="187">
        <v>0</v>
      </c>
      <c r="M584" s="181">
        <v>0</v>
      </c>
      <c r="N584" s="182">
        <v>0</v>
      </c>
      <c r="O584" s="112">
        <f t="shared" ref="O584:O593" si="89">C584+F584-I584-L584</f>
        <v>0</v>
      </c>
      <c r="P584" s="39">
        <f t="shared" ref="P584:P593" si="90">D584+G584-J584-M584</f>
        <v>0</v>
      </c>
      <c r="Q584" s="113">
        <f t="shared" ref="Q584:Q593" si="91">E584+H584-K584-N584</f>
        <v>0</v>
      </c>
    </row>
    <row r="585" spans="1:17" ht="17.100000000000001" customHeight="1" x14ac:dyDescent="0.25">
      <c r="A585" s="75">
        <v>8402</v>
      </c>
      <c r="B585" s="76" t="s">
        <v>168</v>
      </c>
      <c r="C585" s="77">
        <v>0</v>
      </c>
      <c r="D585" s="81">
        <v>0</v>
      </c>
      <c r="E585" s="79">
        <v>0</v>
      </c>
      <c r="F585" s="133">
        <v>0</v>
      </c>
      <c r="G585" s="134">
        <v>0</v>
      </c>
      <c r="H585" s="90">
        <v>0</v>
      </c>
      <c r="I585" s="133">
        <v>0</v>
      </c>
      <c r="J585" s="134">
        <v>0</v>
      </c>
      <c r="K585" s="90">
        <v>0</v>
      </c>
      <c r="L585" s="133">
        <v>0</v>
      </c>
      <c r="M585" s="134">
        <v>0</v>
      </c>
      <c r="N585" s="90">
        <v>0</v>
      </c>
      <c r="O585" s="80">
        <f t="shared" si="89"/>
        <v>0</v>
      </c>
      <c r="P585" s="81">
        <f t="shared" si="90"/>
        <v>0</v>
      </c>
      <c r="Q585" s="82">
        <f t="shared" si="91"/>
        <v>0</v>
      </c>
    </row>
    <row r="586" spans="1:17" ht="17.100000000000001" customHeight="1" x14ac:dyDescent="0.25">
      <c r="A586" s="75">
        <v>8403</v>
      </c>
      <c r="B586" s="76" t="s">
        <v>169</v>
      </c>
      <c r="C586" s="77">
        <v>0</v>
      </c>
      <c r="D586" s="81">
        <v>0</v>
      </c>
      <c r="E586" s="79">
        <v>0</v>
      </c>
      <c r="F586" s="133">
        <v>0</v>
      </c>
      <c r="G586" s="134">
        <v>0</v>
      </c>
      <c r="H586" s="90">
        <v>0</v>
      </c>
      <c r="I586" s="133">
        <v>0</v>
      </c>
      <c r="J586" s="134">
        <v>0</v>
      </c>
      <c r="K586" s="90">
        <v>0</v>
      </c>
      <c r="L586" s="133">
        <v>0</v>
      </c>
      <c r="M586" s="134">
        <v>0</v>
      </c>
      <c r="N586" s="90">
        <v>0</v>
      </c>
      <c r="O586" s="80">
        <f t="shared" si="89"/>
        <v>0</v>
      </c>
      <c r="P586" s="81">
        <f t="shared" si="90"/>
        <v>0</v>
      </c>
      <c r="Q586" s="82">
        <f t="shared" si="91"/>
        <v>0</v>
      </c>
    </row>
    <row r="587" spans="1:17" ht="17.100000000000001" customHeight="1" x14ac:dyDescent="0.25">
      <c r="A587" s="75">
        <v>8404</v>
      </c>
      <c r="B587" s="76" t="s">
        <v>170</v>
      </c>
      <c r="C587" s="77">
        <v>1</v>
      </c>
      <c r="D587" s="81">
        <v>0</v>
      </c>
      <c r="E587" s="79">
        <v>0</v>
      </c>
      <c r="F587" s="133">
        <v>0</v>
      </c>
      <c r="G587" s="134">
        <v>0</v>
      </c>
      <c r="H587" s="90">
        <v>0</v>
      </c>
      <c r="I587" s="133">
        <v>0</v>
      </c>
      <c r="J587" s="134">
        <v>0</v>
      </c>
      <c r="K587" s="90">
        <v>0</v>
      </c>
      <c r="L587" s="133">
        <v>0</v>
      </c>
      <c r="M587" s="134">
        <v>0</v>
      </c>
      <c r="N587" s="90">
        <v>0</v>
      </c>
      <c r="O587" s="80">
        <f t="shared" si="89"/>
        <v>1</v>
      </c>
      <c r="P587" s="81">
        <f t="shared" si="90"/>
        <v>0</v>
      </c>
      <c r="Q587" s="82">
        <f t="shared" si="91"/>
        <v>0</v>
      </c>
    </row>
    <row r="588" spans="1:17" ht="17.100000000000001" customHeight="1" x14ac:dyDescent="0.25">
      <c r="A588" s="75">
        <v>8405</v>
      </c>
      <c r="B588" s="76" t="s">
        <v>171</v>
      </c>
      <c r="C588" s="77">
        <v>0</v>
      </c>
      <c r="D588" s="81">
        <v>0</v>
      </c>
      <c r="E588" s="79">
        <v>0</v>
      </c>
      <c r="F588" s="133">
        <v>0</v>
      </c>
      <c r="G588" s="134">
        <v>0</v>
      </c>
      <c r="H588" s="90">
        <v>0</v>
      </c>
      <c r="I588" s="133">
        <v>0</v>
      </c>
      <c r="J588" s="134">
        <v>0</v>
      </c>
      <c r="K588" s="90">
        <v>0</v>
      </c>
      <c r="L588" s="133">
        <v>0</v>
      </c>
      <c r="M588" s="134">
        <v>0</v>
      </c>
      <c r="N588" s="90">
        <v>0</v>
      </c>
      <c r="O588" s="80">
        <f t="shared" si="89"/>
        <v>0</v>
      </c>
      <c r="P588" s="81">
        <f t="shared" si="90"/>
        <v>0</v>
      </c>
      <c r="Q588" s="82">
        <f t="shared" si="91"/>
        <v>0</v>
      </c>
    </row>
    <row r="589" spans="1:17" ht="17.100000000000001" customHeight="1" x14ac:dyDescent="0.25">
      <c r="A589" s="75">
        <v>8406</v>
      </c>
      <c r="B589" s="76" t="s">
        <v>172</v>
      </c>
      <c r="C589" s="77">
        <v>0</v>
      </c>
      <c r="D589" s="81">
        <v>1</v>
      </c>
      <c r="E589" s="79">
        <v>0</v>
      </c>
      <c r="F589" s="133">
        <v>0</v>
      </c>
      <c r="G589" s="134">
        <v>0</v>
      </c>
      <c r="H589" s="90">
        <v>0</v>
      </c>
      <c r="I589" s="133">
        <v>0</v>
      </c>
      <c r="J589" s="134">
        <v>0</v>
      </c>
      <c r="K589" s="90">
        <v>0</v>
      </c>
      <c r="L589" s="133">
        <v>0</v>
      </c>
      <c r="M589" s="134">
        <v>0</v>
      </c>
      <c r="N589" s="90">
        <v>0</v>
      </c>
      <c r="O589" s="80">
        <f t="shared" si="89"/>
        <v>0</v>
      </c>
      <c r="P589" s="81">
        <f t="shared" si="90"/>
        <v>1</v>
      </c>
      <c r="Q589" s="82">
        <f t="shared" si="91"/>
        <v>0</v>
      </c>
    </row>
    <row r="590" spans="1:17" ht="17.100000000000001" customHeight="1" x14ac:dyDescent="0.25">
      <c r="A590" s="75">
        <v>8407</v>
      </c>
      <c r="B590" s="76" t="s">
        <v>173</v>
      </c>
      <c r="C590" s="77">
        <v>0</v>
      </c>
      <c r="D590" s="81">
        <v>0</v>
      </c>
      <c r="E590" s="79">
        <v>0</v>
      </c>
      <c r="F590" s="133">
        <v>0</v>
      </c>
      <c r="G590" s="134">
        <v>0</v>
      </c>
      <c r="H590" s="90">
        <v>0</v>
      </c>
      <c r="I590" s="133">
        <v>0</v>
      </c>
      <c r="J590" s="134">
        <v>0</v>
      </c>
      <c r="K590" s="90">
        <v>0</v>
      </c>
      <c r="L590" s="133">
        <v>0</v>
      </c>
      <c r="M590" s="134">
        <v>0</v>
      </c>
      <c r="N590" s="90">
        <v>0</v>
      </c>
      <c r="O590" s="80">
        <f t="shared" si="89"/>
        <v>0</v>
      </c>
      <c r="P590" s="81">
        <f t="shared" si="90"/>
        <v>0</v>
      </c>
      <c r="Q590" s="82">
        <f t="shared" si="91"/>
        <v>0</v>
      </c>
    </row>
    <row r="591" spans="1:17" ht="17.100000000000001" customHeight="1" x14ac:dyDescent="0.25">
      <c r="A591" s="75">
        <v>8408</v>
      </c>
      <c r="B591" s="76" t="s">
        <v>174</v>
      </c>
      <c r="C591" s="77">
        <v>0</v>
      </c>
      <c r="D591" s="81">
        <v>0</v>
      </c>
      <c r="E591" s="79">
        <v>0</v>
      </c>
      <c r="F591" s="133">
        <v>0</v>
      </c>
      <c r="G591" s="134">
        <v>0</v>
      </c>
      <c r="H591" s="90">
        <v>0</v>
      </c>
      <c r="I591" s="133">
        <v>0</v>
      </c>
      <c r="J591" s="134">
        <v>0</v>
      </c>
      <c r="K591" s="90">
        <v>0</v>
      </c>
      <c r="L591" s="133">
        <v>0</v>
      </c>
      <c r="M591" s="134">
        <v>0</v>
      </c>
      <c r="N591" s="90">
        <v>0</v>
      </c>
      <c r="O591" s="80">
        <f t="shared" si="89"/>
        <v>0</v>
      </c>
      <c r="P591" s="81">
        <f t="shared" si="90"/>
        <v>0</v>
      </c>
      <c r="Q591" s="82">
        <f t="shared" si="91"/>
        <v>0</v>
      </c>
    </row>
    <row r="592" spans="1:17" ht="17.100000000000001" customHeight="1" x14ac:dyDescent="0.25">
      <c r="A592" s="75">
        <v>8409</v>
      </c>
      <c r="B592" s="76" t="s">
        <v>175</v>
      </c>
      <c r="C592" s="77">
        <v>0</v>
      </c>
      <c r="D592" s="81">
        <v>0</v>
      </c>
      <c r="E592" s="79">
        <v>0</v>
      </c>
      <c r="F592" s="133">
        <v>0</v>
      </c>
      <c r="G592" s="134">
        <v>0</v>
      </c>
      <c r="H592" s="90">
        <v>0</v>
      </c>
      <c r="I592" s="133">
        <v>0</v>
      </c>
      <c r="J592" s="134">
        <v>0</v>
      </c>
      <c r="K592" s="90">
        <v>0</v>
      </c>
      <c r="L592" s="133">
        <v>0</v>
      </c>
      <c r="M592" s="134">
        <v>0</v>
      </c>
      <c r="N592" s="90">
        <v>0</v>
      </c>
      <c r="O592" s="80">
        <f t="shared" si="89"/>
        <v>0</v>
      </c>
      <c r="P592" s="81">
        <f t="shared" si="90"/>
        <v>0</v>
      </c>
      <c r="Q592" s="82">
        <f t="shared" si="91"/>
        <v>0</v>
      </c>
    </row>
    <row r="593" spans="1:17" ht="17.100000000000001" customHeight="1" thickBot="1" x14ac:dyDescent="0.3">
      <c r="A593" s="36">
        <v>8410</v>
      </c>
      <c r="B593" s="108" t="s">
        <v>176</v>
      </c>
      <c r="C593" s="38">
        <v>0</v>
      </c>
      <c r="D593" s="39">
        <v>0</v>
      </c>
      <c r="E593" s="40">
        <v>0</v>
      </c>
      <c r="F593" s="166">
        <v>0</v>
      </c>
      <c r="G593" s="167">
        <v>0</v>
      </c>
      <c r="H593" s="168">
        <v>0</v>
      </c>
      <c r="I593" s="166">
        <v>0</v>
      </c>
      <c r="J593" s="167">
        <v>0</v>
      </c>
      <c r="K593" s="168">
        <v>0</v>
      </c>
      <c r="L593" s="166">
        <v>0</v>
      </c>
      <c r="M593" s="167">
        <v>0</v>
      </c>
      <c r="N593" s="168">
        <v>0</v>
      </c>
      <c r="O593" s="112">
        <f t="shared" si="89"/>
        <v>0</v>
      </c>
      <c r="P593" s="39">
        <f t="shared" si="90"/>
        <v>0</v>
      </c>
      <c r="Q593" s="113">
        <f t="shared" si="91"/>
        <v>0</v>
      </c>
    </row>
    <row r="594" spans="1:17" ht="30" customHeight="1" thickBot="1" x14ac:dyDescent="0.3">
      <c r="A594" s="106">
        <v>8500</v>
      </c>
      <c r="B594" s="107" t="s">
        <v>973</v>
      </c>
      <c r="C594" s="63"/>
      <c r="D594" s="63"/>
      <c r="E594" s="64"/>
      <c r="F594" s="169"/>
      <c r="G594" s="149"/>
      <c r="H594" s="170"/>
      <c r="I594" s="169"/>
      <c r="J594" s="149"/>
      <c r="K594" s="170"/>
      <c r="L594" s="169"/>
      <c r="M594" s="149"/>
      <c r="N594" s="170"/>
      <c r="O594" s="125"/>
      <c r="P594" s="126"/>
      <c r="Q594" s="143"/>
    </row>
    <row r="595" spans="1:17" ht="17.100000000000001" customHeight="1" x14ac:dyDescent="0.25">
      <c r="A595" s="36">
        <v>8501</v>
      </c>
      <c r="B595" s="108" t="s">
        <v>112</v>
      </c>
      <c r="C595" s="38">
        <v>0</v>
      </c>
      <c r="D595" s="39">
        <v>0</v>
      </c>
      <c r="E595" s="40">
        <v>0</v>
      </c>
      <c r="F595" s="187">
        <v>0</v>
      </c>
      <c r="G595" s="181">
        <v>0</v>
      </c>
      <c r="H595" s="182">
        <v>0</v>
      </c>
      <c r="I595" s="187">
        <v>0</v>
      </c>
      <c r="J595" s="181">
        <v>0</v>
      </c>
      <c r="K595" s="182">
        <v>0</v>
      </c>
      <c r="L595" s="187">
        <v>0</v>
      </c>
      <c r="M595" s="181">
        <v>0</v>
      </c>
      <c r="N595" s="182">
        <v>0</v>
      </c>
      <c r="O595" s="112">
        <f t="shared" ref="O595:O630" si="92">C595+F595-I595-L595</f>
        <v>0</v>
      </c>
      <c r="P595" s="39">
        <f t="shared" ref="P595:P630" si="93">D595+G595-J595-M595</f>
        <v>0</v>
      </c>
      <c r="Q595" s="113">
        <f t="shared" ref="Q595:Q630" si="94">E595+H595-K595-N595</f>
        <v>0</v>
      </c>
    </row>
    <row r="596" spans="1:17" ht="17.100000000000001" customHeight="1" x14ac:dyDescent="0.25">
      <c r="A596" s="75">
        <v>8502</v>
      </c>
      <c r="B596" s="76" t="s">
        <v>177</v>
      </c>
      <c r="C596" s="77">
        <v>0</v>
      </c>
      <c r="D596" s="81">
        <v>0</v>
      </c>
      <c r="E596" s="79">
        <v>0</v>
      </c>
      <c r="F596" s="133">
        <v>0</v>
      </c>
      <c r="G596" s="134">
        <v>0</v>
      </c>
      <c r="H596" s="90">
        <v>0</v>
      </c>
      <c r="I596" s="133">
        <v>0</v>
      </c>
      <c r="J596" s="134">
        <v>0</v>
      </c>
      <c r="K596" s="90">
        <v>0</v>
      </c>
      <c r="L596" s="133">
        <v>0</v>
      </c>
      <c r="M596" s="134">
        <v>0</v>
      </c>
      <c r="N596" s="90">
        <v>0</v>
      </c>
      <c r="O596" s="80">
        <f t="shared" si="92"/>
        <v>0</v>
      </c>
      <c r="P596" s="81">
        <f t="shared" si="93"/>
        <v>0</v>
      </c>
      <c r="Q596" s="82">
        <f t="shared" si="94"/>
        <v>0</v>
      </c>
    </row>
    <row r="597" spans="1:17" ht="17.100000000000001" customHeight="1" x14ac:dyDescent="0.25">
      <c r="A597" s="75">
        <v>8503</v>
      </c>
      <c r="B597" s="76" t="s">
        <v>178</v>
      </c>
      <c r="C597" s="77">
        <v>0</v>
      </c>
      <c r="D597" s="81">
        <v>0</v>
      </c>
      <c r="E597" s="79">
        <v>0</v>
      </c>
      <c r="F597" s="133">
        <v>0</v>
      </c>
      <c r="G597" s="134">
        <v>0</v>
      </c>
      <c r="H597" s="90">
        <v>0</v>
      </c>
      <c r="I597" s="133">
        <v>0</v>
      </c>
      <c r="J597" s="134">
        <v>0</v>
      </c>
      <c r="K597" s="90">
        <v>0</v>
      </c>
      <c r="L597" s="133">
        <v>0</v>
      </c>
      <c r="M597" s="134">
        <v>0</v>
      </c>
      <c r="N597" s="90">
        <v>0</v>
      </c>
      <c r="O597" s="80">
        <f t="shared" si="92"/>
        <v>0</v>
      </c>
      <c r="P597" s="81">
        <f t="shared" si="93"/>
        <v>0</v>
      </c>
      <c r="Q597" s="82">
        <f t="shared" si="94"/>
        <v>0</v>
      </c>
    </row>
    <row r="598" spans="1:17" ht="17.100000000000001" customHeight="1" x14ac:dyDescent="0.25">
      <c r="A598" s="75">
        <v>8504</v>
      </c>
      <c r="B598" s="76" t="s">
        <v>104</v>
      </c>
      <c r="C598" s="77">
        <v>0</v>
      </c>
      <c r="D598" s="81">
        <v>0</v>
      </c>
      <c r="E598" s="79">
        <v>0</v>
      </c>
      <c r="F598" s="133">
        <v>0</v>
      </c>
      <c r="G598" s="134">
        <v>0</v>
      </c>
      <c r="H598" s="90">
        <v>0</v>
      </c>
      <c r="I598" s="133">
        <v>0</v>
      </c>
      <c r="J598" s="134">
        <v>0</v>
      </c>
      <c r="K598" s="90">
        <v>0</v>
      </c>
      <c r="L598" s="133">
        <v>0</v>
      </c>
      <c r="M598" s="134">
        <v>0</v>
      </c>
      <c r="N598" s="90">
        <v>0</v>
      </c>
      <c r="O598" s="80">
        <f t="shared" si="92"/>
        <v>0</v>
      </c>
      <c r="P598" s="81">
        <f t="shared" si="93"/>
        <v>0</v>
      </c>
      <c r="Q598" s="82">
        <f t="shared" si="94"/>
        <v>0</v>
      </c>
    </row>
    <row r="599" spans="1:17" ht="17.100000000000001" customHeight="1" x14ac:dyDescent="0.25">
      <c r="A599" s="75">
        <v>8505</v>
      </c>
      <c r="B599" s="76" t="s">
        <v>179</v>
      </c>
      <c r="C599" s="77">
        <v>0</v>
      </c>
      <c r="D599" s="81">
        <v>0</v>
      </c>
      <c r="E599" s="79">
        <v>0</v>
      </c>
      <c r="F599" s="133">
        <v>0</v>
      </c>
      <c r="G599" s="134">
        <v>0</v>
      </c>
      <c r="H599" s="90">
        <v>0</v>
      </c>
      <c r="I599" s="133">
        <v>0</v>
      </c>
      <c r="J599" s="134">
        <v>0</v>
      </c>
      <c r="K599" s="90">
        <v>0</v>
      </c>
      <c r="L599" s="133">
        <v>0</v>
      </c>
      <c r="M599" s="134">
        <v>0</v>
      </c>
      <c r="N599" s="90">
        <v>0</v>
      </c>
      <c r="O599" s="80">
        <f t="shared" si="92"/>
        <v>0</v>
      </c>
      <c r="P599" s="81">
        <f t="shared" si="93"/>
        <v>0</v>
      </c>
      <c r="Q599" s="82">
        <f t="shared" si="94"/>
        <v>0</v>
      </c>
    </row>
    <row r="600" spans="1:17" ht="17.100000000000001" customHeight="1" x14ac:dyDescent="0.25">
      <c r="A600" s="75">
        <v>8506</v>
      </c>
      <c r="B600" s="76" t="s">
        <v>180</v>
      </c>
      <c r="C600" s="77">
        <v>0</v>
      </c>
      <c r="D600" s="81">
        <v>0</v>
      </c>
      <c r="E600" s="79">
        <v>0</v>
      </c>
      <c r="F600" s="133">
        <v>0</v>
      </c>
      <c r="G600" s="134">
        <v>0</v>
      </c>
      <c r="H600" s="90">
        <v>0</v>
      </c>
      <c r="I600" s="133">
        <v>0</v>
      </c>
      <c r="J600" s="134">
        <v>0</v>
      </c>
      <c r="K600" s="90">
        <v>0</v>
      </c>
      <c r="L600" s="133">
        <v>0</v>
      </c>
      <c r="M600" s="134">
        <v>0</v>
      </c>
      <c r="N600" s="90">
        <v>0</v>
      </c>
      <c r="O600" s="80">
        <f t="shared" si="92"/>
        <v>0</v>
      </c>
      <c r="P600" s="81">
        <f t="shared" si="93"/>
        <v>0</v>
      </c>
      <c r="Q600" s="82">
        <f t="shared" si="94"/>
        <v>0</v>
      </c>
    </row>
    <row r="601" spans="1:17" ht="17.100000000000001" customHeight="1" x14ac:dyDescent="0.25">
      <c r="A601" s="75">
        <v>8507</v>
      </c>
      <c r="B601" s="76" t="s">
        <v>102</v>
      </c>
      <c r="C601" s="77">
        <v>0</v>
      </c>
      <c r="D601" s="81">
        <v>0</v>
      </c>
      <c r="E601" s="79">
        <v>0</v>
      </c>
      <c r="F601" s="133">
        <v>0</v>
      </c>
      <c r="G601" s="134">
        <v>0</v>
      </c>
      <c r="H601" s="90">
        <v>0</v>
      </c>
      <c r="I601" s="133">
        <v>0</v>
      </c>
      <c r="J601" s="134">
        <v>0</v>
      </c>
      <c r="K601" s="90">
        <v>0</v>
      </c>
      <c r="L601" s="133">
        <v>0</v>
      </c>
      <c r="M601" s="134">
        <v>0</v>
      </c>
      <c r="N601" s="90">
        <v>0</v>
      </c>
      <c r="O601" s="80">
        <f t="shared" si="92"/>
        <v>0</v>
      </c>
      <c r="P601" s="81">
        <f t="shared" si="93"/>
        <v>0</v>
      </c>
      <c r="Q601" s="82">
        <f t="shared" si="94"/>
        <v>0</v>
      </c>
    </row>
    <row r="602" spans="1:17" ht="17.100000000000001" customHeight="1" x14ac:dyDescent="0.25">
      <c r="A602" s="75">
        <v>8508</v>
      </c>
      <c r="B602" s="76" t="s">
        <v>121</v>
      </c>
      <c r="C602" s="77">
        <v>0</v>
      </c>
      <c r="D602" s="81">
        <v>0</v>
      </c>
      <c r="E602" s="79">
        <v>0</v>
      </c>
      <c r="F602" s="133">
        <v>0</v>
      </c>
      <c r="G602" s="134">
        <v>0</v>
      </c>
      <c r="H602" s="90">
        <v>0</v>
      </c>
      <c r="I602" s="133">
        <v>0</v>
      </c>
      <c r="J602" s="134">
        <v>0</v>
      </c>
      <c r="K602" s="90">
        <v>0</v>
      </c>
      <c r="L602" s="133">
        <v>0</v>
      </c>
      <c r="M602" s="134">
        <v>0</v>
      </c>
      <c r="N602" s="90">
        <v>0</v>
      </c>
      <c r="O602" s="80">
        <f t="shared" si="92"/>
        <v>0</v>
      </c>
      <c r="P602" s="81">
        <f t="shared" si="93"/>
        <v>0</v>
      </c>
      <c r="Q602" s="82">
        <f t="shared" si="94"/>
        <v>0</v>
      </c>
    </row>
    <row r="603" spans="1:17" ht="17.100000000000001" customHeight="1" x14ac:dyDescent="0.25">
      <c r="A603" s="75">
        <v>8509</v>
      </c>
      <c r="B603" s="76" t="s">
        <v>87</v>
      </c>
      <c r="C603" s="77">
        <v>0</v>
      </c>
      <c r="D603" s="81">
        <v>0</v>
      </c>
      <c r="E603" s="79">
        <v>0</v>
      </c>
      <c r="F603" s="133">
        <v>0</v>
      </c>
      <c r="G603" s="134">
        <v>0</v>
      </c>
      <c r="H603" s="90">
        <v>0</v>
      </c>
      <c r="I603" s="133">
        <v>0</v>
      </c>
      <c r="J603" s="134">
        <v>0</v>
      </c>
      <c r="K603" s="90">
        <v>0</v>
      </c>
      <c r="L603" s="133">
        <v>0</v>
      </c>
      <c r="M603" s="134">
        <v>0</v>
      </c>
      <c r="N603" s="90">
        <v>0</v>
      </c>
      <c r="O603" s="80">
        <f t="shared" si="92"/>
        <v>0</v>
      </c>
      <c r="P603" s="81">
        <f t="shared" si="93"/>
        <v>0</v>
      </c>
      <c r="Q603" s="82">
        <f t="shared" si="94"/>
        <v>0</v>
      </c>
    </row>
    <row r="604" spans="1:17" ht="17.100000000000001" customHeight="1" x14ac:dyDescent="0.25">
      <c r="A604" s="75">
        <v>8510</v>
      </c>
      <c r="B604" s="76" t="s">
        <v>181</v>
      </c>
      <c r="C604" s="77">
        <v>0</v>
      </c>
      <c r="D604" s="81">
        <v>0</v>
      </c>
      <c r="E604" s="79">
        <v>0</v>
      </c>
      <c r="F604" s="133">
        <v>0</v>
      </c>
      <c r="G604" s="134">
        <v>0</v>
      </c>
      <c r="H604" s="90">
        <v>0</v>
      </c>
      <c r="I604" s="133">
        <v>0</v>
      </c>
      <c r="J604" s="134">
        <v>0</v>
      </c>
      <c r="K604" s="90">
        <v>0</v>
      </c>
      <c r="L604" s="133">
        <v>0</v>
      </c>
      <c r="M604" s="134">
        <v>0</v>
      </c>
      <c r="N604" s="90">
        <v>0</v>
      </c>
      <c r="O604" s="80">
        <f t="shared" si="92"/>
        <v>0</v>
      </c>
      <c r="P604" s="81">
        <f t="shared" si="93"/>
        <v>0</v>
      </c>
      <c r="Q604" s="82">
        <f t="shared" si="94"/>
        <v>0</v>
      </c>
    </row>
    <row r="605" spans="1:17" ht="17.100000000000001" customHeight="1" x14ac:dyDescent="0.25">
      <c r="A605" s="75">
        <v>8511</v>
      </c>
      <c r="B605" s="76" t="s">
        <v>182</v>
      </c>
      <c r="C605" s="77">
        <v>0</v>
      </c>
      <c r="D605" s="81">
        <v>0</v>
      </c>
      <c r="E605" s="79">
        <v>0</v>
      </c>
      <c r="F605" s="133">
        <v>0</v>
      </c>
      <c r="G605" s="134">
        <v>0</v>
      </c>
      <c r="H605" s="90">
        <v>0</v>
      </c>
      <c r="I605" s="133">
        <v>0</v>
      </c>
      <c r="J605" s="134">
        <v>0</v>
      </c>
      <c r="K605" s="90">
        <v>0</v>
      </c>
      <c r="L605" s="133">
        <v>0</v>
      </c>
      <c r="M605" s="134">
        <v>0</v>
      </c>
      <c r="N605" s="90">
        <v>0</v>
      </c>
      <c r="O605" s="80">
        <f t="shared" si="92"/>
        <v>0</v>
      </c>
      <c r="P605" s="81">
        <f t="shared" si="93"/>
        <v>0</v>
      </c>
      <c r="Q605" s="82">
        <f t="shared" si="94"/>
        <v>0</v>
      </c>
    </row>
    <row r="606" spans="1:17" ht="17.100000000000001" customHeight="1" x14ac:dyDescent="0.25">
      <c r="A606" s="75">
        <v>8512</v>
      </c>
      <c r="B606" s="76" t="s">
        <v>98</v>
      </c>
      <c r="C606" s="77">
        <v>0</v>
      </c>
      <c r="D606" s="81">
        <v>0</v>
      </c>
      <c r="E606" s="79">
        <v>0</v>
      </c>
      <c r="F606" s="133">
        <v>0</v>
      </c>
      <c r="G606" s="134">
        <v>0</v>
      </c>
      <c r="H606" s="90">
        <v>0</v>
      </c>
      <c r="I606" s="133">
        <v>0</v>
      </c>
      <c r="J606" s="134">
        <v>0</v>
      </c>
      <c r="K606" s="90">
        <v>0</v>
      </c>
      <c r="L606" s="133">
        <v>0</v>
      </c>
      <c r="M606" s="134">
        <v>0</v>
      </c>
      <c r="N606" s="90">
        <v>0</v>
      </c>
      <c r="O606" s="80">
        <f t="shared" si="92"/>
        <v>0</v>
      </c>
      <c r="P606" s="81">
        <f t="shared" si="93"/>
        <v>0</v>
      </c>
      <c r="Q606" s="82">
        <f t="shared" si="94"/>
        <v>0</v>
      </c>
    </row>
    <row r="607" spans="1:17" ht="17.100000000000001" customHeight="1" x14ac:dyDescent="0.25">
      <c r="A607" s="75">
        <v>8513</v>
      </c>
      <c r="B607" s="76" t="s">
        <v>103</v>
      </c>
      <c r="C607" s="77">
        <v>0</v>
      </c>
      <c r="D607" s="81">
        <v>0</v>
      </c>
      <c r="E607" s="79">
        <v>0</v>
      </c>
      <c r="F607" s="133">
        <v>0</v>
      </c>
      <c r="G607" s="134">
        <v>0</v>
      </c>
      <c r="H607" s="90">
        <v>0</v>
      </c>
      <c r="I607" s="133">
        <v>0</v>
      </c>
      <c r="J607" s="134">
        <v>0</v>
      </c>
      <c r="K607" s="90">
        <v>0</v>
      </c>
      <c r="L607" s="133">
        <v>0</v>
      </c>
      <c r="M607" s="134">
        <v>0</v>
      </c>
      <c r="N607" s="90">
        <v>0</v>
      </c>
      <c r="O607" s="80">
        <f t="shared" si="92"/>
        <v>0</v>
      </c>
      <c r="P607" s="81">
        <f t="shared" si="93"/>
        <v>0</v>
      </c>
      <c r="Q607" s="82">
        <f t="shared" si="94"/>
        <v>0</v>
      </c>
    </row>
    <row r="608" spans="1:17" ht="17.100000000000001" customHeight="1" x14ac:dyDescent="0.25">
      <c r="A608" s="75">
        <v>8514</v>
      </c>
      <c r="B608" s="76" t="s">
        <v>183</v>
      </c>
      <c r="C608" s="77">
        <v>0</v>
      </c>
      <c r="D608" s="81">
        <v>0</v>
      </c>
      <c r="E608" s="79">
        <v>0</v>
      </c>
      <c r="F608" s="133">
        <v>0</v>
      </c>
      <c r="G608" s="134">
        <v>0</v>
      </c>
      <c r="H608" s="90">
        <v>0</v>
      </c>
      <c r="I608" s="133">
        <v>0</v>
      </c>
      <c r="J608" s="134">
        <v>0</v>
      </c>
      <c r="K608" s="90">
        <v>0</v>
      </c>
      <c r="L608" s="133">
        <v>0</v>
      </c>
      <c r="M608" s="134">
        <v>0</v>
      </c>
      <c r="N608" s="90">
        <v>0</v>
      </c>
      <c r="O608" s="80">
        <f t="shared" si="92"/>
        <v>0</v>
      </c>
      <c r="P608" s="81">
        <f t="shared" si="93"/>
        <v>0</v>
      </c>
      <c r="Q608" s="82">
        <f t="shared" si="94"/>
        <v>0</v>
      </c>
    </row>
    <row r="609" spans="1:17" ht="17.100000000000001" customHeight="1" x14ac:dyDescent="0.25">
      <c r="A609" s="75">
        <v>8515</v>
      </c>
      <c r="B609" s="76" t="s">
        <v>184</v>
      </c>
      <c r="C609" s="77">
        <v>0</v>
      </c>
      <c r="D609" s="81">
        <v>0</v>
      </c>
      <c r="E609" s="79">
        <v>0</v>
      </c>
      <c r="F609" s="133">
        <v>0</v>
      </c>
      <c r="G609" s="134">
        <v>0</v>
      </c>
      <c r="H609" s="90">
        <v>0</v>
      </c>
      <c r="I609" s="133">
        <v>0</v>
      </c>
      <c r="J609" s="134">
        <v>0</v>
      </c>
      <c r="K609" s="90">
        <v>0</v>
      </c>
      <c r="L609" s="133">
        <v>0</v>
      </c>
      <c r="M609" s="134">
        <v>0</v>
      </c>
      <c r="N609" s="90">
        <v>0</v>
      </c>
      <c r="O609" s="80">
        <f t="shared" si="92"/>
        <v>0</v>
      </c>
      <c r="P609" s="81">
        <f t="shared" si="93"/>
        <v>0</v>
      </c>
      <c r="Q609" s="82">
        <f t="shared" si="94"/>
        <v>0</v>
      </c>
    </row>
    <row r="610" spans="1:17" ht="17.100000000000001" customHeight="1" x14ac:dyDescent="0.25">
      <c r="A610" s="75">
        <v>8516</v>
      </c>
      <c r="B610" s="76" t="s">
        <v>108</v>
      </c>
      <c r="C610" s="77">
        <v>0</v>
      </c>
      <c r="D610" s="81">
        <v>0</v>
      </c>
      <c r="E610" s="79">
        <v>0</v>
      </c>
      <c r="F610" s="133">
        <v>0</v>
      </c>
      <c r="G610" s="134">
        <v>0</v>
      </c>
      <c r="H610" s="90">
        <v>0</v>
      </c>
      <c r="I610" s="133">
        <v>0</v>
      </c>
      <c r="J610" s="134">
        <v>0</v>
      </c>
      <c r="K610" s="90">
        <v>0</v>
      </c>
      <c r="L610" s="133">
        <v>0</v>
      </c>
      <c r="M610" s="134">
        <v>0</v>
      </c>
      <c r="N610" s="90">
        <v>0</v>
      </c>
      <c r="O610" s="80">
        <f t="shared" si="92"/>
        <v>0</v>
      </c>
      <c r="P610" s="81">
        <f t="shared" si="93"/>
        <v>0</v>
      </c>
      <c r="Q610" s="82">
        <f t="shared" si="94"/>
        <v>0</v>
      </c>
    </row>
    <row r="611" spans="1:17" ht="17.100000000000001" customHeight="1" x14ac:dyDescent="0.25">
      <c r="A611" s="75">
        <v>8517</v>
      </c>
      <c r="B611" s="76" t="s">
        <v>185</v>
      </c>
      <c r="C611" s="77">
        <v>0</v>
      </c>
      <c r="D611" s="81">
        <v>0</v>
      </c>
      <c r="E611" s="79">
        <v>0</v>
      </c>
      <c r="F611" s="133">
        <v>0</v>
      </c>
      <c r="G611" s="134">
        <v>0</v>
      </c>
      <c r="H611" s="90">
        <v>0</v>
      </c>
      <c r="I611" s="133">
        <v>0</v>
      </c>
      <c r="J611" s="134">
        <v>0</v>
      </c>
      <c r="K611" s="90">
        <v>0</v>
      </c>
      <c r="L611" s="133">
        <v>0</v>
      </c>
      <c r="M611" s="134">
        <v>0</v>
      </c>
      <c r="N611" s="90">
        <v>0</v>
      </c>
      <c r="O611" s="80">
        <f t="shared" si="92"/>
        <v>0</v>
      </c>
      <c r="P611" s="81">
        <f t="shared" si="93"/>
        <v>0</v>
      </c>
      <c r="Q611" s="82">
        <f t="shared" si="94"/>
        <v>0</v>
      </c>
    </row>
    <row r="612" spans="1:17" ht="17.100000000000001" customHeight="1" x14ac:dyDescent="0.25">
      <c r="A612" s="75">
        <v>8518</v>
      </c>
      <c r="B612" s="76" t="s">
        <v>109</v>
      </c>
      <c r="C612" s="77">
        <v>0</v>
      </c>
      <c r="D612" s="81">
        <v>0</v>
      </c>
      <c r="E612" s="79">
        <v>0</v>
      </c>
      <c r="F612" s="133">
        <v>0</v>
      </c>
      <c r="G612" s="134">
        <v>0</v>
      </c>
      <c r="H612" s="90">
        <v>0</v>
      </c>
      <c r="I612" s="133">
        <v>0</v>
      </c>
      <c r="J612" s="134">
        <v>0</v>
      </c>
      <c r="K612" s="90">
        <v>0</v>
      </c>
      <c r="L612" s="133">
        <v>0</v>
      </c>
      <c r="M612" s="134">
        <v>0</v>
      </c>
      <c r="N612" s="90">
        <v>0</v>
      </c>
      <c r="O612" s="80">
        <f t="shared" si="92"/>
        <v>0</v>
      </c>
      <c r="P612" s="81">
        <f t="shared" si="93"/>
        <v>0</v>
      </c>
      <c r="Q612" s="82">
        <f t="shared" si="94"/>
        <v>0</v>
      </c>
    </row>
    <row r="613" spans="1:17" ht="17.100000000000001" customHeight="1" x14ac:dyDescent="0.25">
      <c r="A613" s="75">
        <v>8519</v>
      </c>
      <c r="B613" s="76" t="s">
        <v>186</v>
      </c>
      <c r="C613" s="77">
        <v>0</v>
      </c>
      <c r="D613" s="81">
        <v>0</v>
      </c>
      <c r="E613" s="79">
        <v>0</v>
      </c>
      <c r="F613" s="133">
        <v>0</v>
      </c>
      <c r="G613" s="134">
        <v>0</v>
      </c>
      <c r="H613" s="90">
        <v>0</v>
      </c>
      <c r="I613" s="133">
        <v>0</v>
      </c>
      <c r="J613" s="134">
        <v>0</v>
      </c>
      <c r="K613" s="90">
        <v>0</v>
      </c>
      <c r="L613" s="133">
        <v>0</v>
      </c>
      <c r="M613" s="134">
        <v>0</v>
      </c>
      <c r="N613" s="90">
        <v>0</v>
      </c>
      <c r="O613" s="80">
        <f t="shared" si="92"/>
        <v>0</v>
      </c>
      <c r="P613" s="81">
        <f t="shared" si="93"/>
        <v>0</v>
      </c>
      <c r="Q613" s="82">
        <f t="shared" si="94"/>
        <v>0</v>
      </c>
    </row>
    <row r="614" spans="1:17" ht="17.100000000000001" customHeight="1" x14ac:dyDescent="0.25">
      <c r="A614" s="75">
        <v>8520</v>
      </c>
      <c r="B614" s="76" t="s">
        <v>187</v>
      </c>
      <c r="C614" s="77">
        <v>0</v>
      </c>
      <c r="D614" s="81">
        <v>0</v>
      </c>
      <c r="E614" s="79">
        <v>0</v>
      </c>
      <c r="F614" s="133">
        <v>0</v>
      </c>
      <c r="G614" s="134">
        <v>0</v>
      </c>
      <c r="H614" s="90">
        <v>0</v>
      </c>
      <c r="I614" s="133">
        <v>0</v>
      </c>
      <c r="J614" s="134">
        <v>0</v>
      </c>
      <c r="K614" s="90">
        <v>0</v>
      </c>
      <c r="L614" s="133">
        <v>0</v>
      </c>
      <c r="M614" s="134">
        <v>0</v>
      </c>
      <c r="N614" s="90">
        <v>0</v>
      </c>
      <c r="O614" s="80">
        <f t="shared" si="92"/>
        <v>0</v>
      </c>
      <c r="P614" s="81">
        <f t="shared" si="93"/>
        <v>0</v>
      </c>
      <c r="Q614" s="82">
        <f t="shared" si="94"/>
        <v>0</v>
      </c>
    </row>
    <row r="615" spans="1:17" ht="17.100000000000001" customHeight="1" x14ac:dyDescent="0.25">
      <c r="A615" s="75">
        <v>8521</v>
      </c>
      <c r="B615" s="76" t="s">
        <v>188</v>
      </c>
      <c r="C615" s="77">
        <v>0</v>
      </c>
      <c r="D615" s="81">
        <v>0</v>
      </c>
      <c r="E615" s="79">
        <v>0</v>
      </c>
      <c r="F615" s="133">
        <v>0</v>
      </c>
      <c r="G615" s="134">
        <v>0</v>
      </c>
      <c r="H615" s="90">
        <v>0</v>
      </c>
      <c r="I615" s="133">
        <v>0</v>
      </c>
      <c r="J615" s="134">
        <v>0</v>
      </c>
      <c r="K615" s="90">
        <v>0</v>
      </c>
      <c r="L615" s="133">
        <v>0</v>
      </c>
      <c r="M615" s="134">
        <v>0</v>
      </c>
      <c r="N615" s="90">
        <v>0</v>
      </c>
      <c r="O615" s="80">
        <f t="shared" si="92"/>
        <v>0</v>
      </c>
      <c r="P615" s="81">
        <f t="shared" si="93"/>
        <v>0</v>
      </c>
      <c r="Q615" s="82">
        <f t="shared" si="94"/>
        <v>0</v>
      </c>
    </row>
    <row r="616" spans="1:17" ht="17.100000000000001" customHeight="1" x14ac:dyDescent="0.25">
      <c r="A616" s="75">
        <v>8522</v>
      </c>
      <c r="B616" s="76" t="s">
        <v>110</v>
      </c>
      <c r="C616" s="77">
        <v>0</v>
      </c>
      <c r="D616" s="81">
        <v>0</v>
      </c>
      <c r="E616" s="79">
        <v>0</v>
      </c>
      <c r="F616" s="133">
        <v>0</v>
      </c>
      <c r="G616" s="134">
        <v>0</v>
      </c>
      <c r="H616" s="90">
        <v>0</v>
      </c>
      <c r="I616" s="133">
        <v>0</v>
      </c>
      <c r="J616" s="134">
        <v>0</v>
      </c>
      <c r="K616" s="90">
        <v>0</v>
      </c>
      <c r="L616" s="133">
        <v>0</v>
      </c>
      <c r="M616" s="134">
        <v>0</v>
      </c>
      <c r="N616" s="90">
        <v>0</v>
      </c>
      <c r="O616" s="80">
        <f t="shared" si="92"/>
        <v>0</v>
      </c>
      <c r="P616" s="81">
        <f t="shared" si="93"/>
        <v>0</v>
      </c>
      <c r="Q616" s="82">
        <f t="shared" si="94"/>
        <v>0</v>
      </c>
    </row>
    <row r="617" spans="1:17" ht="17.100000000000001" customHeight="1" x14ac:dyDescent="0.25">
      <c r="A617" s="75">
        <v>8523</v>
      </c>
      <c r="B617" s="76" t="s">
        <v>189</v>
      </c>
      <c r="C617" s="77">
        <v>0</v>
      </c>
      <c r="D617" s="81">
        <v>0</v>
      </c>
      <c r="E617" s="79">
        <v>0</v>
      </c>
      <c r="F617" s="133">
        <v>0</v>
      </c>
      <c r="G617" s="134">
        <v>0</v>
      </c>
      <c r="H617" s="90">
        <v>0</v>
      </c>
      <c r="I617" s="133">
        <v>0</v>
      </c>
      <c r="J617" s="134">
        <v>0</v>
      </c>
      <c r="K617" s="90">
        <v>0</v>
      </c>
      <c r="L617" s="133">
        <v>0</v>
      </c>
      <c r="M617" s="134">
        <v>0</v>
      </c>
      <c r="N617" s="90">
        <v>0</v>
      </c>
      <c r="O617" s="80">
        <f t="shared" si="92"/>
        <v>0</v>
      </c>
      <c r="P617" s="81">
        <f t="shared" si="93"/>
        <v>0</v>
      </c>
      <c r="Q617" s="82">
        <f t="shared" si="94"/>
        <v>0</v>
      </c>
    </row>
    <row r="618" spans="1:17" ht="17.100000000000001" customHeight="1" x14ac:dyDescent="0.25">
      <c r="A618" s="75">
        <v>8524</v>
      </c>
      <c r="B618" s="76" t="s">
        <v>190</v>
      </c>
      <c r="C618" s="77">
        <v>0</v>
      </c>
      <c r="D618" s="81">
        <v>0</v>
      </c>
      <c r="E618" s="79">
        <v>0</v>
      </c>
      <c r="F618" s="133">
        <v>0</v>
      </c>
      <c r="G618" s="134">
        <v>0</v>
      </c>
      <c r="H618" s="90">
        <v>0</v>
      </c>
      <c r="I618" s="133">
        <v>0</v>
      </c>
      <c r="J618" s="134">
        <v>0</v>
      </c>
      <c r="K618" s="90">
        <v>0</v>
      </c>
      <c r="L618" s="133">
        <v>0</v>
      </c>
      <c r="M618" s="134">
        <v>0</v>
      </c>
      <c r="N618" s="90">
        <v>0</v>
      </c>
      <c r="O618" s="80">
        <f t="shared" si="92"/>
        <v>0</v>
      </c>
      <c r="P618" s="81">
        <f t="shared" si="93"/>
        <v>0</v>
      </c>
      <c r="Q618" s="82">
        <f t="shared" si="94"/>
        <v>0</v>
      </c>
    </row>
    <row r="619" spans="1:17" ht="17.100000000000001" customHeight="1" x14ac:dyDescent="0.25">
      <c r="A619" s="75">
        <v>8525</v>
      </c>
      <c r="B619" s="76" t="s">
        <v>191</v>
      </c>
      <c r="C619" s="77">
        <v>0</v>
      </c>
      <c r="D619" s="81">
        <v>0</v>
      </c>
      <c r="E619" s="79">
        <v>0</v>
      </c>
      <c r="F619" s="133">
        <v>0</v>
      </c>
      <c r="G619" s="134">
        <v>0</v>
      </c>
      <c r="H619" s="90">
        <v>0</v>
      </c>
      <c r="I619" s="133">
        <v>0</v>
      </c>
      <c r="J619" s="134">
        <v>0</v>
      </c>
      <c r="K619" s="90">
        <v>0</v>
      </c>
      <c r="L619" s="133">
        <v>0</v>
      </c>
      <c r="M619" s="134">
        <v>0</v>
      </c>
      <c r="N619" s="90">
        <v>0</v>
      </c>
      <c r="O619" s="80">
        <f t="shared" si="92"/>
        <v>0</v>
      </c>
      <c r="P619" s="81">
        <f t="shared" si="93"/>
        <v>0</v>
      </c>
      <c r="Q619" s="82">
        <f t="shared" si="94"/>
        <v>0</v>
      </c>
    </row>
    <row r="620" spans="1:17" ht="30" customHeight="1" x14ac:dyDescent="0.25">
      <c r="A620" s="75">
        <v>8526</v>
      </c>
      <c r="B620" s="76" t="s">
        <v>192</v>
      </c>
      <c r="C620" s="85">
        <v>0</v>
      </c>
      <c r="D620" s="134">
        <v>0</v>
      </c>
      <c r="E620" s="87">
        <v>0</v>
      </c>
      <c r="F620" s="133">
        <v>0</v>
      </c>
      <c r="G620" s="134">
        <v>0</v>
      </c>
      <c r="H620" s="90">
        <v>0</v>
      </c>
      <c r="I620" s="133">
        <v>0</v>
      </c>
      <c r="J620" s="134">
        <v>0</v>
      </c>
      <c r="K620" s="90">
        <v>0</v>
      </c>
      <c r="L620" s="133">
        <v>0</v>
      </c>
      <c r="M620" s="134">
        <v>0</v>
      </c>
      <c r="N620" s="90">
        <v>0</v>
      </c>
      <c r="O620" s="133">
        <f t="shared" si="92"/>
        <v>0</v>
      </c>
      <c r="P620" s="134">
        <f t="shared" si="93"/>
        <v>0</v>
      </c>
      <c r="Q620" s="90">
        <f t="shared" si="94"/>
        <v>0</v>
      </c>
    </row>
    <row r="621" spans="1:17" ht="17.100000000000001" customHeight="1" x14ac:dyDescent="0.25">
      <c r="A621" s="75">
        <v>8527</v>
      </c>
      <c r="B621" s="76" t="s">
        <v>193</v>
      </c>
      <c r="C621" s="85">
        <v>0</v>
      </c>
      <c r="D621" s="134">
        <v>0</v>
      </c>
      <c r="E621" s="87">
        <v>0</v>
      </c>
      <c r="F621" s="133">
        <v>0</v>
      </c>
      <c r="G621" s="134">
        <v>0</v>
      </c>
      <c r="H621" s="90">
        <v>0</v>
      </c>
      <c r="I621" s="133">
        <v>0</v>
      </c>
      <c r="J621" s="134">
        <v>0</v>
      </c>
      <c r="K621" s="90">
        <v>0</v>
      </c>
      <c r="L621" s="133">
        <v>0</v>
      </c>
      <c r="M621" s="134">
        <v>0</v>
      </c>
      <c r="N621" s="90">
        <v>0</v>
      </c>
      <c r="O621" s="133">
        <f t="shared" si="92"/>
        <v>0</v>
      </c>
      <c r="P621" s="134">
        <f t="shared" si="93"/>
        <v>0</v>
      </c>
      <c r="Q621" s="90">
        <f t="shared" si="94"/>
        <v>0</v>
      </c>
    </row>
    <row r="622" spans="1:17" ht="17.100000000000001" customHeight="1" x14ac:dyDescent="0.25">
      <c r="A622" s="75">
        <v>8528</v>
      </c>
      <c r="B622" s="76" t="s">
        <v>194</v>
      </c>
      <c r="C622" s="85">
        <v>0</v>
      </c>
      <c r="D622" s="134">
        <v>0</v>
      </c>
      <c r="E622" s="87">
        <v>0</v>
      </c>
      <c r="F622" s="133">
        <v>0</v>
      </c>
      <c r="G622" s="134">
        <v>0</v>
      </c>
      <c r="H622" s="90">
        <v>0</v>
      </c>
      <c r="I622" s="133">
        <v>0</v>
      </c>
      <c r="J622" s="134">
        <v>0</v>
      </c>
      <c r="K622" s="90">
        <v>0</v>
      </c>
      <c r="L622" s="133">
        <v>0</v>
      </c>
      <c r="M622" s="134">
        <v>0</v>
      </c>
      <c r="N622" s="90">
        <v>0</v>
      </c>
      <c r="O622" s="133">
        <f t="shared" si="92"/>
        <v>0</v>
      </c>
      <c r="P622" s="134">
        <f t="shared" si="93"/>
        <v>0</v>
      </c>
      <c r="Q622" s="90">
        <f t="shared" si="94"/>
        <v>0</v>
      </c>
    </row>
    <row r="623" spans="1:17" ht="17.100000000000001" customHeight="1" x14ac:dyDescent="0.25">
      <c r="A623" s="75">
        <v>8529</v>
      </c>
      <c r="B623" s="76" t="s">
        <v>195</v>
      </c>
      <c r="C623" s="85">
        <v>0</v>
      </c>
      <c r="D623" s="134">
        <v>0</v>
      </c>
      <c r="E623" s="87">
        <v>0</v>
      </c>
      <c r="F623" s="133">
        <v>0</v>
      </c>
      <c r="G623" s="134">
        <v>0</v>
      </c>
      <c r="H623" s="90">
        <v>0</v>
      </c>
      <c r="I623" s="133">
        <v>0</v>
      </c>
      <c r="J623" s="134">
        <v>0</v>
      </c>
      <c r="K623" s="90">
        <v>0</v>
      </c>
      <c r="L623" s="133">
        <v>0</v>
      </c>
      <c r="M623" s="134">
        <v>0</v>
      </c>
      <c r="N623" s="90">
        <v>0</v>
      </c>
      <c r="O623" s="133">
        <f t="shared" si="92"/>
        <v>0</v>
      </c>
      <c r="P623" s="134">
        <f t="shared" si="93"/>
        <v>0</v>
      </c>
      <c r="Q623" s="90">
        <f t="shared" si="94"/>
        <v>0</v>
      </c>
    </row>
    <row r="624" spans="1:17" ht="17.100000000000001" customHeight="1" x14ac:dyDescent="0.25">
      <c r="A624" s="75">
        <v>8530</v>
      </c>
      <c r="B624" s="76" t="s">
        <v>196</v>
      </c>
      <c r="C624" s="85">
        <v>0</v>
      </c>
      <c r="D624" s="134">
        <v>0</v>
      </c>
      <c r="E624" s="87">
        <v>0</v>
      </c>
      <c r="F624" s="133">
        <v>0</v>
      </c>
      <c r="G624" s="134">
        <v>0</v>
      </c>
      <c r="H624" s="90">
        <v>0</v>
      </c>
      <c r="I624" s="133">
        <v>0</v>
      </c>
      <c r="J624" s="134">
        <v>0</v>
      </c>
      <c r="K624" s="90">
        <v>0</v>
      </c>
      <c r="L624" s="133">
        <v>0</v>
      </c>
      <c r="M624" s="134">
        <v>0</v>
      </c>
      <c r="N624" s="90">
        <v>0</v>
      </c>
      <c r="O624" s="133">
        <f t="shared" si="92"/>
        <v>0</v>
      </c>
      <c r="P624" s="134">
        <f t="shared" si="93"/>
        <v>0</v>
      </c>
      <c r="Q624" s="90">
        <f t="shared" si="94"/>
        <v>0</v>
      </c>
    </row>
    <row r="625" spans="1:17" ht="17.100000000000001" customHeight="1" x14ac:dyDescent="0.25">
      <c r="A625" s="75">
        <v>8531</v>
      </c>
      <c r="B625" s="76" t="s">
        <v>197</v>
      </c>
      <c r="C625" s="85">
        <v>0</v>
      </c>
      <c r="D625" s="134">
        <v>0</v>
      </c>
      <c r="E625" s="87">
        <v>0</v>
      </c>
      <c r="F625" s="133">
        <v>0</v>
      </c>
      <c r="G625" s="134">
        <v>0</v>
      </c>
      <c r="H625" s="90">
        <v>0</v>
      </c>
      <c r="I625" s="133">
        <v>0</v>
      </c>
      <c r="J625" s="134">
        <v>0</v>
      </c>
      <c r="K625" s="90">
        <v>0</v>
      </c>
      <c r="L625" s="133">
        <v>0</v>
      </c>
      <c r="M625" s="134">
        <v>0</v>
      </c>
      <c r="N625" s="90">
        <v>0</v>
      </c>
      <c r="O625" s="133">
        <f t="shared" si="92"/>
        <v>0</v>
      </c>
      <c r="P625" s="134">
        <f t="shared" si="93"/>
        <v>0</v>
      </c>
      <c r="Q625" s="90">
        <f t="shared" si="94"/>
        <v>0</v>
      </c>
    </row>
    <row r="626" spans="1:17" ht="17.100000000000001" customHeight="1" x14ac:dyDescent="0.25">
      <c r="A626" s="75">
        <v>8532</v>
      </c>
      <c r="B626" s="76" t="s">
        <v>198</v>
      </c>
      <c r="C626" s="85">
        <v>0</v>
      </c>
      <c r="D626" s="134">
        <v>0</v>
      </c>
      <c r="E626" s="87">
        <v>0</v>
      </c>
      <c r="F626" s="133">
        <v>0</v>
      </c>
      <c r="G626" s="134">
        <v>0</v>
      </c>
      <c r="H626" s="90">
        <v>0</v>
      </c>
      <c r="I626" s="133">
        <v>0</v>
      </c>
      <c r="J626" s="134">
        <v>0</v>
      </c>
      <c r="K626" s="90">
        <v>0</v>
      </c>
      <c r="L626" s="133">
        <v>0</v>
      </c>
      <c r="M626" s="134">
        <v>0</v>
      </c>
      <c r="N626" s="90">
        <v>0</v>
      </c>
      <c r="O626" s="133">
        <f t="shared" si="92"/>
        <v>0</v>
      </c>
      <c r="P626" s="134">
        <f t="shared" si="93"/>
        <v>0</v>
      </c>
      <c r="Q626" s="90">
        <f t="shared" si="94"/>
        <v>0</v>
      </c>
    </row>
    <row r="627" spans="1:17" ht="17.100000000000001" customHeight="1" x14ac:dyDescent="0.25">
      <c r="A627" s="75">
        <v>8533</v>
      </c>
      <c r="B627" s="76" t="s">
        <v>199</v>
      </c>
      <c r="C627" s="85">
        <v>0</v>
      </c>
      <c r="D627" s="134">
        <v>0</v>
      </c>
      <c r="E627" s="87">
        <v>0</v>
      </c>
      <c r="F627" s="133">
        <v>0</v>
      </c>
      <c r="G627" s="134">
        <v>0</v>
      </c>
      <c r="H627" s="90">
        <v>0</v>
      </c>
      <c r="I627" s="133">
        <v>0</v>
      </c>
      <c r="J627" s="134">
        <v>0</v>
      </c>
      <c r="K627" s="90">
        <v>0</v>
      </c>
      <c r="L627" s="133">
        <v>0</v>
      </c>
      <c r="M627" s="134">
        <v>0</v>
      </c>
      <c r="N627" s="90">
        <v>0</v>
      </c>
      <c r="O627" s="133">
        <f t="shared" si="92"/>
        <v>0</v>
      </c>
      <c r="P627" s="134">
        <f t="shared" si="93"/>
        <v>0</v>
      </c>
      <c r="Q627" s="90">
        <f t="shared" si="94"/>
        <v>0</v>
      </c>
    </row>
    <row r="628" spans="1:17" ht="17.100000000000001" customHeight="1" x14ac:dyDescent="0.25">
      <c r="A628" s="75">
        <v>8534</v>
      </c>
      <c r="B628" s="76" t="s">
        <v>200</v>
      </c>
      <c r="C628" s="85">
        <v>0</v>
      </c>
      <c r="D628" s="134">
        <v>0</v>
      </c>
      <c r="E628" s="87">
        <v>0</v>
      </c>
      <c r="F628" s="133">
        <v>0</v>
      </c>
      <c r="G628" s="134">
        <v>0</v>
      </c>
      <c r="H628" s="90">
        <v>0</v>
      </c>
      <c r="I628" s="133">
        <v>0</v>
      </c>
      <c r="J628" s="134">
        <v>0</v>
      </c>
      <c r="K628" s="90">
        <v>0</v>
      </c>
      <c r="L628" s="133">
        <v>0</v>
      </c>
      <c r="M628" s="134">
        <v>0</v>
      </c>
      <c r="N628" s="90">
        <v>0</v>
      </c>
      <c r="O628" s="133">
        <f t="shared" si="92"/>
        <v>0</v>
      </c>
      <c r="P628" s="134">
        <f t="shared" si="93"/>
        <v>0</v>
      </c>
      <c r="Q628" s="90">
        <f t="shared" si="94"/>
        <v>0</v>
      </c>
    </row>
    <row r="629" spans="1:17" ht="30" customHeight="1" x14ac:dyDescent="0.25">
      <c r="A629" s="75">
        <v>8535</v>
      </c>
      <c r="B629" s="76" t="s">
        <v>201</v>
      </c>
      <c r="C629" s="85">
        <v>0</v>
      </c>
      <c r="D629" s="134">
        <v>0</v>
      </c>
      <c r="E629" s="87">
        <v>0</v>
      </c>
      <c r="F629" s="133">
        <v>0</v>
      </c>
      <c r="G629" s="134">
        <v>0</v>
      </c>
      <c r="H629" s="90">
        <v>0</v>
      </c>
      <c r="I629" s="133">
        <v>0</v>
      </c>
      <c r="J629" s="134">
        <v>0</v>
      </c>
      <c r="K629" s="90">
        <v>0</v>
      </c>
      <c r="L629" s="133">
        <v>0</v>
      </c>
      <c r="M629" s="134">
        <v>0</v>
      </c>
      <c r="N629" s="90">
        <v>0</v>
      </c>
      <c r="O629" s="133">
        <f t="shared" si="92"/>
        <v>0</v>
      </c>
      <c r="P629" s="134">
        <f t="shared" si="93"/>
        <v>0</v>
      </c>
      <c r="Q629" s="90">
        <f t="shared" si="94"/>
        <v>0</v>
      </c>
    </row>
    <row r="630" spans="1:17" ht="30" customHeight="1" thickBot="1" x14ac:dyDescent="0.3">
      <c r="A630" s="36">
        <v>8536</v>
      </c>
      <c r="B630" s="108" t="s">
        <v>202</v>
      </c>
      <c r="C630" s="163">
        <v>0</v>
      </c>
      <c r="D630" s="167">
        <v>0</v>
      </c>
      <c r="E630" s="165">
        <v>0</v>
      </c>
      <c r="F630" s="166">
        <v>0</v>
      </c>
      <c r="G630" s="167">
        <v>0</v>
      </c>
      <c r="H630" s="168">
        <v>0</v>
      </c>
      <c r="I630" s="166">
        <v>0</v>
      </c>
      <c r="J630" s="167">
        <v>0</v>
      </c>
      <c r="K630" s="168">
        <v>0</v>
      </c>
      <c r="L630" s="166">
        <v>0</v>
      </c>
      <c r="M630" s="167">
        <v>0</v>
      </c>
      <c r="N630" s="168">
        <v>0</v>
      </c>
      <c r="O630" s="166">
        <f t="shared" si="92"/>
        <v>0</v>
      </c>
      <c r="P630" s="167">
        <f t="shared" si="93"/>
        <v>0</v>
      </c>
      <c r="Q630" s="168">
        <f t="shared" si="94"/>
        <v>0</v>
      </c>
    </row>
    <row r="631" spans="1:17" ht="27" customHeight="1" thickBot="1" x14ac:dyDescent="0.3">
      <c r="A631" s="106">
        <v>8600</v>
      </c>
      <c r="B631" s="107" t="s">
        <v>974</v>
      </c>
      <c r="C631" s="63"/>
      <c r="D631" s="63"/>
      <c r="E631" s="64"/>
      <c r="F631" s="169"/>
      <c r="G631" s="149"/>
      <c r="H631" s="170"/>
      <c r="I631" s="169"/>
      <c r="J631" s="149"/>
      <c r="K631" s="170"/>
      <c r="L631" s="169"/>
      <c r="M631" s="149"/>
      <c r="N631" s="170"/>
      <c r="O631" s="125"/>
      <c r="P631" s="126"/>
      <c r="Q631" s="143"/>
    </row>
    <row r="632" spans="1:17" ht="17.100000000000001" customHeight="1" x14ac:dyDescent="0.25">
      <c r="A632" s="36">
        <v>8601</v>
      </c>
      <c r="B632" s="108" t="s">
        <v>95</v>
      </c>
      <c r="C632" s="38">
        <v>0</v>
      </c>
      <c r="D632" s="39">
        <v>0</v>
      </c>
      <c r="E632" s="40">
        <v>0</v>
      </c>
      <c r="F632" s="187">
        <v>0</v>
      </c>
      <c r="G632" s="181">
        <v>0</v>
      </c>
      <c r="H632" s="182">
        <v>0</v>
      </c>
      <c r="I632" s="187">
        <v>0</v>
      </c>
      <c r="J632" s="181">
        <v>0</v>
      </c>
      <c r="K632" s="182">
        <v>0</v>
      </c>
      <c r="L632" s="187">
        <v>0</v>
      </c>
      <c r="M632" s="181">
        <v>0</v>
      </c>
      <c r="N632" s="182">
        <v>0</v>
      </c>
      <c r="O632" s="112">
        <f t="shared" ref="O632:O677" si="95">C632+F632-I632-L632</f>
        <v>0</v>
      </c>
      <c r="P632" s="39">
        <f t="shared" ref="P632:P677" si="96">D632+G632-J632-M632</f>
        <v>0</v>
      </c>
      <c r="Q632" s="113">
        <f t="shared" ref="Q632:Q677" si="97">E632+H632-K632-N632</f>
        <v>0</v>
      </c>
    </row>
    <row r="633" spans="1:17" ht="17.100000000000001" customHeight="1" x14ac:dyDescent="0.25">
      <c r="A633" s="75">
        <v>8602</v>
      </c>
      <c r="B633" s="76" t="s">
        <v>203</v>
      </c>
      <c r="C633" s="77">
        <v>0</v>
      </c>
      <c r="D633" s="81">
        <v>0</v>
      </c>
      <c r="E633" s="79">
        <v>0</v>
      </c>
      <c r="F633" s="133">
        <v>0</v>
      </c>
      <c r="G633" s="134">
        <v>0</v>
      </c>
      <c r="H633" s="90">
        <v>0</v>
      </c>
      <c r="I633" s="133">
        <v>0</v>
      </c>
      <c r="J633" s="134">
        <v>0</v>
      </c>
      <c r="K633" s="90">
        <v>0</v>
      </c>
      <c r="L633" s="133">
        <v>0</v>
      </c>
      <c r="M633" s="134">
        <v>0</v>
      </c>
      <c r="N633" s="90">
        <v>0</v>
      </c>
      <c r="O633" s="80">
        <f t="shared" si="95"/>
        <v>0</v>
      </c>
      <c r="P633" s="81">
        <f t="shared" si="96"/>
        <v>0</v>
      </c>
      <c r="Q633" s="82">
        <f t="shared" si="97"/>
        <v>0</v>
      </c>
    </row>
    <row r="634" spans="1:17" ht="17.100000000000001" customHeight="1" x14ac:dyDescent="0.25">
      <c r="A634" s="75">
        <v>8603</v>
      </c>
      <c r="B634" s="76" t="s">
        <v>204</v>
      </c>
      <c r="C634" s="77">
        <v>0</v>
      </c>
      <c r="D634" s="81">
        <v>0</v>
      </c>
      <c r="E634" s="79">
        <v>0</v>
      </c>
      <c r="F634" s="133">
        <v>0</v>
      </c>
      <c r="G634" s="134">
        <v>0</v>
      </c>
      <c r="H634" s="90">
        <v>0</v>
      </c>
      <c r="I634" s="133">
        <v>0</v>
      </c>
      <c r="J634" s="134">
        <v>0</v>
      </c>
      <c r="K634" s="90">
        <v>0</v>
      </c>
      <c r="L634" s="133">
        <v>0</v>
      </c>
      <c r="M634" s="134">
        <v>0</v>
      </c>
      <c r="N634" s="90">
        <v>0</v>
      </c>
      <c r="O634" s="80">
        <f t="shared" si="95"/>
        <v>0</v>
      </c>
      <c r="P634" s="81">
        <f t="shared" si="96"/>
        <v>0</v>
      </c>
      <c r="Q634" s="82">
        <f t="shared" si="97"/>
        <v>0</v>
      </c>
    </row>
    <row r="635" spans="1:17" ht="17.100000000000001" customHeight="1" x14ac:dyDescent="0.25">
      <c r="A635" s="75">
        <v>8604</v>
      </c>
      <c r="B635" s="76" t="s">
        <v>96</v>
      </c>
      <c r="C635" s="77">
        <v>0</v>
      </c>
      <c r="D635" s="81">
        <v>0</v>
      </c>
      <c r="E635" s="79">
        <v>0</v>
      </c>
      <c r="F635" s="133">
        <v>0</v>
      </c>
      <c r="G635" s="134">
        <v>0</v>
      </c>
      <c r="H635" s="90">
        <v>0</v>
      </c>
      <c r="I635" s="133">
        <v>0</v>
      </c>
      <c r="J635" s="134">
        <v>0</v>
      </c>
      <c r="K635" s="90">
        <v>0</v>
      </c>
      <c r="L635" s="133">
        <v>0</v>
      </c>
      <c r="M635" s="134">
        <v>0</v>
      </c>
      <c r="N635" s="90">
        <v>0</v>
      </c>
      <c r="O635" s="80">
        <f t="shared" si="95"/>
        <v>0</v>
      </c>
      <c r="P635" s="81">
        <f t="shared" si="96"/>
        <v>0</v>
      </c>
      <c r="Q635" s="82">
        <f t="shared" si="97"/>
        <v>0</v>
      </c>
    </row>
    <row r="636" spans="1:17" ht="17.100000000000001" customHeight="1" x14ac:dyDescent="0.25">
      <c r="A636" s="75">
        <v>8605</v>
      </c>
      <c r="B636" s="76" t="s">
        <v>98</v>
      </c>
      <c r="C636" s="77">
        <v>0</v>
      </c>
      <c r="D636" s="81">
        <v>0</v>
      </c>
      <c r="E636" s="79">
        <v>0</v>
      </c>
      <c r="F636" s="133">
        <v>0</v>
      </c>
      <c r="G636" s="134">
        <v>0</v>
      </c>
      <c r="H636" s="90">
        <v>0</v>
      </c>
      <c r="I636" s="133">
        <v>0</v>
      </c>
      <c r="J636" s="134">
        <v>0</v>
      </c>
      <c r="K636" s="90">
        <v>0</v>
      </c>
      <c r="L636" s="133">
        <v>0</v>
      </c>
      <c r="M636" s="134">
        <v>0</v>
      </c>
      <c r="N636" s="90">
        <v>0</v>
      </c>
      <c r="O636" s="80">
        <f t="shared" si="95"/>
        <v>0</v>
      </c>
      <c r="P636" s="81">
        <f t="shared" si="96"/>
        <v>0</v>
      </c>
      <c r="Q636" s="82">
        <f t="shared" si="97"/>
        <v>0</v>
      </c>
    </row>
    <row r="637" spans="1:17" ht="17.100000000000001" customHeight="1" x14ac:dyDescent="0.25">
      <c r="A637" s="75">
        <v>8606</v>
      </c>
      <c r="B637" s="76" t="s">
        <v>125</v>
      </c>
      <c r="C637" s="77">
        <v>0</v>
      </c>
      <c r="D637" s="81">
        <v>0</v>
      </c>
      <c r="E637" s="79">
        <v>0</v>
      </c>
      <c r="F637" s="133">
        <v>0</v>
      </c>
      <c r="G637" s="134">
        <v>0</v>
      </c>
      <c r="H637" s="90">
        <v>0</v>
      </c>
      <c r="I637" s="133">
        <v>0</v>
      </c>
      <c r="J637" s="134">
        <v>0</v>
      </c>
      <c r="K637" s="90">
        <v>0</v>
      </c>
      <c r="L637" s="133">
        <v>0</v>
      </c>
      <c r="M637" s="134">
        <v>0</v>
      </c>
      <c r="N637" s="90">
        <v>0</v>
      </c>
      <c r="O637" s="80">
        <f t="shared" si="95"/>
        <v>0</v>
      </c>
      <c r="P637" s="81">
        <f t="shared" si="96"/>
        <v>0</v>
      </c>
      <c r="Q637" s="82">
        <f t="shared" si="97"/>
        <v>0</v>
      </c>
    </row>
    <row r="638" spans="1:17" ht="17.100000000000001" customHeight="1" x14ac:dyDescent="0.25">
      <c r="A638" s="75">
        <v>8607</v>
      </c>
      <c r="B638" s="76" t="s">
        <v>97</v>
      </c>
      <c r="C638" s="77">
        <v>0</v>
      </c>
      <c r="D638" s="81">
        <v>0</v>
      </c>
      <c r="E638" s="79">
        <v>0</v>
      </c>
      <c r="F638" s="133">
        <v>0</v>
      </c>
      <c r="G638" s="134">
        <v>0</v>
      </c>
      <c r="H638" s="90">
        <v>0</v>
      </c>
      <c r="I638" s="133">
        <v>0</v>
      </c>
      <c r="J638" s="134">
        <v>0</v>
      </c>
      <c r="K638" s="90">
        <v>0</v>
      </c>
      <c r="L638" s="133">
        <v>0</v>
      </c>
      <c r="M638" s="134">
        <v>0</v>
      </c>
      <c r="N638" s="90">
        <v>0</v>
      </c>
      <c r="O638" s="80">
        <f t="shared" si="95"/>
        <v>0</v>
      </c>
      <c r="P638" s="81">
        <f t="shared" si="96"/>
        <v>0</v>
      </c>
      <c r="Q638" s="82">
        <f t="shared" si="97"/>
        <v>0</v>
      </c>
    </row>
    <row r="639" spans="1:17" ht="17.100000000000001" customHeight="1" x14ac:dyDescent="0.25">
      <c r="A639" s="75">
        <v>8608</v>
      </c>
      <c r="B639" s="76" t="s">
        <v>100</v>
      </c>
      <c r="C639" s="77">
        <v>0</v>
      </c>
      <c r="D639" s="81">
        <v>0</v>
      </c>
      <c r="E639" s="79">
        <v>0</v>
      </c>
      <c r="F639" s="133">
        <v>0</v>
      </c>
      <c r="G639" s="134">
        <v>0</v>
      </c>
      <c r="H639" s="90">
        <v>0</v>
      </c>
      <c r="I639" s="133">
        <v>0</v>
      </c>
      <c r="J639" s="134">
        <v>0</v>
      </c>
      <c r="K639" s="90">
        <v>0</v>
      </c>
      <c r="L639" s="133">
        <v>0</v>
      </c>
      <c r="M639" s="134">
        <v>0</v>
      </c>
      <c r="N639" s="90">
        <v>0</v>
      </c>
      <c r="O639" s="80">
        <f t="shared" si="95"/>
        <v>0</v>
      </c>
      <c r="P639" s="81">
        <f t="shared" si="96"/>
        <v>0</v>
      </c>
      <c r="Q639" s="82">
        <f t="shared" si="97"/>
        <v>0</v>
      </c>
    </row>
    <row r="640" spans="1:17" ht="17.100000000000001" customHeight="1" x14ac:dyDescent="0.25">
      <c r="A640" s="75">
        <v>8609</v>
      </c>
      <c r="B640" s="76" t="s">
        <v>197</v>
      </c>
      <c r="C640" s="77">
        <v>0</v>
      </c>
      <c r="D640" s="81">
        <v>0</v>
      </c>
      <c r="E640" s="79">
        <v>0</v>
      </c>
      <c r="F640" s="133">
        <v>0</v>
      </c>
      <c r="G640" s="134">
        <v>0</v>
      </c>
      <c r="H640" s="90">
        <v>0</v>
      </c>
      <c r="I640" s="133">
        <v>0</v>
      </c>
      <c r="J640" s="134">
        <v>0</v>
      </c>
      <c r="K640" s="90">
        <v>0</v>
      </c>
      <c r="L640" s="133">
        <v>0</v>
      </c>
      <c r="M640" s="134">
        <v>0</v>
      </c>
      <c r="N640" s="90">
        <v>0</v>
      </c>
      <c r="O640" s="80">
        <f t="shared" si="95"/>
        <v>0</v>
      </c>
      <c r="P640" s="81">
        <f t="shared" si="96"/>
        <v>0</v>
      </c>
      <c r="Q640" s="82">
        <f t="shared" si="97"/>
        <v>0</v>
      </c>
    </row>
    <row r="641" spans="1:17" ht="17.100000000000001" customHeight="1" x14ac:dyDescent="0.25">
      <c r="A641" s="75">
        <v>8610</v>
      </c>
      <c r="B641" s="76" t="s">
        <v>205</v>
      </c>
      <c r="C641" s="77">
        <v>0</v>
      </c>
      <c r="D641" s="81">
        <v>0</v>
      </c>
      <c r="E641" s="79">
        <v>0</v>
      </c>
      <c r="F641" s="133">
        <v>0</v>
      </c>
      <c r="G641" s="134">
        <v>0</v>
      </c>
      <c r="H641" s="90">
        <v>0</v>
      </c>
      <c r="I641" s="133">
        <v>0</v>
      </c>
      <c r="J641" s="134">
        <v>0</v>
      </c>
      <c r="K641" s="90">
        <v>0</v>
      </c>
      <c r="L641" s="133">
        <v>0</v>
      </c>
      <c r="M641" s="134">
        <v>0</v>
      </c>
      <c r="N641" s="90">
        <v>0</v>
      </c>
      <c r="O641" s="80">
        <f t="shared" si="95"/>
        <v>0</v>
      </c>
      <c r="P641" s="81">
        <f t="shared" si="96"/>
        <v>0</v>
      </c>
      <c r="Q641" s="82">
        <f t="shared" si="97"/>
        <v>0</v>
      </c>
    </row>
    <row r="642" spans="1:17" ht="17.100000000000001" customHeight="1" x14ac:dyDescent="0.25">
      <c r="A642" s="75">
        <v>8611</v>
      </c>
      <c r="B642" s="76" t="s">
        <v>101</v>
      </c>
      <c r="C642" s="77">
        <v>0</v>
      </c>
      <c r="D642" s="81">
        <v>0</v>
      </c>
      <c r="E642" s="79">
        <v>0</v>
      </c>
      <c r="F642" s="133">
        <v>0</v>
      </c>
      <c r="G642" s="134">
        <v>0</v>
      </c>
      <c r="H642" s="90">
        <v>0</v>
      </c>
      <c r="I642" s="133">
        <v>0</v>
      </c>
      <c r="J642" s="134">
        <v>0</v>
      </c>
      <c r="K642" s="90">
        <v>0</v>
      </c>
      <c r="L642" s="133">
        <v>0</v>
      </c>
      <c r="M642" s="134">
        <v>0</v>
      </c>
      <c r="N642" s="90">
        <v>0</v>
      </c>
      <c r="O642" s="80">
        <f t="shared" si="95"/>
        <v>0</v>
      </c>
      <c r="P642" s="81">
        <f t="shared" si="96"/>
        <v>0</v>
      </c>
      <c r="Q642" s="82">
        <f t="shared" si="97"/>
        <v>0</v>
      </c>
    </row>
    <row r="643" spans="1:17" ht="17.100000000000001" customHeight="1" x14ac:dyDescent="0.25">
      <c r="A643" s="75">
        <v>8612</v>
      </c>
      <c r="B643" s="76" t="s">
        <v>105</v>
      </c>
      <c r="C643" s="77">
        <v>0</v>
      </c>
      <c r="D643" s="81">
        <v>0</v>
      </c>
      <c r="E643" s="79">
        <v>0</v>
      </c>
      <c r="F643" s="133">
        <v>0</v>
      </c>
      <c r="G643" s="134">
        <v>0</v>
      </c>
      <c r="H643" s="90">
        <v>0</v>
      </c>
      <c r="I643" s="133">
        <v>0</v>
      </c>
      <c r="J643" s="134">
        <v>0</v>
      </c>
      <c r="K643" s="90">
        <v>0</v>
      </c>
      <c r="L643" s="133">
        <v>0</v>
      </c>
      <c r="M643" s="134">
        <v>0</v>
      </c>
      <c r="N643" s="90">
        <v>0</v>
      </c>
      <c r="O643" s="80">
        <f t="shared" si="95"/>
        <v>0</v>
      </c>
      <c r="P643" s="81">
        <f t="shared" si="96"/>
        <v>0</v>
      </c>
      <c r="Q643" s="82">
        <f t="shared" si="97"/>
        <v>0</v>
      </c>
    </row>
    <row r="644" spans="1:17" ht="17.100000000000001" customHeight="1" x14ac:dyDescent="0.25">
      <c r="A644" s="75">
        <v>8613</v>
      </c>
      <c r="B644" s="76" t="s">
        <v>107</v>
      </c>
      <c r="C644" s="77">
        <v>0</v>
      </c>
      <c r="D644" s="81">
        <v>0</v>
      </c>
      <c r="E644" s="79">
        <v>0</v>
      </c>
      <c r="F644" s="133">
        <v>0</v>
      </c>
      <c r="G644" s="134">
        <v>0</v>
      </c>
      <c r="H644" s="90">
        <v>0</v>
      </c>
      <c r="I644" s="133">
        <v>0</v>
      </c>
      <c r="J644" s="134">
        <v>0</v>
      </c>
      <c r="K644" s="90">
        <v>0</v>
      </c>
      <c r="L644" s="133">
        <v>0</v>
      </c>
      <c r="M644" s="134">
        <v>0</v>
      </c>
      <c r="N644" s="90">
        <v>0</v>
      </c>
      <c r="O644" s="80">
        <f t="shared" si="95"/>
        <v>0</v>
      </c>
      <c r="P644" s="81">
        <f t="shared" si="96"/>
        <v>0</v>
      </c>
      <c r="Q644" s="82">
        <f t="shared" si="97"/>
        <v>0</v>
      </c>
    </row>
    <row r="645" spans="1:17" ht="17.100000000000001" customHeight="1" x14ac:dyDescent="0.25">
      <c r="A645" s="75">
        <v>8614</v>
      </c>
      <c r="B645" s="76" t="s">
        <v>185</v>
      </c>
      <c r="C645" s="77">
        <v>0</v>
      </c>
      <c r="D645" s="81">
        <v>0</v>
      </c>
      <c r="E645" s="79">
        <v>0</v>
      </c>
      <c r="F645" s="133">
        <v>0</v>
      </c>
      <c r="G645" s="134">
        <v>0</v>
      </c>
      <c r="H645" s="90">
        <v>0</v>
      </c>
      <c r="I645" s="133">
        <v>0</v>
      </c>
      <c r="J645" s="134">
        <v>0</v>
      </c>
      <c r="K645" s="90">
        <v>0</v>
      </c>
      <c r="L645" s="133">
        <v>0</v>
      </c>
      <c r="M645" s="134">
        <v>0</v>
      </c>
      <c r="N645" s="90">
        <v>0</v>
      </c>
      <c r="O645" s="80">
        <f t="shared" si="95"/>
        <v>0</v>
      </c>
      <c r="P645" s="81">
        <f t="shared" si="96"/>
        <v>0</v>
      </c>
      <c r="Q645" s="82">
        <f t="shared" si="97"/>
        <v>0</v>
      </c>
    </row>
    <row r="646" spans="1:17" ht="17.100000000000001" customHeight="1" x14ac:dyDescent="0.25">
      <c r="A646" s="75">
        <v>8615</v>
      </c>
      <c r="B646" s="76" t="s">
        <v>630</v>
      </c>
      <c r="C646" s="77">
        <v>0</v>
      </c>
      <c r="D646" s="81">
        <v>0</v>
      </c>
      <c r="E646" s="79">
        <v>0</v>
      </c>
      <c r="F646" s="133">
        <v>0</v>
      </c>
      <c r="G646" s="134">
        <v>0</v>
      </c>
      <c r="H646" s="90">
        <v>0</v>
      </c>
      <c r="I646" s="133">
        <v>0</v>
      </c>
      <c r="J646" s="134">
        <v>0</v>
      </c>
      <c r="K646" s="90">
        <v>0</v>
      </c>
      <c r="L646" s="133">
        <v>0</v>
      </c>
      <c r="M646" s="134">
        <v>0</v>
      </c>
      <c r="N646" s="90">
        <v>0</v>
      </c>
      <c r="O646" s="80">
        <f t="shared" si="95"/>
        <v>0</v>
      </c>
      <c r="P646" s="81">
        <f t="shared" si="96"/>
        <v>0</v>
      </c>
      <c r="Q646" s="82">
        <f t="shared" si="97"/>
        <v>0</v>
      </c>
    </row>
    <row r="647" spans="1:17" ht="17.100000000000001" customHeight="1" x14ac:dyDescent="0.25">
      <c r="A647" s="75">
        <v>8616</v>
      </c>
      <c r="B647" s="76" t="s">
        <v>109</v>
      </c>
      <c r="C647" s="77">
        <v>0</v>
      </c>
      <c r="D647" s="81">
        <v>0</v>
      </c>
      <c r="E647" s="79">
        <v>0</v>
      </c>
      <c r="F647" s="133">
        <v>0</v>
      </c>
      <c r="G647" s="134">
        <v>0</v>
      </c>
      <c r="H647" s="90">
        <v>0</v>
      </c>
      <c r="I647" s="133">
        <v>0</v>
      </c>
      <c r="J647" s="134">
        <v>0</v>
      </c>
      <c r="K647" s="90">
        <v>0</v>
      </c>
      <c r="L647" s="133">
        <v>0</v>
      </c>
      <c r="M647" s="134">
        <v>0</v>
      </c>
      <c r="N647" s="90">
        <v>0</v>
      </c>
      <c r="O647" s="80">
        <f t="shared" si="95"/>
        <v>0</v>
      </c>
      <c r="P647" s="81">
        <f t="shared" si="96"/>
        <v>0</v>
      </c>
      <c r="Q647" s="82">
        <f t="shared" si="97"/>
        <v>0</v>
      </c>
    </row>
    <row r="648" spans="1:17" ht="17.100000000000001" customHeight="1" x14ac:dyDescent="0.25">
      <c r="A648" s="75">
        <v>8617</v>
      </c>
      <c r="B648" s="76" t="s">
        <v>186</v>
      </c>
      <c r="C648" s="77">
        <v>0</v>
      </c>
      <c r="D648" s="81">
        <v>0</v>
      </c>
      <c r="E648" s="79">
        <v>0</v>
      </c>
      <c r="F648" s="133">
        <v>0</v>
      </c>
      <c r="G648" s="134">
        <v>0</v>
      </c>
      <c r="H648" s="90">
        <v>0</v>
      </c>
      <c r="I648" s="133">
        <v>0</v>
      </c>
      <c r="J648" s="134">
        <v>0</v>
      </c>
      <c r="K648" s="90">
        <v>0</v>
      </c>
      <c r="L648" s="133">
        <v>0</v>
      </c>
      <c r="M648" s="134">
        <v>0</v>
      </c>
      <c r="N648" s="90">
        <v>0</v>
      </c>
      <c r="O648" s="80">
        <f t="shared" si="95"/>
        <v>0</v>
      </c>
      <c r="P648" s="81">
        <f t="shared" si="96"/>
        <v>0</v>
      </c>
      <c r="Q648" s="82">
        <f t="shared" si="97"/>
        <v>0</v>
      </c>
    </row>
    <row r="649" spans="1:17" ht="17.100000000000001" customHeight="1" x14ac:dyDescent="0.25">
      <c r="A649" s="75">
        <v>8618</v>
      </c>
      <c r="B649" s="76" t="s">
        <v>187</v>
      </c>
      <c r="C649" s="77">
        <v>0</v>
      </c>
      <c r="D649" s="81">
        <v>0</v>
      </c>
      <c r="E649" s="79">
        <v>0</v>
      </c>
      <c r="F649" s="133">
        <v>0</v>
      </c>
      <c r="G649" s="134">
        <v>0</v>
      </c>
      <c r="H649" s="90">
        <v>0</v>
      </c>
      <c r="I649" s="133">
        <v>0</v>
      </c>
      <c r="J649" s="134">
        <v>0</v>
      </c>
      <c r="K649" s="90">
        <v>0</v>
      </c>
      <c r="L649" s="133">
        <v>0</v>
      </c>
      <c r="M649" s="134">
        <v>0</v>
      </c>
      <c r="N649" s="90">
        <v>0</v>
      </c>
      <c r="O649" s="80">
        <f t="shared" si="95"/>
        <v>0</v>
      </c>
      <c r="P649" s="81">
        <f t="shared" si="96"/>
        <v>0</v>
      </c>
      <c r="Q649" s="82">
        <f t="shared" si="97"/>
        <v>0</v>
      </c>
    </row>
    <row r="650" spans="1:17" ht="17.100000000000001" customHeight="1" x14ac:dyDescent="0.25">
      <c r="A650" s="75">
        <v>8619</v>
      </c>
      <c r="B650" s="76" t="s">
        <v>206</v>
      </c>
      <c r="C650" s="77">
        <v>0</v>
      </c>
      <c r="D650" s="81">
        <v>0</v>
      </c>
      <c r="E650" s="79">
        <v>0</v>
      </c>
      <c r="F650" s="133">
        <v>0</v>
      </c>
      <c r="G650" s="134">
        <v>0</v>
      </c>
      <c r="H650" s="90">
        <v>0</v>
      </c>
      <c r="I650" s="133">
        <v>0</v>
      </c>
      <c r="J650" s="134">
        <v>0</v>
      </c>
      <c r="K650" s="90">
        <v>0</v>
      </c>
      <c r="L650" s="133">
        <v>0</v>
      </c>
      <c r="M650" s="134">
        <v>0</v>
      </c>
      <c r="N650" s="90">
        <v>0</v>
      </c>
      <c r="O650" s="80">
        <f t="shared" si="95"/>
        <v>0</v>
      </c>
      <c r="P650" s="81">
        <f t="shared" si="96"/>
        <v>0</v>
      </c>
      <c r="Q650" s="82">
        <f t="shared" si="97"/>
        <v>0</v>
      </c>
    </row>
    <row r="651" spans="1:17" ht="17.100000000000001" customHeight="1" x14ac:dyDescent="0.25">
      <c r="A651" s="75">
        <v>8620</v>
      </c>
      <c r="B651" s="76" t="s">
        <v>207</v>
      </c>
      <c r="C651" s="77">
        <v>0</v>
      </c>
      <c r="D651" s="81">
        <v>0</v>
      </c>
      <c r="E651" s="79">
        <v>0</v>
      </c>
      <c r="F651" s="133">
        <v>0</v>
      </c>
      <c r="G651" s="134">
        <v>0</v>
      </c>
      <c r="H651" s="90">
        <v>0</v>
      </c>
      <c r="I651" s="133">
        <v>0</v>
      </c>
      <c r="J651" s="134">
        <v>0</v>
      </c>
      <c r="K651" s="90">
        <v>0</v>
      </c>
      <c r="L651" s="133">
        <v>0</v>
      </c>
      <c r="M651" s="134">
        <v>0</v>
      </c>
      <c r="N651" s="90">
        <v>0</v>
      </c>
      <c r="O651" s="80">
        <f t="shared" si="95"/>
        <v>0</v>
      </c>
      <c r="P651" s="81">
        <f t="shared" si="96"/>
        <v>0</v>
      </c>
      <c r="Q651" s="82">
        <f t="shared" si="97"/>
        <v>0</v>
      </c>
    </row>
    <row r="652" spans="1:17" ht="17.100000000000001" customHeight="1" x14ac:dyDescent="0.25">
      <c r="A652" s="75">
        <v>8621</v>
      </c>
      <c r="B652" s="76" t="s">
        <v>110</v>
      </c>
      <c r="C652" s="77">
        <v>0</v>
      </c>
      <c r="D652" s="81">
        <v>0</v>
      </c>
      <c r="E652" s="79">
        <v>0</v>
      </c>
      <c r="F652" s="133">
        <v>0</v>
      </c>
      <c r="G652" s="134">
        <v>0</v>
      </c>
      <c r="H652" s="90">
        <v>0</v>
      </c>
      <c r="I652" s="133">
        <v>0</v>
      </c>
      <c r="J652" s="134">
        <v>0</v>
      </c>
      <c r="K652" s="90">
        <v>0</v>
      </c>
      <c r="L652" s="133">
        <v>0</v>
      </c>
      <c r="M652" s="134">
        <v>0</v>
      </c>
      <c r="N652" s="90">
        <v>0</v>
      </c>
      <c r="O652" s="80">
        <f t="shared" si="95"/>
        <v>0</v>
      </c>
      <c r="P652" s="81">
        <f t="shared" si="96"/>
        <v>0</v>
      </c>
      <c r="Q652" s="82">
        <f t="shared" si="97"/>
        <v>0</v>
      </c>
    </row>
    <row r="653" spans="1:17" ht="17.100000000000001" customHeight="1" x14ac:dyDescent="0.25">
      <c r="A653" s="75">
        <v>8622</v>
      </c>
      <c r="B653" s="76" t="s">
        <v>102</v>
      </c>
      <c r="C653" s="77">
        <v>0</v>
      </c>
      <c r="D653" s="81">
        <v>0</v>
      </c>
      <c r="E653" s="79">
        <v>0</v>
      </c>
      <c r="F653" s="133">
        <v>0</v>
      </c>
      <c r="G653" s="134">
        <v>0</v>
      </c>
      <c r="H653" s="90">
        <v>0</v>
      </c>
      <c r="I653" s="133">
        <v>0</v>
      </c>
      <c r="J653" s="134">
        <v>0</v>
      </c>
      <c r="K653" s="90">
        <v>0</v>
      </c>
      <c r="L653" s="133">
        <v>0</v>
      </c>
      <c r="M653" s="134">
        <v>0</v>
      </c>
      <c r="N653" s="90">
        <v>0</v>
      </c>
      <c r="O653" s="80">
        <f t="shared" si="95"/>
        <v>0</v>
      </c>
      <c r="P653" s="81">
        <f t="shared" si="96"/>
        <v>0</v>
      </c>
      <c r="Q653" s="82">
        <f t="shared" si="97"/>
        <v>0</v>
      </c>
    </row>
    <row r="654" spans="1:17" ht="17.100000000000001" customHeight="1" x14ac:dyDescent="0.25">
      <c r="A654" s="75">
        <v>8623</v>
      </c>
      <c r="B654" s="76" t="s">
        <v>103</v>
      </c>
      <c r="C654" s="77">
        <v>0</v>
      </c>
      <c r="D654" s="81">
        <v>0</v>
      </c>
      <c r="E654" s="79">
        <v>0</v>
      </c>
      <c r="F654" s="133">
        <v>0</v>
      </c>
      <c r="G654" s="134">
        <v>0</v>
      </c>
      <c r="H654" s="90">
        <v>0</v>
      </c>
      <c r="I654" s="133">
        <v>0</v>
      </c>
      <c r="J654" s="134">
        <v>0</v>
      </c>
      <c r="K654" s="90">
        <v>0</v>
      </c>
      <c r="L654" s="133">
        <v>0</v>
      </c>
      <c r="M654" s="134">
        <v>0</v>
      </c>
      <c r="N654" s="90">
        <v>0</v>
      </c>
      <c r="O654" s="80">
        <f t="shared" si="95"/>
        <v>0</v>
      </c>
      <c r="P654" s="81">
        <f t="shared" si="96"/>
        <v>0</v>
      </c>
      <c r="Q654" s="82">
        <f t="shared" si="97"/>
        <v>0</v>
      </c>
    </row>
    <row r="655" spans="1:17" ht="17.100000000000001" customHeight="1" x14ac:dyDescent="0.25">
      <c r="A655" s="75">
        <v>8624</v>
      </c>
      <c r="B655" s="76" t="s">
        <v>112</v>
      </c>
      <c r="C655" s="77">
        <v>0</v>
      </c>
      <c r="D655" s="81">
        <v>0</v>
      </c>
      <c r="E655" s="79">
        <v>0</v>
      </c>
      <c r="F655" s="133">
        <v>0</v>
      </c>
      <c r="G655" s="134">
        <v>0</v>
      </c>
      <c r="H655" s="90">
        <v>0</v>
      </c>
      <c r="I655" s="133">
        <v>0</v>
      </c>
      <c r="J655" s="134">
        <v>0</v>
      </c>
      <c r="K655" s="90">
        <v>0</v>
      </c>
      <c r="L655" s="133">
        <v>0</v>
      </c>
      <c r="M655" s="134">
        <v>0</v>
      </c>
      <c r="N655" s="90">
        <v>0</v>
      </c>
      <c r="O655" s="80">
        <f t="shared" si="95"/>
        <v>0</v>
      </c>
      <c r="P655" s="81">
        <f t="shared" si="96"/>
        <v>0</v>
      </c>
      <c r="Q655" s="82">
        <f t="shared" si="97"/>
        <v>0</v>
      </c>
    </row>
    <row r="656" spans="1:17" ht="17.100000000000001" customHeight="1" x14ac:dyDescent="0.25">
      <c r="A656" s="75">
        <v>8625</v>
      </c>
      <c r="B656" s="76" t="s">
        <v>177</v>
      </c>
      <c r="C656" s="77">
        <v>0</v>
      </c>
      <c r="D656" s="81">
        <v>0</v>
      </c>
      <c r="E656" s="79">
        <v>0</v>
      </c>
      <c r="F656" s="133">
        <v>0</v>
      </c>
      <c r="G656" s="134">
        <v>0</v>
      </c>
      <c r="H656" s="90">
        <v>0</v>
      </c>
      <c r="I656" s="133">
        <v>0</v>
      </c>
      <c r="J656" s="134">
        <v>0</v>
      </c>
      <c r="K656" s="90">
        <v>0</v>
      </c>
      <c r="L656" s="133">
        <v>0</v>
      </c>
      <c r="M656" s="134">
        <v>0</v>
      </c>
      <c r="N656" s="90">
        <v>0</v>
      </c>
      <c r="O656" s="80">
        <f t="shared" si="95"/>
        <v>0</v>
      </c>
      <c r="P656" s="81">
        <f t="shared" si="96"/>
        <v>0</v>
      </c>
      <c r="Q656" s="82">
        <f t="shared" si="97"/>
        <v>0</v>
      </c>
    </row>
    <row r="657" spans="1:17" ht="17.100000000000001" customHeight="1" x14ac:dyDescent="0.25">
      <c r="A657" s="75">
        <v>8626</v>
      </c>
      <c r="B657" s="76" t="s">
        <v>182</v>
      </c>
      <c r="C657" s="77">
        <v>0</v>
      </c>
      <c r="D657" s="81">
        <v>0</v>
      </c>
      <c r="E657" s="79">
        <v>0</v>
      </c>
      <c r="F657" s="133">
        <v>0</v>
      </c>
      <c r="G657" s="134">
        <v>0</v>
      </c>
      <c r="H657" s="90">
        <v>0</v>
      </c>
      <c r="I657" s="133">
        <v>0</v>
      </c>
      <c r="J657" s="134">
        <v>0</v>
      </c>
      <c r="K657" s="90">
        <v>0</v>
      </c>
      <c r="L657" s="133">
        <v>0</v>
      </c>
      <c r="M657" s="134">
        <v>0</v>
      </c>
      <c r="N657" s="90">
        <v>0</v>
      </c>
      <c r="O657" s="80">
        <f t="shared" si="95"/>
        <v>0</v>
      </c>
      <c r="P657" s="81">
        <f t="shared" si="96"/>
        <v>0</v>
      </c>
      <c r="Q657" s="82">
        <f t="shared" si="97"/>
        <v>0</v>
      </c>
    </row>
    <row r="658" spans="1:17" ht="17.100000000000001" customHeight="1" x14ac:dyDescent="0.25">
      <c r="A658" s="75">
        <v>8627</v>
      </c>
      <c r="B658" s="76" t="s">
        <v>104</v>
      </c>
      <c r="C658" s="77">
        <v>0</v>
      </c>
      <c r="D658" s="81">
        <v>0</v>
      </c>
      <c r="E658" s="79">
        <v>0</v>
      </c>
      <c r="F658" s="133">
        <v>0</v>
      </c>
      <c r="G658" s="134">
        <v>0</v>
      </c>
      <c r="H658" s="90">
        <v>0</v>
      </c>
      <c r="I658" s="133">
        <v>0</v>
      </c>
      <c r="J658" s="134">
        <v>0</v>
      </c>
      <c r="K658" s="90">
        <v>0</v>
      </c>
      <c r="L658" s="133">
        <v>0</v>
      </c>
      <c r="M658" s="134">
        <v>0</v>
      </c>
      <c r="N658" s="90">
        <v>0</v>
      </c>
      <c r="O658" s="80">
        <f t="shared" si="95"/>
        <v>0</v>
      </c>
      <c r="P658" s="81">
        <f t="shared" si="96"/>
        <v>0</v>
      </c>
      <c r="Q658" s="82">
        <f t="shared" si="97"/>
        <v>0</v>
      </c>
    </row>
    <row r="659" spans="1:17" ht="17.100000000000001" customHeight="1" x14ac:dyDescent="0.25">
      <c r="A659" s="75">
        <v>8628</v>
      </c>
      <c r="B659" s="76" t="s">
        <v>208</v>
      </c>
      <c r="C659" s="77">
        <v>0</v>
      </c>
      <c r="D659" s="81">
        <v>0</v>
      </c>
      <c r="E659" s="79">
        <v>0</v>
      </c>
      <c r="F659" s="133">
        <v>0</v>
      </c>
      <c r="G659" s="134">
        <v>0</v>
      </c>
      <c r="H659" s="90">
        <v>0</v>
      </c>
      <c r="I659" s="133">
        <v>0</v>
      </c>
      <c r="J659" s="134">
        <v>0</v>
      </c>
      <c r="K659" s="90">
        <v>0</v>
      </c>
      <c r="L659" s="133">
        <v>0</v>
      </c>
      <c r="M659" s="134">
        <v>0</v>
      </c>
      <c r="N659" s="90">
        <v>0</v>
      </c>
      <c r="O659" s="80">
        <f t="shared" si="95"/>
        <v>0</v>
      </c>
      <c r="P659" s="81">
        <f t="shared" si="96"/>
        <v>0</v>
      </c>
      <c r="Q659" s="82">
        <f t="shared" si="97"/>
        <v>0</v>
      </c>
    </row>
    <row r="660" spans="1:17" ht="17.100000000000001" customHeight="1" x14ac:dyDescent="0.25">
      <c r="A660" s="75">
        <v>8629</v>
      </c>
      <c r="B660" s="76" t="s">
        <v>129</v>
      </c>
      <c r="C660" s="77">
        <v>0</v>
      </c>
      <c r="D660" s="81">
        <v>0</v>
      </c>
      <c r="E660" s="79">
        <v>0</v>
      </c>
      <c r="F660" s="133">
        <v>0</v>
      </c>
      <c r="G660" s="134">
        <v>0</v>
      </c>
      <c r="H660" s="90">
        <v>0</v>
      </c>
      <c r="I660" s="133">
        <v>0</v>
      </c>
      <c r="J660" s="134">
        <v>0</v>
      </c>
      <c r="K660" s="90">
        <v>0</v>
      </c>
      <c r="L660" s="133">
        <v>0</v>
      </c>
      <c r="M660" s="134">
        <v>0</v>
      </c>
      <c r="N660" s="90">
        <v>0</v>
      </c>
      <c r="O660" s="80">
        <f t="shared" si="95"/>
        <v>0</v>
      </c>
      <c r="P660" s="81">
        <f t="shared" si="96"/>
        <v>0</v>
      </c>
      <c r="Q660" s="82">
        <f t="shared" si="97"/>
        <v>0</v>
      </c>
    </row>
    <row r="661" spans="1:17" ht="17.100000000000001" customHeight="1" x14ac:dyDescent="0.25">
      <c r="A661" s="75">
        <v>8630</v>
      </c>
      <c r="B661" s="76" t="s">
        <v>136</v>
      </c>
      <c r="C661" s="77">
        <v>0</v>
      </c>
      <c r="D661" s="81">
        <v>0</v>
      </c>
      <c r="E661" s="79">
        <v>0</v>
      </c>
      <c r="F661" s="133">
        <v>0</v>
      </c>
      <c r="G661" s="134">
        <v>0</v>
      </c>
      <c r="H661" s="90">
        <v>0</v>
      </c>
      <c r="I661" s="133">
        <v>0</v>
      </c>
      <c r="J661" s="134">
        <v>0</v>
      </c>
      <c r="K661" s="90">
        <v>0</v>
      </c>
      <c r="L661" s="133">
        <v>0</v>
      </c>
      <c r="M661" s="134">
        <v>0</v>
      </c>
      <c r="N661" s="90">
        <v>0</v>
      </c>
      <c r="O661" s="80">
        <f t="shared" si="95"/>
        <v>0</v>
      </c>
      <c r="P661" s="81">
        <f t="shared" si="96"/>
        <v>0</v>
      </c>
      <c r="Q661" s="82">
        <f t="shared" si="97"/>
        <v>0</v>
      </c>
    </row>
    <row r="662" spans="1:17" ht="17.100000000000001" customHeight="1" x14ac:dyDescent="0.25">
      <c r="A662" s="75">
        <v>8631</v>
      </c>
      <c r="B662" s="76" t="s">
        <v>117</v>
      </c>
      <c r="C662" s="77">
        <v>0</v>
      </c>
      <c r="D662" s="81">
        <v>0</v>
      </c>
      <c r="E662" s="79">
        <v>0</v>
      </c>
      <c r="F662" s="133">
        <v>0</v>
      </c>
      <c r="G662" s="134">
        <v>0</v>
      </c>
      <c r="H662" s="90">
        <v>0</v>
      </c>
      <c r="I662" s="133">
        <v>0</v>
      </c>
      <c r="J662" s="134">
        <v>0</v>
      </c>
      <c r="K662" s="90">
        <v>0</v>
      </c>
      <c r="L662" s="133">
        <v>0</v>
      </c>
      <c r="M662" s="134">
        <v>0</v>
      </c>
      <c r="N662" s="90">
        <v>0</v>
      </c>
      <c r="O662" s="80">
        <f t="shared" si="95"/>
        <v>0</v>
      </c>
      <c r="P662" s="81">
        <f t="shared" si="96"/>
        <v>0</v>
      </c>
      <c r="Q662" s="82">
        <f t="shared" si="97"/>
        <v>0</v>
      </c>
    </row>
    <row r="663" spans="1:17" ht="17.100000000000001" customHeight="1" x14ac:dyDescent="0.25">
      <c r="A663" s="75">
        <v>8632</v>
      </c>
      <c r="B663" s="76" t="s">
        <v>209</v>
      </c>
      <c r="C663" s="77">
        <v>0</v>
      </c>
      <c r="D663" s="81">
        <v>0</v>
      </c>
      <c r="E663" s="79">
        <v>0</v>
      </c>
      <c r="F663" s="133">
        <v>0</v>
      </c>
      <c r="G663" s="134">
        <v>0</v>
      </c>
      <c r="H663" s="90">
        <v>0</v>
      </c>
      <c r="I663" s="133">
        <v>0</v>
      </c>
      <c r="J663" s="134">
        <v>0</v>
      </c>
      <c r="K663" s="90">
        <v>0</v>
      </c>
      <c r="L663" s="133">
        <v>0</v>
      </c>
      <c r="M663" s="134">
        <v>0</v>
      </c>
      <c r="N663" s="90">
        <v>0</v>
      </c>
      <c r="O663" s="80">
        <f t="shared" si="95"/>
        <v>0</v>
      </c>
      <c r="P663" s="81">
        <f t="shared" si="96"/>
        <v>0</v>
      </c>
      <c r="Q663" s="82">
        <f t="shared" si="97"/>
        <v>0</v>
      </c>
    </row>
    <row r="664" spans="1:17" ht="17.100000000000001" customHeight="1" x14ac:dyDescent="0.25">
      <c r="A664" s="75">
        <v>8633</v>
      </c>
      <c r="B664" s="76" t="s">
        <v>210</v>
      </c>
      <c r="C664" s="77">
        <v>0</v>
      </c>
      <c r="D664" s="81">
        <v>0</v>
      </c>
      <c r="E664" s="79">
        <v>0</v>
      </c>
      <c r="F664" s="133">
        <v>0</v>
      </c>
      <c r="G664" s="134">
        <v>0</v>
      </c>
      <c r="H664" s="90">
        <v>0</v>
      </c>
      <c r="I664" s="133">
        <v>0</v>
      </c>
      <c r="J664" s="134">
        <v>0</v>
      </c>
      <c r="K664" s="90">
        <v>0</v>
      </c>
      <c r="L664" s="133">
        <v>0</v>
      </c>
      <c r="M664" s="134">
        <v>0</v>
      </c>
      <c r="N664" s="90">
        <v>0</v>
      </c>
      <c r="O664" s="80">
        <f t="shared" si="95"/>
        <v>0</v>
      </c>
      <c r="P664" s="81">
        <f t="shared" si="96"/>
        <v>0</v>
      </c>
      <c r="Q664" s="82">
        <f t="shared" si="97"/>
        <v>0</v>
      </c>
    </row>
    <row r="665" spans="1:17" ht="17.100000000000001" customHeight="1" x14ac:dyDescent="0.25">
      <c r="A665" s="75">
        <v>8634</v>
      </c>
      <c r="B665" s="76" t="s">
        <v>211</v>
      </c>
      <c r="C665" s="77">
        <v>0</v>
      </c>
      <c r="D665" s="81">
        <v>0</v>
      </c>
      <c r="E665" s="79">
        <v>0</v>
      </c>
      <c r="F665" s="133">
        <v>0</v>
      </c>
      <c r="G665" s="134">
        <v>0</v>
      </c>
      <c r="H665" s="90">
        <v>0</v>
      </c>
      <c r="I665" s="133">
        <v>0</v>
      </c>
      <c r="J665" s="134">
        <v>0</v>
      </c>
      <c r="K665" s="90">
        <v>0</v>
      </c>
      <c r="L665" s="133">
        <v>0</v>
      </c>
      <c r="M665" s="134">
        <v>0</v>
      </c>
      <c r="N665" s="90">
        <v>0</v>
      </c>
      <c r="O665" s="80">
        <f t="shared" si="95"/>
        <v>0</v>
      </c>
      <c r="P665" s="81">
        <f t="shared" si="96"/>
        <v>0</v>
      </c>
      <c r="Q665" s="82">
        <f t="shared" si="97"/>
        <v>0</v>
      </c>
    </row>
    <row r="666" spans="1:17" ht="17.100000000000001" customHeight="1" x14ac:dyDescent="0.25">
      <c r="A666" s="75">
        <v>8635</v>
      </c>
      <c r="B666" s="76" t="s">
        <v>111</v>
      </c>
      <c r="C666" s="77">
        <v>0</v>
      </c>
      <c r="D666" s="81">
        <v>0</v>
      </c>
      <c r="E666" s="79">
        <v>0</v>
      </c>
      <c r="F666" s="133">
        <v>0</v>
      </c>
      <c r="G666" s="134">
        <v>0</v>
      </c>
      <c r="H666" s="90">
        <v>0</v>
      </c>
      <c r="I666" s="133">
        <v>0</v>
      </c>
      <c r="J666" s="134">
        <v>0</v>
      </c>
      <c r="K666" s="90">
        <v>0</v>
      </c>
      <c r="L666" s="133">
        <v>0</v>
      </c>
      <c r="M666" s="134">
        <v>0</v>
      </c>
      <c r="N666" s="90">
        <v>0</v>
      </c>
      <c r="O666" s="80">
        <f t="shared" si="95"/>
        <v>0</v>
      </c>
      <c r="P666" s="81">
        <f t="shared" si="96"/>
        <v>0</v>
      </c>
      <c r="Q666" s="82">
        <f t="shared" si="97"/>
        <v>0</v>
      </c>
    </row>
    <row r="667" spans="1:17" ht="17.100000000000001" customHeight="1" x14ac:dyDescent="0.25">
      <c r="A667" s="75">
        <v>8636</v>
      </c>
      <c r="B667" s="76" t="s">
        <v>212</v>
      </c>
      <c r="C667" s="77">
        <v>0</v>
      </c>
      <c r="D667" s="81">
        <v>0</v>
      </c>
      <c r="E667" s="79">
        <v>0</v>
      </c>
      <c r="F667" s="133">
        <v>0</v>
      </c>
      <c r="G667" s="134">
        <v>0</v>
      </c>
      <c r="H667" s="90">
        <v>0</v>
      </c>
      <c r="I667" s="133">
        <v>0</v>
      </c>
      <c r="J667" s="134">
        <v>0</v>
      </c>
      <c r="K667" s="90">
        <v>0</v>
      </c>
      <c r="L667" s="133">
        <v>0</v>
      </c>
      <c r="M667" s="134">
        <v>0</v>
      </c>
      <c r="N667" s="90">
        <v>0</v>
      </c>
      <c r="O667" s="80">
        <f t="shared" si="95"/>
        <v>0</v>
      </c>
      <c r="P667" s="81">
        <f t="shared" si="96"/>
        <v>0</v>
      </c>
      <c r="Q667" s="82">
        <f t="shared" si="97"/>
        <v>0</v>
      </c>
    </row>
    <row r="668" spans="1:17" ht="17.100000000000001" customHeight="1" x14ac:dyDescent="0.25">
      <c r="A668" s="75">
        <v>8637</v>
      </c>
      <c r="B668" s="76" t="s">
        <v>213</v>
      </c>
      <c r="C668" s="77">
        <v>0</v>
      </c>
      <c r="D668" s="81">
        <v>0</v>
      </c>
      <c r="E668" s="79">
        <v>0</v>
      </c>
      <c r="F668" s="133">
        <v>0</v>
      </c>
      <c r="G668" s="134">
        <v>0</v>
      </c>
      <c r="H668" s="90">
        <v>0</v>
      </c>
      <c r="I668" s="133">
        <v>0</v>
      </c>
      <c r="J668" s="134">
        <v>0</v>
      </c>
      <c r="K668" s="90">
        <v>0</v>
      </c>
      <c r="L668" s="133">
        <v>0</v>
      </c>
      <c r="M668" s="134">
        <v>0</v>
      </c>
      <c r="N668" s="90">
        <v>0</v>
      </c>
      <c r="O668" s="80">
        <f t="shared" si="95"/>
        <v>0</v>
      </c>
      <c r="P668" s="81">
        <f t="shared" si="96"/>
        <v>0</v>
      </c>
      <c r="Q668" s="82">
        <f t="shared" si="97"/>
        <v>0</v>
      </c>
    </row>
    <row r="669" spans="1:17" ht="17.100000000000001" customHeight="1" x14ac:dyDescent="0.25">
      <c r="A669" s="75">
        <v>8638</v>
      </c>
      <c r="B669" s="76" t="s">
        <v>214</v>
      </c>
      <c r="C669" s="77">
        <v>0</v>
      </c>
      <c r="D669" s="81">
        <v>0</v>
      </c>
      <c r="E669" s="79">
        <v>0</v>
      </c>
      <c r="F669" s="133">
        <v>0</v>
      </c>
      <c r="G669" s="134">
        <v>0</v>
      </c>
      <c r="H669" s="90">
        <v>0</v>
      </c>
      <c r="I669" s="133">
        <v>0</v>
      </c>
      <c r="J669" s="134">
        <v>0</v>
      </c>
      <c r="K669" s="90">
        <v>0</v>
      </c>
      <c r="L669" s="133">
        <v>0</v>
      </c>
      <c r="M669" s="134">
        <v>0</v>
      </c>
      <c r="N669" s="90">
        <v>0</v>
      </c>
      <c r="O669" s="80">
        <f t="shared" si="95"/>
        <v>0</v>
      </c>
      <c r="P669" s="81">
        <f t="shared" si="96"/>
        <v>0</v>
      </c>
      <c r="Q669" s="82">
        <f t="shared" si="97"/>
        <v>0</v>
      </c>
    </row>
    <row r="670" spans="1:17" ht="17.100000000000001" customHeight="1" x14ac:dyDescent="0.25">
      <c r="A670" s="75">
        <v>8639</v>
      </c>
      <c r="B670" s="76" t="s">
        <v>215</v>
      </c>
      <c r="C670" s="77">
        <v>0</v>
      </c>
      <c r="D670" s="81">
        <v>0</v>
      </c>
      <c r="E670" s="79">
        <v>0</v>
      </c>
      <c r="F670" s="133">
        <v>0</v>
      </c>
      <c r="G670" s="134">
        <v>0</v>
      </c>
      <c r="H670" s="90">
        <v>0</v>
      </c>
      <c r="I670" s="133">
        <v>0</v>
      </c>
      <c r="J670" s="134">
        <v>0</v>
      </c>
      <c r="K670" s="90">
        <v>0</v>
      </c>
      <c r="L670" s="133">
        <v>0</v>
      </c>
      <c r="M670" s="134">
        <v>0</v>
      </c>
      <c r="N670" s="90">
        <v>0</v>
      </c>
      <c r="O670" s="80">
        <f t="shared" si="95"/>
        <v>0</v>
      </c>
      <c r="P670" s="81">
        <f t="shared" si="96"/>
        <v>0</v>
      </c>
      <c r="Q670" s="82">
        <f t="shared" si="97"/>
        <v>0</v>
      </c>
    </row>
    <row r="671" spans="1:17" ht="17.100000000000001" customHeight="1" x14ac:dyDescent="0.25">
      <c r="A671" s="75">
        <v>8640</v>
      </c>
      <c r="B671" s="76" t="s">
        <v>63</v>
      </c>
      <c r="C671" s="77">
        <v>0</v>
      </c>
      <c r="D671" s="81">
        <v>0</v>
      </c>
      <c r="E671" s="79">
        <v>0</v>
      </c>
      <c r="F671" s="133">
        <v>0</v>
      </c>
      <c r="G671" s="134">
        <v>0</v>
      </c>
      <c r="H671" s="90">
        <v>0</v>
      </c>
      <c r="I671" s="133">
        <v>0</v>
      </c>
      <c r="J671" s="134">
        <v>0</v>
      </c>
      <c r="K671" s="90">
        <v>0</v>
      </c>
      <c r="L671" s="133">
        <v>0</v>
      </c>
      <c r="M671" s="134">
        <v>0</v>
      </c>
      <c r="N671" s="90">
        <v>0</v>
      </c>
      <c r="O671" s="80">
        <f t="shared" si="95"/>
        <v>0</v>
      </c>
      <c r="P671" s="81">
        <f t="shared" si="96"/>
        <v>0</v>
      </c>
      <c r="Q671" s="82">
        <f t="shared" si="97"/>
        <v>0</v>
      </c>
    </row>
    <row r="672" spans="1:17" ht="17.100000000000001" customHeight="1" x14ac:dyDescent="0.25">
      <c r="A672" s="75">
        <v>8641</v>
      </c>
      <c r="B672" s="76" t="s">
        <v>119</v>
      </c>
      <c r="C672" s="77">
        <v>0</v>
      </c>
      <c r="D672" s="81">
        <v>0</v>
      </c>
      <c r="E672" s="79">
        <v>0</v>
      </c>
      <c r="F672" s="133">
        <v>0</v>
      </c>
      <c r="G672" s="134">
        <v>0</v>
      </c>
      <c r="H672" s="90">
        <v>0</v>
      </c>
      <c r="I672" s="133">
        <v>0</v>
      </c>
      <c r="J672" s="134">
        <v>0</v>
      </c>
      <c r="K672" s="90">
        <v>0</v>
      </c>
      <c r="L672" s="133">
        <v>0</v>
      </c>
      <c r="M672" s="134">
        <v>0</v>
      </c>
      <c r="N672" s="90">
        <v>0</v>
      </c>
      <c r="O672" s="80">
        <f t="shared" si="95"/>
        <v>0</v>
      </c>
      <c r="P672" s="81">
        <f t="shared" si="96"/>
        <v>0</v>
      </c>
      <c r="Q672" s="82">
        <f t="shared" si="97"/>
        <v>0</v>
      </c>
    </row>
    <row r="673" spans="1:21" ht="17.100000000000001" customHeight="1" x14ac:dyDescent="0.25">
      <c r="A673" s="75">
        <v>8642</v>
      </c>
      <c r="B673" s="76" t="s">
        <v>145</v>
      </c>
      <c r="C673" s="77">
        <v>0</v>
      </c>
      <c r="D673" s="81">
        <v>0</v>
      </c>
      <c r="E673" s="79">
        <v>0</v>
      </c>
      <c r="F673" s="133">
        <v>0</v>
      </c>
      <c r="G673" s="134">
        <v>0</v>
      </c>
      <c r="H673" s="90">
        <v>0</v>
      </c>
      <c r="I673" s="133">
        <v>0</v>
      </c>
      <c r="J673" s="134">
        <v>0</v>
      </c>
      <c r="K673" s="90">
        <v>0</v>
      </c>
      <c r="L673" s="133">
        <v>0</v>
      </c>
      <c r="M673" s="134">
        <v>0</v>
      </c>
      <c r="N673" s="90">
        <v>0</v>
      </c>
      <c r="O673" s="80">
        <f t="shared" si="95"/>
        <v>0</v>
      </c>
      <c r="P673" s="81">
        <f t="shared" si="96"/>
        <v>0</v>
      </c>
      <c r="Q673" s="82">
        <f t="shared" si="97"/>
        <v>0</v>
      </c>
    </row>
    <row r="674" spans="1:21" ht="17.100000000000001" customHeight="1" x14ac:dyDescent="0.25">
      <c r="A674" s="75">
        <v>8643</v>
      </c>
      <c r="B674" s="76" t="s">
        <v>120</v>
      </c>
      <c r="C674" s="77">
        <v>0</v>
      </c>
      <c r="D674" s="81">
        <v>0</v>
      </c>
      <c r="E674" s="79">
        <v>0</v>
      </c>
      <c r="F674" s="133">
        <v>0</v>
      </c>
      <c r="G674" s="134">
        <v>0</v>
      </c>
      <c r="H674" s="90">
        <v>0</v>
      </c>
      <c r="I674" s="133">
        <v>0</v>
      </c>
      <c r="J674" s="134">
        <v>0</v>
      </c>
      <c r="K674" s="90">
        <v>0</v>
      </c>
      <c r="L674" s="133">
        <v>0</v>
      </c>
      <c r="M674" s="134">
        <v>0</v>
      </c>
      <c r="N674" s="90">
        <v>0</v>
      </c>
      <c r="O674" s="80">
        <f t="shared" si="95"/>
        <v>0</v>
      </c>
      <c r="P674" s="81">
        <f t="shared" si="96"/>
        <v>0</v>
      </c>
      <c r="Q674" s="82">
        <f t="shared" si="97"/>
        <v>0</v>
      </c>
    </row>
    <row r="675" spans="1:21" ht="17.100000000000001" customHeight="1" x14ac:dyDescent="0.25">
      <c r="A675" s="75">
        <v>8644</v>
      </c>
      <c r="B675" s="76" t="s">
        <v>55</v>
      </c>
      <c r="C675" s="77">
        <v>0</v>
      </c>
      <c r="D675" s="81">
        <v>0</v>
      </c>
      <c r="E675" s="79">
        <v>0</v>
      </c>
      <c r="F675" s="133">
        <v>0</v>
      </c>
      <c r="G675" s="134">
        <v>0</v>
      </c>
      <c r="H675" s="90">
        <v>0</v>
      </c>
      <c r="I675" s="133">
        <v>0</v>
      </c>
      <c r="J675" s="134">
        <v>0</v>
      </c>
      <c r="K675" s="90">
        <v>0</v>
      </c>
      <c r="L675" s="133">
        <v>0</v>
      </c>
      <c r="M675" s="134">
        <v>0</v>
      </c>
      <c r="N675" s="90">
        <v>0</v>
      </c>
      <c r="O675" s="80">
        <f t="shared" si="95"/>
        <v>0</v>
      </c>
      <c r="P675" s="81">
        <f t="shared" si="96"/>
        <v>0</v>
      </c>
      <c r="Q675" s="82">
        <f t="shared" si="97"/>
        <v>0</v>
      </c>
      <c r="U675" s="24"/>
    </row>
    <row r="676" spans="1:21" ht="17.100000000000001" customHeight="1" x14ac:dyDescent="0.25">
      <c r="A676" s="91">
        <v>8645</v>
      </c>
      <c r="B676" s="92" t="s">
        <v>216</v>
      </c>
      <c r="C676" s="38">
        <v>0</v>
      </c>
      <c r="D676" s="39">
        <v>0</v>
      </c>
      <c r="E676" s="40">
        <v>0</v>
      </c>
      <c r="F676" s="166">
        <v>0</v>
      </c>
      <c r="G676" s="167">
        <v>0</v>
      </c>
      <c r="H676" s="168">
        <v>0</v>
      </c>
      <c r="I676" s="166">
        <v>0</v>
      </c>
      <c r="J676" s="167">
        <v>0</v>
      </c>
      <c r="K676" s="168">
        <v>0</v>
      </c>
      <c r="L676" s="166">
        <v>0</v>
      </c>
      <c r="M676" s="167">
        <v>0</v>
      </c>
      <c r="N676" s="168">
        <v>0</v>
      </c>
      <c r="O676" s="194">
        <f t="shared" si="95"/>
        <v>0</v>
      </c>
      <c r="P676" s="195">
        <f t="shared" si="96"/>
        <v>0</v>
      </c>
      <c r="Q676" s="101">
        <f t="shared" si="97"/>
        <v>0</v>
      </c>
    </row>
    <row r="677" spans="1:21" ht="21" customHeight="1" x14ac:dyDescent="0.25">
      <c r="A677" s="480" t="s">
        <v>3</v>
      </c>
      <c r="B677" s="481"/>
      <c r="C677" s="193">
        <f t="shared" ref="C677:N677" si="98">SUM(C9:C676)</f>
        <v>1279</v>
      </c>
      <c r="D677" s="193">
        <f t="shared" si="98"/>
        <v>440</v>
      </c>
      <c r="E677" s="193">
        <f t="shared" si="98"/>
        <v>449</v>
      </c>
      <c r="F677" s="193">
        <f t="shared" si="98"/>
        <v>0</v>
      </c>
      <c r="G677" s="193">
        <f t="shared" si="98"/>
        <v>0</v>
      </c>
      <c r="H677" s="193">
        <f t="shared" si="98"/>
        <v>0</v>
      </c>
      <c r="I677" s="193">
        <f t="shared" si="98"/>
        <v>0</v>
      </c>
      <c r="J677" s="193">
        <f t="shared" si="98"/>
        <v>0</v>
      </c>
      <c r="K677" s="193">
        <f t="shared" si="98"/>
        <v>0</v>
      </c>
      <c r="L677" s="193">
        <f t="shared" si="98"/>
        <v>0</v>
      </c>
      <c r="M677" s="193">
        <f t="shared" si="98"/>
        <v>0</v>
      </c>
      <c r="N677" s="193">
        <f t="shared" si="98"/>
        <v>0</v>
      </c>
      <c r="O677" s="193">
        <f t="shared" si="95"/>
        <v>1279</v>
      </c>
      <c r="P677" s="193">
        <f t="shared" si="96"/>
        <v>440</v>
      </c>
      <c r="Q677" s="193">
        <f t="shared" si="97"/>
        <v>449</v>
      </c>
      <c r="S677" s="24"/>
      <c r="T677" s="24"/>
      <c r="U677" s="24"/>
    </row>
    <row r="679" spans="1:21" x14ac:dyDescent="0.25">
      <c r="I679" s="24"/>
      <c r="L679" s="24"/>
      <c r="N679" s="24"/>
      <c r="S679" s="24"/>
    </row>
    <row r="680" spans="1:21" x14ac:dyDescent="0.25">
      <c r="G680" s="24"/>
      <c r="J680" s="24"/>
      <c r="K680" s="24"/>
      <c r="M680" s="24"/>
      <c r="N680" s="24"/>
    </row>
    <row r="681" spans="1:21" x14ac:dyDescent="0.25">
      <c r="G681" s="24"/>
      <c r="H681" s="24"/>
      <c r="I681" s="24"/>
      <c r="J681" s="24"/>
      <c r="K681" s="24"/>
      <c r="L681" s="24"/>
      <c r="N681" s="24"/>
      <c r="P681" s="24"/>
      <c r="Q681" s="24"/>
    </row>
    <row r="682" spans="1:21" x14ac:dyDescent="0.25">
      <c r="H682" s="24"/>
      <c r="J682" s="24"/>
      <c r="K682" s="24"/>
      <c r="M682" s="24"/>
      <c r="N682" s="24"/>
      <c r="O682" s="24"/>
      <c r="Q682" s="24"/>
    </row>
    <row r="683" spans="1:21" x14ac:dyDescent="0.25">
      <c r="F683" s="24"/>
      <c r="H683" s="24"/>
      <c r="I683" s="24"/>
      <c r="J683" s="24"/>
      <c r="K683" s="24"/>
      <c r="M683" s="24"/>
      <c r="N683" s="24"/>
      <c r="O683" s="24"/>
      <c r="P683" s="24"/>
    </row>
    <row r="684" spans="1:21" x14ac:dyDescent="0.25">
      <c r="I684" s="24"/>
      <c r="K684" s="24"/>
      <c r="M684" s="24"/>
    </row>
    <row r="685" spans="1:21" x14ac:dyDescent="0.25">
      <c r="I685" s="24"/>
    </row>
    <row r="686" spans="1:21" x14ac:dyDescent="0.25">
      <c r="I686" s="24"/>
      <c r="M686" s="24"/>
      <c r="N686" s="24"/>
    </row>
    <row r="687" spans="1:21" x14ac:dyDescent="0.25">
      <c r="I687" s="24"/>
      <c r="N687" s="24"/>
      <c r="O687" s="24"/>
    </row>
    <row r="691" spans="4:14" x14ac:dyDescent="0.25">
      <c r="D691" s="24"/>
      <c r="G691" s="24"/>
      <c r="J691" s="24"/>
      <c r="N691" s="24"/>
    </row>
  </sheetData>
  <mergeCells count="12">
    <mergeCell ref="A677:B677"/>
    <mergeCell ref="A5:A6"/>
    <mergeCell ref="B5:B6"/>
    <mergeCell ref="A1:Q1"/>
    <mergeCell ref="A2:Q2"/>
    <mergeCell ref="A3:Q3"/>
    <mergeCell ref="A4:L4"/>
    <mergeCell ref="C5:E5"/>
    <mergeCell ref="F5:H5"/>
    <mergeCell ref="I5:K5"/>
    <mergeCell ref="L5:N5"/>
    <mergeCell ref="O5:Q5"/>
  </mergeCells>
  <pageMargins left="0.34930555555555598" right="0.389583333333333" top="0.62986111111111098" bottom="0.55000000000000004" header="0.50972222222222197" footer="0.50972222222222197"/>
  <pageSetup paperSize="9"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8"/>
  <sheetViews>
    <sheetView view="pageBreakPreview" zoomScale="89" zoomScaleNormal="100" workbookViewId="0">
      <selection activeCell="U16" sqref="U16"/>
    </sheetView>
  </sheetViews>
  <sheetFormatPr defaultColWidth="9.140625" defaultRowHeight="15" x14ac:dyDescent="0.25"/>
  <cols>
    <col min="2" max="2" width="28.28515625" customWidth="1"/>
    <col min="3" max="14" width="7.42578125" customWidth="1"/>
  </cols>
  <sheetData>
    <row r="1" spans="1:14" ht="18.75" x14ac:dyDescent="0.25">
      <c r="A1" s="508" t="s">
        <v>975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</row>
    <row r="2" spans="1:14" ht="18.75" x14ac:dyDescent="0.25">
      <c r="A2" s="508" t="s">
        <v>976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</row>
    <row r="3" spans="1:14" ht="18.75" x14ac:dyDescent="0.25">
      <c r="A3" s="508" t="s">
        <v>977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</row>
    <row r="4" spans="1:14" ht="18.75" x14ac:dyDescent="0.25">
      <c r="A4" s="508" t="str">
        <f>'ipk.3.7'!A3</f>
        <v>PADA TANGGAL : 1 AGUSTUS 2025 s/d  31 AGUSTUS 2025</v>
      </c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</row>
    <row r="5" spans="1:14" x14ac:dyDescent="0.25">
      <c r="A5" s="482"/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23"/>
      <c r="N5" s="23"/>
    </row>
    <row r="6" spans="1:14" x14ac:dyDescent="0.25">
      <c r="A6" s="486" t="s">
        <v>31</v>
      </c>
      <c r="B6" s="486" t="s">
        <v>978</v>
      </c>
      <c r="C6" s="489" t="s">
        <v>979</v>
      </c>
      <c r="D6" s="490"/>
      <c r="E6" s="490"/>
      <c r="F6" s="490"/>
      <c r="G6" s="490"/>
      <c r="H6" s="490"/>
      <c r="I6" s="490"/>
      <c r="J6" s="490"/>
      <c r="K6" s="491"/>
      <c r="L6" s="489" t="s">
        <v>980</v>
      </c>
      <c r="M6" s="490"/>
      <c r="N6" s="491"/>
    </row>
    <row r="7" spans="1:14" x14ac:dyDescent="0.25">
      <c r="A7" s="487"/>
      <c r="B7" s="487"/>
      <c r="C7" s="504" t="s">
        <v>981</v>
      </c>
      <c r="D7" s="505"/>
      <c r="E7" s="506"/>
      <c r="F7" s="504" t="s">
        <v>982</v>
      </c>
      <c r="G7" s="505"/>
      <c r="H7" s="505"/>
      <c r="I7" s="507" t="s">
        <v>983</v>
      </c>
      <c r="J7" s="507"/>
      <c r="K7" s="507"/>
      <c r="L7" s="492"/>
      <c r="M7" s="492"/>
      <c r="N7" s="493"/>
    </row>
    <row r="8" spans="1:14" x14ac:dyDescent="0.25">
      <c r="A8" s="488"/>
      <c r="B8" s="488"/>
      <c r="C8" s="3" t="s">
        <v>9</v>
      </c>
      <c r="D8" s="3" t="s">
        <v>10</v>
      </c>
      <c r="E8" s="3" t="s">
        <v>984</v>
      </c>
      <c r="F8" s="3" t="s">
        <v>9</v>
      </c>
      <c r="G8" s="3" t="s">
        <v>10</v>
      </c>
      <c r="H8" s="3" t="s">
        <v>984</v>
      </c>
      <c r="I8" s="2" t="s">
        <v>9</v>
      </c>
      <c r="J8" s="2" t="s">
        <v>10</v>
      </c>
      <c r="K8" s="2" t="s">
        <v>984</v>
      </c>
      <c r="L8" s="3" t="s">
        <v>9</v>
      </c>
      <c r="M8" s="3" t="s">
        <v>10</v>
      </c>
      <c r="N8" s="3" t="s">
        <v>984</v>
      </c>
    </row>
    <row r="9" spans="1:14" x14ac:dyDescent="0.25">
      <c r="A9" s="3">
        <v>1</v>
      </c>
      <c r="B9" s="3">
        <v>2</v>
      </c>
      <c r="C9" s="3">
        <v>3</v>
      </c>
      <c r="D9" s="3">
        <v>4</v>
      </c>
      <c r="E9" s="3">
        <v>5</v>
      </c>
      <c r="F9" s="3">
        <v>6</v>
      </c>
      <c r="G9" s="3">
        <v>7</v>
      </c>
      <c r="H9" s="3">
        <v>8</v>
      </c>
      <c r="I9" s="3">
        <v>9</v>
      </c>
      <c r="J9" s="3">
        <v>10</v>
      </c>
      <c r="K9" s="3">
        <v>11</v>
      </c>
      <c r="L9" s="3">
        <v>12</v>
      </c>
      <c r="M9" s="3">
        <v>13</v>
      </c>
      <c r="N9" s="3">
        <v>14</v>
      </c>
    </row>
    <row r="10" spans="1:14" ht="6.95" customHeight="1" x14ac:dyDescent="0.25">
      <c r="A10" s="4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24.95" customHeight="1" x14ac:dyDescent="0.25">
      <c r="A11" s="6">
        <v>1</v>
      </c>
      <c r="B11" s="7" t="s">
        <v>985</v>
      </c>
      <c r="C11" s="8">
        <v>0</v>
      </c>
      <c r="D11" s="8">
        <v>0</v>
      </c>
      <c r="E11" s="8">
        <f>C11+D11</f>
        <v>0</v>
      </c>
      <c r="F11" s="9">
        <v>0</v>
      </c>
      <c r="G11" s="9">
        <v>0</v>
      </c>
      <c r="H11" s="6">
        <f>F11+G11</f>
        <v>0</v>
      </c>
      <c r="I11" s="9">
        <v>0</v>
      </c>
      <c r="J11" s="9">
        <v>0</v>
      </c>
      <c r="K11" s="6">
        <f>I11+J11</f>
        <v>0</v>
      </c>
      <c r="L11" s="6">
        <f>C11+F11+I11</f>
        <v>0</v>
      </c>
      <c r="M11" s="6">
        <f>D11+G11+J11</f>
        <v>0</v>
      </c>
      <c r="N11" s="6">
        <f>L11+M11</f>
        <v>0</v>
      </c>
    </row>
    <row r="12" spans="1:14" ht="24.95" customHeight="1" x14ac:dyDescent="0.25">
      <c r="A12" s="10">
        <v>2</v>
      </c>
      <c r="B12" s="11" t="s">
        <v>986</v>
      </c>
      <c r="C12" s="8">
        <v>0</v>
      </c>
      <c r="D12" s="8">
        <v>0</v>
      </c>
      <c r="E12" s="8">
        <f>C12+D12</f>
        <v>0</v>
      </c>
      <c r="F12" s="9">
        <v>0</v>
      </c>
      <c r="G12" s="9">
        <v>0</v>
      </c>
      <c r="H12" s="6">
        <f t="shared" ref="H12:H23" si="0">F12+G12</f>
        <v>0</v>
      </c>
      <c r="I12" s="9">
        <v>0</v>
      </c>
      <c r="J12" s="9">
        <v>0</v>
      </c>
      <c r="K12" s="6">
        <f t="shared" ref="K12:K23" si="1">I12+J12</f>
        <v>0</v>
      </c>
      <c r="L12" s="6">
        <f t="shared" ref="L12:L23" si="2">C12+F12+I12</f>
        <v>0</v>
      </c>
      <c r="M12" s="6">
        <f t="shared" ref="M12:M23" si="3">D12+G12+J12</f>
        <v>0</v>
      </c>
      <c r="N12" s="6">
        <f t="shared" ref="N12:N23" si="4">L12+M12</f>
        <v>0</v>
      </c>
    </row>
    <row r="13" spans="1:14" ht="24.95" customHeight="1" x14ac:dyDescent="0.25">
      <c r="A13" s="10">
        <v>3</v>
      </c>
      <c r="B13" s="11" t="s">
        <v>987</v>
      </c>
      <c r="C13" s="8">
        <v>0</v>
      </c>
      <c r="D13" s="8">
        <v>0</v>
      </c>
      <c r="E13" s="8">
        <f t="shared" ref="E13:E23" si="5">C13+D13</f>
        <v>0</v>
      </c>
      <c r="F13" s="9">
        <v>0</v>
      </c>
      <c r="G13" s="9">
        <v>0</v>
      </c>
      <c r="H13" s="6">
        <f t="shared" si="0"/>
        <v>0</v>
      </c>
      <c r="I13" s="9">
        <v>0</v>
      </c>
      <c r="J13" s="9">
        <v>0</v>
      </c>
      <c r="K13" s="6">
        <f t="shared" si="1"/>
        <v>0</v>
      </c>
      <c r="L13" s="6">
        <f t="shared" si="2"/>
        <v>0</v>
      </c>
      <c r="M13" s="6">
        <f t="shared" si="3"/>
        <v>0</v>
      </c>
      <c r="N13" s="6">
        <f t="shared" si="4"/>
        <v>0</v>
      </c>
    </row>
    <row r="14" spans="1:14" ht="24.95" customHeight="1" x14ac:dyDescent="0.25">
      <c r="A14" s="10">
        <v>4</v>
      </c>
      <c r="B14" s="11" t="s">
        <v>988</v>
      </c>
      <c r="C14" s="8">
        <v>0</v>
      </c>
      <c r="D14" s="8">
        <v>0</v>
      </c>
      <c r="E14" s="8">
        <f t="shared" si="5"/>
        <v>0</v>
      </c>
      <c r="F14" s="9">
        <v>0</v>
      </c>
      <c r="G14" s="9">
        <v>0</v>
      </c>
      <c r="H14" s="6">
        <f t="shared" si="0"/>
        <v>0</v>
      </c>
      <c r="I14" s="9">
        <v>0</v>
      </c>
      <c r="J14" s="9">
        <v>0</v>
      </c>
      <c r="K14" s="6">
        <f t="shared" si="1"/>
        <v>0</v>
      </c>
      <c r="L14" s="6">
        <f t="shared" si="2"/>
        <v>0</v>
      </c>
      <c r="M14" s="6">
        <f t="shared" si="3"/>
        <v>0</v>
      </c>
      <c r="N14" s="6">
        <f t="shared" si="4"/>
        <v>0</v>
      </c>
    </row>
    <row r="15" spans="1:14" ht="24.95" customHeight="1" x14ac:dyDescent="0.25">
      <c r="A15" s="10">
        <v>5</v>
      </c>
      <c r="B15" s="11" t="s">
        <v>989</v>
      </c>
      <c r="C15" s="8">
        <v>0</v>
      </c>
      <c r="D15" s="8">
        <v>0</v>
      </c>
      <c r="E15" s="8">
        <f t="shared" si="5"/>
        <v>0</v>
      </c>
      <c r="F15" s="9">
        <v>0</v>
      </c>
      <c r="G15" s="9">
        <v>0</v>
      </c>
      <c r="H15" s="6">
        <f t="shared" si="0"/>
        <v>0</v>
      </c>
      <c r="I15" s="9">
        <v>0</v>
      </c>
      <c r="J15" s="9">
        <v>0</v>
      </c>
      <c r="K15" s="6">
        <f t="shared" si="1"/>
        <v>0</v>
      </c>
      <c r="L15" s="6">
        <f t="shared" si="2"/>
        <v>0</v>
      </c>
      <c r="M15" s="6">
        <f t="shared" si="3"/>
        <v>0</v>
      </c>
      <c r="N15" s="6">
        <f t="shared" si="4"/>
        <v>0</v>
      </c>
    </row>
    <row r="16" spans="1:14" ht="24.95" customHeight="1" x14ac:dyDescent="0.25">
      <c r="A16" s="10">
        <v>6</v>
      </c>
      <c r="B16" s="11" t="s">
        <v>990</v>
      </c>
      <c r="C16" s="8">
        <v>0</v>
      </c>
      <c r="D16" s="8">
        <v>0</v>
      </c>
      <c r="E16" s="8">
        <f t="shared" si="5"/>
        <v>0</v>
      </c>
      <c r="F16" s="9">
        <v>0</v>
      </c>
      <c r="G16" s="9">
        <v>0</v>
      </c>
      <c r="H16" s="6">
        <f t="shared" si="0"/>
        <v>0</v>
      </c>
      <c r="I16" s="9">
        <v>0</v>
      </c>
      <c r="J16" s="9">
        <v>0</v>
      </c>
      <c r="K16" s="6">
        <f t="shared" si="1"/>
        <v>0</v>
      </c>
      <c r="L16" s="6">
        <f t="shared" si="2"/>
        <v>0</v>
      </c>
      <c r="M16" s="6">
        <f t="shared" si="3"/>
        <v>0</v>
      </c>
      <c r="N16" s="6">
        <f t="shared" si="4"/>
        <v>0</v>
      </c>
    </row>
    <row r="17" spans="1:16" ht="24.95" customHeight="1" x14ac:dyDescent="0.25">
      <c r="A17" s="10">
        <v>7</v>
      </c>
      <c r="B17" s="11" t="s">
        <v>991</v>
      </c>
      <c r="C17" s="8">
        <v>0</v>
      </c>
      <c r="D17" s="8">
        <v>0</v>
      </c>
      <c r="E17" s="8">
        <f t="shared" si="5"/>
        <v>0</v>
      </c>
      <c r="F17" s="9">
        <v>0</v>
      </c>
      <c r="G17" s="9">
        <v>0</v>
      </c>
      <c r="H17" s="6">
        <f t="shared" si="0"/>
        <v>0</v>
      </c>
      <c r="I17" s="9">
        <v>0</v>
      </c>
      <c r="J17" s="9">
        <v>0</v>
      </c>
      <c r="K17" s="6">
        <f t="shared" si="1"/>
        <v>0</v>
      </c>
      <c r="L17" s="6">
        <f t="shared" si="2"/>
        <v>0</v>
      </c>
      <c r="M17" s="6">
        <f t="shared" si="3"/>
        <v>0</v>
      </c>
      <c r="N17" s="6">
        <f t="shared" si="4"/>
        <v>0</v>
      </c>
    </row>
    <row r="18" spans="1:16" ht="24.95" customHeight="1" x14ac:dyDescent="0.25">
      <c r="A18" s="10">
        <v>8</v>
      </c>
      <c r="B18" s="11" t="s">
        <v>992</v>
      </c>
      <c r="C18" s="8">
        <v>0</v>
      </c>
      <c r="D18" s="8">
        <v>0</v>
      </c>
      <c r="E18" s="8">
        <f t="shared" si="5"/>
        <v>0</v>
      </c>
      <c r="F18" s="9">
        <v>0</v>
      </c>
      <c r="G18" s="9">
        <v>0</v>
      </c>
      <c r="H18" s="6">
        <f t="shared" si="0"/>
        <v>0</v>
      </c>
      <c r="I18" s="9">
        <v>0</v>
      </c>
      <c r="J18" s="9">
        <v>0</v>
      </c>
      <c r="K18" s="6">
        <f t="shared" si="1"/>
        <v>0</v>
      </c>
      <c r="L18" s="6">
        <f t="shared" si="2"/>
        <v>0</v>
      </c>
      <c r="M18" s="6">
        <f t="shared" si="3"/>
        <v>0</v>
      </c>
      <c r="N18" s="6">
        <f t="shared" si="4"/>
        <v>0</v>
      </c>
    </row>
    <row r="19" spans="1:16" ht="24.95" customHeight="1" x14ac:dyDescent="0.25">
      <c r="A19" s="10">
        <v>9</v>
      </c>
      <c r="B19" s="11" t="s">
        <v>993</v>
      </c>
      <c r="C19" s="8">
        <v>0</v>
      </c>
      <c r="D19" s="8">
        <v>0</v>
      </c>
      <c r="E19" s="8">
        <f t="shared" si="5"/>
        <v>0</v>
      </c>
      <c r="F19" s="9">
        <v>0</v>
      </c>
      <c r="G19" s="9">
        <v>0</v>
      </c>
      <c r="H19" s="6">
        <f t="shared" si="0"/>
        <v>0</v>
      </c>
      <c r="I19" s="9">
        <v>0</v>
      </c>
      <c r="J19" s="9">
        <v>0</v>
      </c>
      <c r="K19" s="6">
        <f t="shared" si="1"/>
        <v>0</v>
      </c>
      <c r="L19" s="6">
        <f t="shared" si="2"/>
        <v>0</v>
      </c>
      <c r="M19" s="6">
        <f t="shared" si="3"/>
        <v>0</v>
      </c>
      <c r="N19" s="6">
        <f t="shared" si="4"/>
        <v>0</v>
      </c>
    </row>
    <row r="20" spans="1:16" ht="24.95" customHeight="1" x14ac:dyDescent="0.25">
      <c r="A20" s="10">
        <v>10</v>
      </c>
      <c r="B20" s="11" t="s">
        <v>994</v>
      </c>
      <c r="C20" s="8">
        <v>0</v>
      </c>
      <c r="D20" s="8">
        <v>0</v>
      </c>
      <c r="E20" s="8">
        <f t="shared" si="5"/>
        <v>0</v>
      </c>
      <c r="F20" s="9">
        <v>0</v>
      </c>
      <c r="G20" s="9">
        <v>0</v>
      </c>
      <c r="H20" s="6">
        <f t="shared" si="0"/>
        <v>0</v>
      </c>
      <c r="I20" s="9">
        <v>0</v>
      </c>
      <c r="J20" s="9">
        <v>0</v>
      </c>
      <c r="K20" s="6">
        <f t="shared" si="1"/>
        <v>0</v>
      </c>
      <c r="L20" s="6">
        <f t="shared" si="2"/>
        <v>0</v>
      </c>
      <c r="M20" s="6">
        <f t="shared" si="3"/>
        <v>0</v>
      </c>
      <c r="N20" s="6">
        <f t="shared" si="4"/>
        <v>0</v>
      </c>
    </row>
    <row r="21" spans="1:16" ht="24.95" customHeight="1" x14ac:dyDescent="0.25">
      <c r="A21" s="10">
        <v>11</v>
      </c>
      <c r="B21" s="11" t="s">
        <v>995</v>
      </c>
      <c r="C21" s="8">
        <v>0</v>
      </c>
      <c r="D21" s="8">
        <v>0</v>
      </c>
      <c r="E21" s="8">
        <f t="shared" si="5"/>
        <v>0</v>
      </c>
      <c r="F21" s="9">
        <v>0</v>
      </c>
      <c r="G21" s="9">
        <v>0</v>
      </c>
      <c r="H21" s="6">
        <f t="shared" si="0"/>
        <v>0</v>
      </c>
      <c r="I21" s="9">
        <v>0</v>
      </c>
      <c r="J21" s="9">
        <v>0</v>
      </c>
      <c r="K21" s="6">
        <f t="shared" si="1"/>
        <v>0</v>
      </c>
      <c r="L21" s="6">
        <f t="shared" si="2"/>
        <v>0</v>
      </c>
      <c r="M21" s="6">
        <f t="shared" si="3"/>
        <v>0</v>
      </c>
      <c r="N21" s="6">
        <f t="shared" si="4"/>
        <v>0</v>
      </c>
      <c r="P21" s="24"/>
    </row>
    <row r="22" spans="1:16" ht="24.95" customHeight="1" x14ac:dyDescent="0.25">
      <c r="A22" s="10">
        <v>12</v>
      </c>
      <c r="B22" s="11" t="s">
        <v>996</v>
      </c>
      <c r="C22" s="12">
        <v>0</v>
      </c>
      <c r="D22" s="12">
        <v>0</v>
      </c>
      <c r="E22" s="8">
        <f t="shared" si="5"/>
        <v>0</v>
      </c>
      <c r="F22" s="9">
        <v>0</v>
      </c>
      <c r="G22" s="9">
        <v>0</v>
      </c>
      <c r="H22" s="6">
        <f t="shared" si="0"/>
        <v>0</v>
      </c>
      <c r="I22" s="9">
        <v>0</v>
      </c>
      <c r="J22" s="9">
        <v>0</v>
      </c>
      <c r="K22" s="6">
        <f t="shared" si="1"/>
        <v>0</v>
      </c>
      <c r="L22" s="6">
        <f t="shared" si="2"/>
        <v>0</v>
      </c>
      <c r="M22" s="6">
        <f t="shared" si="3"/>
        <v>0</v>
      </c>
      <c r="N22" s="6">
        <f t="shared" si="4"/>
        <v>0</v>
      </c>
    </row>
    <row r="23" spans="1:16" ht="24.95" customHeight="1" x14ac:dyDescent="0.25">
      <c r="A23" s="10">
        <v>13</v>
      </c>
      <c r="B23" s="11" t="s">
        <v>997</v>
      </c>
      <c r="C23" s="12">
        <v>0</v>
      </c>
      <c r="D23" s="12">
        <v>0</v>
      </c>
      <c r="E23" s="8">
        <f t="shared" si="5"/>
        <v>0</v>
      </c>
      <c r="F23" s="9">
        <v>0</v>
      </c>
      <c r="G23" s="9">
        <v>0</v>
      </c>
      <c r="H23" s="6">
        <f t="shared" si="0"/>
        <v>0</v>
      </c>
      <c r="I23" s="9">
        <v>0</v>
      </c>
      <c r="J23" s="9">
        <v>0</v>
      </c>
      <c r="K23" s="6">
        <f t="shared" si="1"/>
        <v>0</v>
      </c>
      <c r="L23" s="6">
        <f t="shared" si="2"/>
        <v>0</v>
      </c>
      <c r="M23" s="6">
        <f t="shared" si="3"/>
        <v>0</v>
      </c>
      <c r="N23" s="6">
        <f t="shared" si="4"/>
        <v>0</v>
      </c>
    </row>
    <row r="24" spans="1:16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6" x14ac:dyDescent="0.25">
      <c r="A25" s="15"/>
      <c r="B25" s="16" t="s">
        <v>3</v>
      </c>
      <c r="C25" s="17">
        <f>SUM(C10:C23)</f>
        <v>0</v>
      </c>
      <c r="D25" s="17">
        <f t="shared" ref="D25:N25" si="6">SUM(D10:D23)</f>
        <v>0</v>
      </c>
      <c r="E25" s="17">
        <f>SUM(E10:E23)</f>
        <v>0</v>
      </c>
      <c r="F25" s="17">
        <f t="shared" si="6"/>
        <v>0</v>
      </c>
      <c r="G25" s="17">
        <f t="shared" si="6"/>
        <v>0</v>
      </c>
      <c r="H25" s="17">
        <f t="shared" si="6"/>
        <v>0</v>
      </c>
      <c r="I25" s="17">
        <f t="shared" si="6"/>
        <v>0</v>
      </c>
      <c r="J25" s="17">
        <f t="shared" si="6"/>
        <v>0</v>
      </c>
      <c r="K25" s="17">
        <f t="shared" si="6"/>
        <v>0</v>
      </c>
      <c r="L25" s="17">
        <f t="shared" si="6"/>
        <v>0</v>
      </c>
      <c r="M25" s="17">
        <f t="shared" si="6"/>
        <v>0</v>
      </c>
      <c r="N25" s="17">
        <f t="shared" si="6"/>
        <v>0</v>
      </c>
    </row>
    <row r="26" spans="1:16" x14ac:dyDescent="0.25"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6" x14ac:dyDescent="0.25">
      <c r="A27" s="486" t="s">
        <v>998</v>
      </c>
      <c r="B27" s="486" t="s">
        <v>999</v>
      </c>
      <c r="C27" s="494" t="s">
        <v>979</v>
      </c>
      <c r="D27" s="495"/>
      <c r="E27" s="495"/>
      <c r="F27" s="495"/>
      <c r="G27" s="495"/>
      <c r="H27" s="495"/>
      <c r="I27" s="495"/>
      <c r="J27" s="495"/>
      <c r="K27" s="496"/>
      <c r="L27" s="494" t="s">
        <v>980</v>
      </c>
      <c r="M27" s="495"/>
      <c r="N27" s="496"/>
    </row>
    <row r="28" spans="1:16" x14ac:dyDescent="0.25">
      <c r="A28" s="487"/>
      <c r="B28" s="487"/>
      <c r="C28" s="499" t="s">
        <v>981</v>
      </c>
      <c r="D28" s="500"/>
      <c r="E28" s="501"/>
      <c r="F28" s="499" t="s">
        <v>982</v>
      </c>
      <c r="G28" s="500"/>
      <c r="H28" s="500"/>
      <c r="I28" s="502" t="s">
        <v>983</v>
      </c>
      <c r="J28" s="502"/>
      <c r="K28" s="502"/>
      <c r="L28" s="497"/>
      <c r="M28" s="497"/>
      <c r="N28" s="498"/>
    </row>
    <row r="29" spans="1:16" x14ac:dyDescent="0.25">
      <c r="A29" s="488"/>
      <c r="B29" s="488"/>
      <c r="C29" s="19" t="s">
        <v>9</v>
      </c>
      <c r="D29" s="19" t="s">
        <v>10</v>
      </c>
      <c r="E29" s="19" t="s">
        <v>984</v>
      </c>
      <c r="F29" s="19" t="s">
        <v>9</v>
      </c>
      <c r="G29" s="19" t="s">
        <v>10</v>
      </c>
      <c r="H29" s="19" t="s">
        <v>984</v>
      </c>
      <c r="I29" s="25" t="s">
        <v>9</v>
      </c>
      <c r="J29" s="25" t="s">
        <v>10</v>
      </c>
      <c r="K29" s="25" t="s">
        <v>984</v>
      </c>
      <c r="L29" s="19" t="s">
        <v>9</v>
      </c>
      <c r="M29" s="19" t="s">
        <v>10</v>
      </c>
      <c r="N29" s="19" t="s">
        <v>984</v>
      </c>
    </row>
    <row r="30" spans="1:16" ht="24.95" customHeight="1" x14ac:dyDescent="0.25">
      <c r="A30" s="10">
        <v>1</v>
      </c>
      <c r="B30" s="11" t="s">
        <v>1000</v>
      </c>
      <c r="C30" s="14">
        <v>0</v>
      </c>
      <c r="D30" s="14">
        <v>0</v>
      </c>
      <c r="E30" s="20">
        <f>C30+D30</f>
        <v>0</v>
      </c>
      <c r="F30" s="20">
        <v>0</v>
      </c>
      <c r="G30" s="20">
        <v>0</v>
      </c>
      <c r="H30" s="20">
        <f t="shared" ref="H30:H35" si="7">F30+G30</f>
        <v>0</v>
      </c>
      <c r="I30" s="20">
        <v>0</v>
      </c>
      <c r="J30" s="20">
        <v>0</v>
      </c>
      <c r="K30" s="20">
        <f t="shared" ref="K30:K35" si="8">I30+J30</f>
        <v>0</v>
      </c>
      <c r="L30" s="20">
        <f t="shared" ref="L30:L35" si="9">C30+F30+I30</f>
        <v>0</v>
      </c>
      <c r="M30" s="20">
        <f t="shared" ref="M30:M35" si="10">D30+G30+J30</f>
        <v>0</v>
      </c>
      <c r="N30" s="20">
        <f t="shared" ref="N30:N35" si="11">L30+M30</f>
        <v>0</v>
      </c>
    </row>
    <row r="31" spans="1:16" ht="24.95" customHeight="1" x14ac:dyDescent="0.25">
      <c r="A31" s="10">
        <v>2</v>
      </c>
      <c r="B31" s="11" t="s">
        <v>1001</v>
      </c>
      <c r="C31" s="14">
        <v>0</v>
      </c>
      <c r="D31" s="14">
        <v>0</v>
      </c>
      <c r="E31" s="20">
        <f>C31+D31</f>
        <v>0</v>
      </c>
      <c r="F31" s="20">
        <v>0</v>
      </c>
      <c r="G31" s="20">
        <v>0</v>
      </c>
      <c r="H31" s="20">
        <f t="shared" si="7"/>
        <v>0</v>
      </c>
      <c r="I31" s="20">
        <v>0</v>
      </c>
      <c r="J31" s="20">
        <v>0</v>
      </c>
      <c r="K31" s="20">
        <f t="shared" si="8"/>
        <v>0</v>
      </c>
      <c r="L31" s="20">
        <f t="shared" si="9"/>
        <v>0</v>
      </c>
      <c r="M31" s="20">
        <f t="shared" si="10"/>
        <v>0</v>
      </c>
      <c r="N31" s="20">
        <f t="shared" si="11"/>
        <v>0</v>
      </c>
    </row>
    <row r="32" spans="1:16" ht="24.95" customHeight="1" x14ac:dyDescent="0.25">
      <c r="A32" s="10">
        <v>3</v>
      </c>
      <c r="B32" s="11" t="s">
        <v>1002</v>
      </c>
      <c r="C32" s="14">
        <v>0</v>
      </c>
      <c r="D32" s="14">
        <v>0</v>
      </c>
      <c r="E32" s="20">
        <f t="shared" ref="E32:E35" si="12">C32+D32</f>
        <v>0</v>
      </c>
      <c r="F32" s="20">
        <v>0</v>
      </c>
      <c r="G32" s="20">
        <v>0</v>
      </c>
      <c r="H32" s="20">
        <f t="shared" si="7"/>
        <v>0</v>
      </c>
      <c r="I32" s="20">
        <v>0</v>
      </c>
      <c r="J32" s="20">
        <v>0</v>
      </c>
      <c r="K32" s="20">
        <f t="shared" si="8"/>
        <v>0</v>
      </c>
      <c r="L32" s="20">
        <f t="shared" si="9"/>
        <v>0</v>
      </c>
      <c r="M32" s="20">
        <f t="shared" si="10"/>
        <v>0</v>
      </c>
      <c r="N32" s="20">
        <f t="shared" si="11"/>
        <v>0</v>
      </c>
    </row>
    <row r="33" spans="1:14" ht="24.95" customHeight="1" x14ac:dyDescent="0.25">
      <c r="A33" s="10">
        <v>4</v>
      </c>
      <c r="B33" s="11" t="s">
        <v>1003</v>
      </c>
      <c r="C33" s="14">
        <f>C25</f>
        <v>0</v>
      </c>
      <c r="D33" s="14">
        <f>D25</f>
        <v>0</v>
      </c>
      <c r="E33" s="20">
        <f t="shared" si="12"/>
        <v>0</v>
      </c>
      <c r="F33" s="20">
        <v>0</v>
      </c>
      <c r="G33" s="20">
        <v>0</v>
      </c>
      <c r="H33" s="20">
        <f t="shared" si="7"/>
        <v>0</v>
      </c>
      <c r="I33" s="20">
        <v>0</v>
      </c>
      <c r="J33" s="20">
        <v>0</v>
      </c>
      <c r="K33" s="20">
        <f t="shared" si="8"/>
        <v>0</v>
      </c>
      <c r="L33" s="20">
        <f t="shared" si="9"/>
        <v>0</v>
      </c>
      <c r="M33" s="20">
        <f t="shared" si="10"/>
        <v>0</v>
      </c>
      <c r="N33" s="20">
        <f t="shared" si="11"/>
        <v>0</v>
      </c>
    </row>
    <row r="34" spans="1:14" ht="24.95" customHeight="1" x14ac:dyDescent="0.25">
      <c r="A34" s="10">
        <v>5</v>
      </c>
      <c r="B34" s="11" t="s">
        <v>1004</v>
      </c>
      <c r="C34" s="14">
        <v>0</v>
      </c>
      <c r="D34" s="14">
        <v>0</v>
      </c>
      <c r="E34" s="20">
        <f t="shared" si="12"/>
        <v>0</v>
      </c>
      <c r="F34" s="20">
        <v>0</v>
      </c>
      <c r="G34" s="20">
        <v>0</v>
      </c>
      <c r="H34" s="20">
        <f t="shared" si="7"/>
        <v>0</v>
      </c>
      <c r="I34" s="20">
        <v>0</v>
      </c>
      <c r="J34" s="20">
        <v>0</v>
      </c>
      <c r="K34" s="20">
        <f t="shared" si="8"/>
        <v>0</v>
      </c>
      <c r="L34" s="20">
        <f t="shared" si="9"/>
        <v>0</v>
      </c>
      <c r="M34" s="20">
        <f t="shared" si="10"/>
        <v>0</v>
      </c>
      <c r="N34" s="20">
        <f t="shared" si="11"/>
        <v>0</v>
      </c>
    </row>
    <row r="35" spans="1:14" ht="24.95" customHeight="1" x14ac:dyDescent="0.25">
      <c r="A35" s="10">
        <v>6</v>
      </c>
      <c r="B35" s="11" t="s">
        <v>1005</v>
      </c>
      <c r="C35" s="14">
        <v>0</v>
      </c>
      <c r="D35" s="14">
        <v>0</v>
      </c>
      <c r="E35" s="20">
        <f t="shared" si="12"/>
        <v>0</v>
      </c>
      <c r="F35" s="20">
        <v>0</v>
      </c>
      <c r="G35" s="20">
        <v>0</v>
      </c>
      <c r="H35" s="20">
        <f t="shared" si="7"/>
        <v>0</v>
      </c>
      <c r="I35" s="20">
        <v>0</v>
      </c>
      <c r="J35" s="20">
        <v>0</v>
      </c>
      <c r="K35" s="20">
        <f t="shared" si="8"/>
        <v>0</v>
      </c>
      <c r="L35" s="20">
        <f t="shared" si="9"/>
        <v>0</v>
      </c>
      <c r="M35" s="20">
        <f t="shared" si="10"/>
        <v>0</v>
      </c>
      <c r="N35" s="20">
        <f t="shared" si="11"/>
        <v>0</v>
      </c>
    </row>
    <row r="36" spans="1:14" x14ac:dyDescent="0.25">
      <c r="A36" s="13"/>
      <c r="B36" s="13"/>
      <c r="C36" s="14"/>
      <c r="D36" s="14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ht="18" customHeight="1" x14ac:dyDescent="0.25">
      <c r="A37" s="21"/>
      <c r="B37" s="22" t="s">
        <v>3</v>
      </c>
      <c r="C37" s="17">
        <f>SUM(C30:C35)</f>
        <v>0</v>
      </c>
      <c r="D37" s="17">
        <f>SUM(D30:D35)</f>
        <v>0</v>
      </c>
      <c r="E37" s="17">
        <f>SUM(E30:E35)</f>
        <v>0</v>
      </c>
      <c r="F37" s="17">
        <f>SUM(F30:F35)</f>
        <v>0</v>
      </c>
      <c r="G37" s="17">
        <f t="shared" ref="G37:N37" si="13">SUM(G30:G35)</f>
        <v>0</v>
      </c>
      <c r="H37" s="17">
        <f t="shared" si="13"/>
        <v>0</v>
      </c>
      <c r="I37" s="17">
        <f t="shared" si="13"/>
        <v>0</v>
      </c>
      <c r="J37" s="17">
        <f t="shared" si="13"/>
        <v>0</v>
      </c>
      <c r="K37" s="17">
        <f t="shared" si="13"/>
        <v>0</v>
      </c>
      <c r="L37" s="17">
        <f t="shared" si="13"/>
        <v>0</v>
      </c>
      <c r="M37" s="17">
        <f t="shared" si="13"/>
        <v>0</v>
      </c>
      <c r="N37" s="17">
        <f t="shared" si="13"/>
        <v>0</v>
      </c>
    </row>
    <row r="38" spans="1:14" x14ac:dyDescent="0.25"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spans="1:14" ht="15.75" x14ac:dyDescent="0.3">
      <c r="J39" s="503" t="s">
        <v>1011</v>
      </c>
      <c r="K39" s="503"/>
      <c r="L39" s="503"/>
      <c r="M39" s="503"/>
      <c r="N39" s="503"/>
    </row>
    <row r="40" spans="1:14" ht="15.75" x14ac:dyDescent="0.3">
      <c r="J40" s="26"/>
      <c r="K40" s="26"/>
      <c r="L40" s="26"/>
      <c r="M40" s="26"/>
      <c r="N40" s="26"/>
    </row>
    <row r="41" spans="1:14" ht="15.75" x14ac:dyDescent="0.3">
      <c r="J41" s="503" t="s">
        <v>1006</v>
      </c>
      <c r="K41" s="503"/>
      <c r="L41" s="503"/>
      <c r="M41" s="503"/>
      <c r="N41" s="503"/>
    </row>
    <row r="42" spans="1:14" ht="15.75" x14ac:dyDescent="0.3">
      <c r="J42" s="484" t="s">
        <v>1007</v>
      </c>
      <c r="K42" s="484"/>
      <c r="L42" s="484"/>
      <c r="M42" s="484"/>
      <c r="N42" s="484"/>
    </row>
    <row r="43" spans="1:14" ht="15.75" x14ac:dyDescent="0.3">
      <c r="J43" s="484" t="s">
        <v>1008</v>
      </c>
      <c r="K43" s="484"/>
      <c r="L43" s="484"/>
      <c r="M43" s="484"/>
      <c r="N43" s="484"/>
    </row>
    <row r="44" spans="1:14" ht="15.75" x14ac:dyDescent="0.3">
      <c r="J44" s="27"/>
      <c r="K44" s="27"/>
      <c r="L44" s="27"/>
      <c r="M44" s="27"/>
      <c r="N44" s="27"/>
    </row>
    <row r="45" spans="1:14" ht="15.75" x14ac:dyDescent="0.3">
      <c r="J45" s="26"/>
      <c r="K45" s="26"/>
      <c r="L45" s="26"/>
      <c r="M45" s="26"/>
      <c r="N45" s="26"/>
    </row>
    <row r="46" spans="1:14" ht="15.75" x14ac:dyDescent="0.3">
      <c r="J46" s="26"/>
      <c r="K46" s="26"/>
      <c r="L46" s="26"/>
      <c r="M46" s="26"/>
      <c r="N46" s="26"/>
    </row>
    <row r="47" spans="1:14" ht="15.75" x14ac:dyDescent="0.3">
      <c r="J47" s="485" t="s">
        <v>1009</v>
      </c>
      <c r="K47" s="485"/>
      <c r="L47" s="485"/>
      <c r="M47" s="485"/>
      <c r="N47" s="485"/>
    </row>
    <row r="48" spans="1:14" ht="15.75" x14ac:dyDescent="0.3">
      <c r="J48" s="484" t="s">
        <v>1010</v>
      </c>
      <c r="K48" s="484"/>
      <c r="L48" s="484"/>
      <c r="M48" s="484"/>
      <c r="N48" s="484"/>
    </row>
  </sheetData>
  <mergeCells count="25">
    <mergeCell ref="C7:E7"/>
    <mergeCell ref="F7:H7"/>
    <mergeCell ref="I7:K7"/>
    <mergeCell ref="C27:K27"/>
    <mergeCell ref="A1:N1"/>
    <mergeCell ref="A2:N2"/>
    <mergeCell ref="A3:N3"/>
    <mergeCell ref="A4:N4"/>
    <mergeCell ref="A5:L5"/>
    <mergeCell ref="J42:N42"/>
    <mergeCell ref="J43:N43"/>
    <mergeCell ref="J47:N47"/>
    <mergeCell ref="J48:N48"/>
    <mergeCell ref="A6:A8"/>
    <mergeCell ref="A27:A29"/>
    <mergeCell ref="B6:B8"/>
    <mergeCell ref="B27:B29"/>
    <mergeCell ref="L6:N7"/>
    <mergeCell ref="L27:N28"/>
    <mergeCell ref="C28:E28"/>
    <mergeCell ref="F28:H28"/>
    <mergeCell ref="I28:K28"/>
    <mergeCell ref="J39:N39"/>
    <mergeCell ref="J41:N41"/>
    <mergeCell ref="C6:K6"/>
  </mergeCells>
  <printOptions horizontalCentered="1"/>
  <pageMargins left="0.34930555555555598" right="0.34930555555555598" top="0.66944444444444495" bottom="0.62986111111111098" header="0.50972222222222197" footer="0.50972222222222197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ipk3.1</vt:lpstr>
      <vt:lpstr>ipk3.2</vt:lpstr>
      <vt:lpstr>ipk3.3</vt:lpstr>
      <vt:lpstr>ipk3.4</vt:lpstr>
      <vt:lpstr>ipk3.5</vt:lpstr>
      <vt:lpstr>ipk.3.6</vt:lpstr>
      <vt:lpstr>ipk.3.7</vt:lpstr>
      <vt:lpstr>ipk.3.8</vt:lpstr>
      <vt:lpstr>ipk3.2!Print_Area</vt:lpstr>
      <vt:lpstr>ipk3.3!Print_Area</vt:lpstr>
      <vt:lpstr>ipk3.4!Print_Area</vt:lpstr>
      <vt:lpstr>ipk3.5!Print_Area</vt:lpstr>
      <vt:lpstr>ipk.3.6!Print_Titles</vt:lpstr>
      <vt:lpstr>ipk3.2!Print_Titles</vt:lpstr>
      <vt:lpstr>ipk3.3!Print_Titles</vt:lpstr>
      <vt:lpstr>ipk3.4!Print_Titles</vt:lpstr>
      <vt:lpstr>ipk3.5!Print_Titles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RAMADIRA</dc:creator>
  <cp:lastModifiedBy>P2K2 DISNAKER PASER</cp:lastModifiedBy>
  <cp:lastPrinted>2025-09-30T03:15:29Z</cp:lastPrinted>
  <dcterms:created xsi:type="dcterms:W3CDTF">2012-03-27T02:18:00Z</dcterms:created>
  <dcterms:modified xsi:type="dcterms:W3CDTF">2025-10-30T00:56:45Z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KSOReadingLayout">
    <vt:bool>true</vt:bool>
  </property>
  <property fmtid="{D5CDD505-2E9C-101B-9397-08002B2CF9AE}" pid="4" name="ICV">
    <vt:lpwstr>89C77A20608E48B8AE07C05094A42341</vt:lpwstr>
  </property>
</Properties>
</file>